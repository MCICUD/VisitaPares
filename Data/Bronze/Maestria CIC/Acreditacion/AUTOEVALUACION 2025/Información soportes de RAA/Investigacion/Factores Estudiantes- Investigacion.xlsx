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milo U\15avo Semestre\Monitorias\Encuesta Factores\"/>
    </mc:Choice>
  </mc:AlternateContent>
  <xr:revisionPtr revIDLastSave="70" documentId="13_ncr:1_{F30043DA-F4FA-49BC-956F-E467B021CB7D}" xr6:coauthVersionLast="47" xr6:coauthVersionMax="47" xr10:uidLastSave="{A7535D1B-E5B8-4775-861F-23E44DB6216A}"/>
  <bookViews>
    <workbookView xWindow="0" yWindow="0" windowWidth="10245" windowHeight="10920" firstSheet="9" activeTab="9" xr2:uid="{00000000-000D-0000-FFFF-FFFF00000000}"/>
  </bookViews>
  <sheets>
    <sheet name="FACTOR2-I" sheetId="2" r:id="rId1"/>
    <sheet name="FACTOR3-I" sheetId="4" r:id="rId2"/>
    <sheet name="FACTOR5-I" sheetId="6" r:id="rId3"/>
    <sheet name="FACTOR6-I" sheetId="8" r:id="rId4"/>
    <sheet name="FACTOR7-I" sheetId="10" r:id="rId5"/>
    <sheet name="FACTOR8-I" sheetId="12" r:id="rId6"/>
    <sheet name="FACTOR9-I" sheetId="14" r:id="rId7"/>
    <sheet name="FACTOR10-I" sheetId="16" r:id="rId8"/>
    <sheet name="FACTOR11-I" sheetId="18" r:id="rId9"/>
    <sheet name="FACTOR12-I" sheetId="20" r:id="rId10"/>
    <sheet name="Graficos-I" sheetId="22" r:id="rId11"/>
  </sheets>
  <externalReferences>
    <externalReference r:id="rId1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22" l="1"/>
  <c r="A41" i="22"/>
  <c r="A40" i="22"/>
  <c r="A39" i="22"/>
  <c r="A36" i="22"/>
  <c r="A35" i="22"/>
  <c r="A32" i="22"/>
  <c r="A28" i="22"/>
  <c r="A24" i="22"/>
  <c r="A21" i="22"/>
  <c r="A17" i="22"/>
  <c r="A16" i="22"/>
  <c r="A15" i="22"/>
  <c r="A14" i="22"/>
  <c r="A10" i="22"/>
  <c r="A9" i="22"/>
  <c r="A5" i="22"/>
  <c r="A4" i="22"/>
  <c r="A3" i="22"/>
  <c r="E7" i="20"/>
  <c r="E6" i="20"/>
  <c r="E5" i="20"/>
  <c r="E4" i="20"/>
  <c r="E3" i="20"/>
  <c r="F3" i="20" s="1"/>
  <c r="F9" i="20" s="1"/>
  <c r="E23" i="18"/>
  <c r="E22" i="18"/>
  <c r="E21" i="18"/>
  <c r="E20" i="18"/>
  <c r="E19" i="18"/>
  <c r="H19" i="18" s="1"/>
  <c r="E15" i="18"/>
  <c r="E14" i="18"/>
  <c r="E13" i="18"/>
  <c r="E12" i="18"/>
  <c r="E11" i="18"/>
  <c r="E7" i="18"/>
  <c r="E6" i="18"/>
  <c r="E5" i="18"/>
  <c r="E4" i="18"/>
  <c r="E3" i="18"/>
  <c r="E15" i="16"/>
  <c r="E14" i="16"/>
  <c r="E13" i="16"/>
  <c r="E12" i="16"/>
  <c r="E11" i="16"/>
  <c r="E7" i="16"/>
  <c r="E6" i="16"/>
  <c r="E5" i="16"/>
  <c r="E4" i="16"/>
  <c r="E3" i="16"/>
  <c r="E7" i="14"/>
  <c r="E6" i="14"/>
  <c r="E5" i="14"/>
  <c r="E4" i="14"/>
  <c r="E3" i="14"/>
  <c r="E7" i="12"/>
  <c r="E6" i="12"/>
  <c r="E5" i="12"/>
  <c r="E4" i="12"/>
  <c r="E3" i="12"/>
  <c r="E7" i="10"/>
  <c r="E6" i="10"/>
  <c r="E5" i="10"/>
  <c r="E4" i="10"/>
  <c r="E3" i="10"/>
  <c r="H3" i="10" s="1"/>
  <c r="E7" i="8"/>
  <c r="E6" i="8"/>
  <c r="E5" i="8"/>
  <c r="E4" i="8"/>
  <c r="E3" i="8"/>
  <c r="E39" i="6"/>
  <c r="E38" i="6"/>
  <c r="E37" i="6"/>
  <c r="E36" i="6"/>
  <c r="E35" i="6"/>
  <c r="E31" i="6"/>
  <c r="E30" i="6"/>
  <c r="E29" i="6"/>
  <c r="E28" i="6"/>
  <c r="E27" i="6"/>
  <c r="E23" i="6"/>
  <c r="E22" i="6"/>
  <c r="E21" i="6"/>
  <c r="E20" i="6"/>
  <c r="E19" i="6"/>
  <c r="E15" i="6"/>
  <c r="E14" i="6"/>
  <c r="E13" i="6"/>
  <c r="E12" i="6"/>
  <c r="E11" i="6"/>
  <c r="F11" i="6" s="1"/>
  <c r="E7" i="6"/>
  <c r="E6" i="6"/>
  <c r="E5" i="6"/>
  <c r="E4" i="6"/>
  <c r="E3" i="6"/>
  <c r="E15" i="4"/>
  <c r="E14" i="4"/>
  <c r="E13" i="4"/>
  <c r="E12" i="4"/>
  <c r="E11" i="4"/>
  <c r="E7" i="4"/>
  <c r="E6" i="4"/>
  <c r="E5" i="4"/>
  <c r="E4" i="4"/>
  <c r="E3" i="4"/>
  <c r="E23" i="2"/>
  <c r="E22" i="2"/>
  <c r="E21" i="2"/>
  <c r="E20" i="2"/>
  <c r="E19" i="2"/>
  <c r="E15" i="2"/>
  <c r="E14" i="2"/>
  <c r="E13" i="2"/>
  <c r="E12" i="2"/>
  <c r="E11" i="2"/>
  <c r="E7" i="2"/>
  <c r="E6" i="2"/>
  <c r="E5" i="2"/>
  <c r="E4" i="2"/>
  <c r="E3" i="2"/>
  <c r="F3" i="2" s="1"/>
  <c r="H11" i="6" l="1"/>
  <c r="H3" i="20"/>
  <c r="G3" i="20"/>
  <c r="H11" i="18"/>
  <c r="H3" i="18"/>
  <c r="F3" i="18"/>
  <c r="F11" i="18"/>
  <c r="F19" i="18"/>
  <c r="F11" i="16"/>
  <c r="H11" i="16"/>
  <c r="H3" i="16"/>
  <c r="F3" i="16"/>
  <c r="H3" i="14"/>
  <c r="F3" i="14"/>
  <c r="F9" i="14" s="1"/>
  <c r="H3" i="12"/>
  <c r="F3" i="12"/>
  <c r="F3" i="10"/>
  <c r="F9" i="10" s="1"/>
  <c r="G3" i="10"/>
  <c r="H3" i="8"/>
  <c r="F3" i="8"/>
  <c r="F9" i="8" s="1"/>
  <c r="F35" i="6"/>
  <c r="H35" i="6"/>
  <c r="F27" i="6"/>
  <c r="H27" i="6"/>
  <c r="F19" i="6"/>
  <c r="H19" i="6"/>
  <c r="H3" i="6"/>
  <c r="F3" i="6"/>
  <c r="F11" i="4"/>
  <c r="H11" i="4"/>
  <c r="F3" i="4"/>
  <c r="H3" i="4"/>
  <c r="H19" i="2"/>
  <c r="H11" i="2"/>
  <c r="F11" i="2"/>
  <c r="H3" i="2"/>
  <c r="F19" i="2"/>
  <c r="F25" i="4" l="1"/>
  <c r="G11" i="4" s="1"/>
  <c r="B10" i="22" s="1"/>
  <c r="B44" i="22"/>
  <c r="B32" i="22"/>
  <c r="B28" i="22"/>
  <c r="B24" i="22"/>
  <c r="B21" i="22"/>
  <c r="H25" i="18"/>
  <c r="I25" i="18"/>
  <c r="F25" i="18"/>
  <c r="G19" i="18" s="1"/>
  <c r="B41" i="22" s="1"/>
  <c r="F25" i="16"/>
  <c r="G11" i="16" s="1"/>
  <c r="B36" i="22" s="1"/>
  <c r="I25" i="16"/>
  <c r="H25" i="16"/>
  <c r="G3" i="14"/>
  <c r="F9" i="12"/>
  <c r="G3" i="12" s="1"/>
  <c r="G3" i="8"/>
  <c r="F41" i="6"/>
  <c r="G11" i="6" s="1"/>
  <c r="H41" i="6"/>
  <c r="H25" i="4"/>
  <c r="G3" i="4"/>
  <c r="H25" i="2"/>
  <c r="F25" i="2"/>
  <c r="G3" i="2" s="1"/>
  <c r="B3" i="22" s="1"/>
  <c r="G25" i="4" l="1"/>
  <c r="B9" i="22"/>
  <c r="G3" i="18"/>
  <c r="B39" i="22" s="1"/>
  <c r="G11" i="18"/>
  <c r="B40" i="22" s="1"/>
  <c r="G3" i="16"/>
  <c r="G3" i="6"/>
  <c r="B14" i="22" s="1"/>
  <c r="G19" i="6"/>
  <c r="B15" i="22" s="1"/>
  <c r="G27" i="6"/>
  <c r="B16" i="22" s="1"/>
  <c r="G35" i="6"/>
  <c r="B17" i="22" s="1"/>
  <c r="G11" i="2"/>
  <c r="B4" i="22" s="1"/>
  <c r="G19" i="2"/>
  <c r="B5" i="22" s="1"/>
  <c r="G25" i="16" l="1"/>
  <c r="B35" i="22"/>
  <c r="G25" i="18"/>
  <c r="G41" i="6"/>
  <c r="G25" i="2"/>
</calcChain>
</file>

<file path=xl/sharedStrings.xml><?xml version="1.0" encoding="utf-8"?>
<sst xmlns="http://schemas.openxmlformats.org/spreadsheetml/2006/main" count="240" uniqueCount="41">
  <si>
    <t>Considero que mi participación en actividades de investigación, desarrollo tecnológico, creación artística, culturales, deportivas y de extensión ha contribuido a mi desarrollo integral como persona</t>
  </si>
  <si>
    <t>Opción</t>
  </si>
  <si>
    <t xml:space="preserve">Valor del factor </t>
  </si>
  <si>
    <t>Recuento</t>
  </si>
  <si>
    <t>Puntuación</t>
  </si>
  <si>
    <t>Tendencia</t>
  </si>
  <si>
    <t>Totalmente de acuerdo</t>
  </si>
  <si>
    <t>De acuerdo</t>
  </si>
  <si>
    <t>Ni en acuerdo ni en desacuerdo</t>
  </si>
  <si>
    <t>En desacuerdo</t>
  </si>
  <si>
    <t>Totalmente en desacuerdo</t>
  </si>
  <si>
    <t>Considero que el reglamento estudiantil y las políticas académicas del programa son pertinentes y están actualizadas.</t>
  </si>
  <si>
    <t>Considero que los criterios para la concesión de estímulos académicos y apoyos socioeconómicos, son claros y justos.</t>
  </si>
  <si>
    <t>Considero que el material académico producido por los docentes es pertinente y adecuado con las necesidades y objetivos de la Maestría en Ciencias de la Información y las Comunicaciones.</t>
  </si>
  <si>
    <t>Considero que los criterios y mecanismos utilizados para la evaluación de los profesores son transparentes, accesibles y eficaces</t>
  </si>
  <si>
    <t>Considero que las estrategias de flexibilidad curricular me han permitido personalizar mi formación de acuerdo con mis objetivos profesionales y académicos.</t>
  </si>
  <si>
    <t>¿Cómo valorarías la efectividad de los énfasis en "Teleinformática" “Ingeniería de Software”, “Geomática” y "Inteligencia Artificial" en la formación integral de los estudiantes?</t>
  </si>
  <si>
    <t>Considero que las estrategias pedagógicas y escenarios de práctica utilizadas en la Maestría en Ciencias de la Información y las Comunicaciones son coherentes y efectivas para facilitar los resultados</t>
  </si>
  <si>
    <t>Considero que los sistemas de evaluación de los resultados de aprendizaje permiten una realimentación efectiva que contribuye a la mejora continua de la formación en los estudiantes.</t>
  </si>
  <si>
    <t>Considero que el proceso de evaluación y autorregulación de la Maestría en Ciencias de la Información y las Comunicaciones tiene en cuenta de manera efectiva las necesidades y expectativas de los estudiantes</t>
  </si>
  <si>
    <t>Considero que las intervenciones y el apoyo proporcionados para alertarme de forma temprana, han sido útiles para mejorar mi rendimiento académico y facilitar mi progreso hacia la graduación.</t>
  </si>
  <si>
    <t>Considero que la interacción con homólogos nacionales e internacionales ha mejorado mis competencias académicas y científicas, así como las oportunidades de desarrollo profesional.</t>
  </si>
  <si>
    <t>Considero que la Maestría en Ciencias de la Información y las Comunicaciones me proporciona una formación adecuada para la investigación, fomentando el desarrollo de un pensamiento crítico, creativo e innovador</t>
  </si>
  <si>
    <t>Considero que las políticas, programas y servicios de bienestar implementados en Maestría en Ciencias de la Información y las Comunicaciones son coherentes con las condiciones y necesidades específica</t>
  </si>
  <si>
    <t>Considero que los espacios, recurso, herramientas y equipos de apoyo ofrecidos son pertinentes y se ajustan adecuadamente a mis necesidades formativas en los diferentes contextos que requiero.</t>
  </si>
  <si>
    <t>Considero que el material bibliográfico y de información disponible en la Maestría en Ciencias de la Información y las Comunicaciones es pertinente y adecuado para apoyar el desarrollo de las distinta</t>
  </si>
  <si>
    <t>Considero que el representante estudiantil en los diferentes escenarios institucionales ha sido valorada y ha influido en las decisiones orientadas al mejoramiento de la Maestría en Ciencias de la Información</t>
  </si>
  <si>
    <t>Creo que los procesos administrativos están orientados adecuadamente y son eficaces para apoyar el desarrollo integral de las labores formativas, académicas, docentes, científicas, culturales y de extensión de la maestria en ciencias de la información y las comunicaciones</t>
  </si>
  <si>
    <t xml:space="preserve">Considero que los recursos humanos (profesores, personal administrativo, etc.) disponibles en la Maestría en Ciencias de la Información y las Comunicaciones son suficientes y adecuados para atender el l número de estudiantes 
matriculados y cumplir con los objetivos del Proyecto Educativo del Programa (PEP) </t>
  </si>
  <si>
    <t>Considero que los recursos informáticos disponibles, corresponden  adecuadamente con las 
necesidades tecnológicas de la Maestria de ciencias de la información y las comunicaciones y de sus miembros (profesores y 
estudiantes)</t>
  </si>
  <si>
    <t>FACTOR 2</t>
  </si>
  <si>
    <t>PONDERACIÓN</t>
  </si>
  <si>
    <t>FACTOR 3</t>
  </si>
  <si>
    <t>FACTOR 5</t>
  </si>
  <si>
    <t>FACTOR 6</t>
  </si>
  <si>
    <t>FACTOR 7</t>
  </si>
  <si>
    <t>FACTOR 8</t>
  </si>
  <si>
    <t>FACTOR 9</t>
  </si>
  <si>
    <t>FACTOR 10</t>
  </si>
  <si>
    <t>FACTOR 11</t>
  </si>
  <si>
    <t>FACTOR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</si>
</sst>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wrapText="1"/>
    </xf>
    <xf numFmtId="10" fontId="0" fillId="0" borderId="0" xfId="0" applyNumberFormat="1" applyAlignment="1">
      <alignment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wrapText="1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2 - Característica 3. Participación en actividades de formación integral</a:t>
            </a:r>
          </a:p>
        </c:rich>
      </c:tx>
      <c:layout>
        <c:manualLayout>
          <c:xMode val="edge"/>
          <c:yMode val="edge"/>
          <c:x val="0.16128455818022749"/>
          <c:y val="6.597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DF-473A-BA90-8CE52B33FB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18-42E5-8EEB-1AD4A4B8E3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18-42E5-8EEB-1AD4A4B8E3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'FACTOR2-I'!$A$3:$A$5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'FACTOR2-I'!$C$3:$C$5</c:f>
              <c:numCache>
                <c:formatCode>General</c:formatCode>
                <c:ptCount val="3"/>
                <c:pt idx="0">
                  <c:v>11</c:v>
                </c:pt>
                <c:pt idx="1">
                  <c:v>8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F-473A-BA90-8CE52B33FB0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2- Característica 6. Reglamento estudiantil y política académica</a:t>
            </a:r>
          </a:p>
        </c:rich>
      </c:tx>
      <c:layout>
        <c:manualLayout>
          <c:xMode val="edge"/>
          <c:yMode val="edge"/>
          <c:x val="0.109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3C-4720-8143-6A0A966AA8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22-4D6B-B509-6D77638F89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22-4D6B-B509-6D77638F89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'FACTOR2-I'!$A$11:$A$13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'FACTOR2-I'!$C$11:$C$13</c:f>
              <c:numCache>
                <c:formatCode>General</c:formatCode>
                <c:ptCount val="3"/>
                <c:pt idx="0">
                  <c:v>4</c:v>
                </c:pt>
                <c:pt idx="1">
                  <c:v>10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C-4720-8143-6A0A966AA85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2 - Característica 7 . Estímulos y apoyos para estudiantes</a:t>
            </a:r>
          </a:p>
        </c:rich>
      </c:tx>
      <c:layout>
        <c:manualLayout>
          <c:xMode val="edge"/>
          <c:yMode val="edge"/>
          <c:x val="0.13360411198600175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D0-4F3D-BB80-1A159FA497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D0-4F3D-BB80-1A159FA497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6D0-4F3D-BB80-1A159FA497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'FACTOR2-I'!$A$19:$A$21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'FACTOR2-I'!$C$19:$C$21</c:f>
              <c:numCache>
                <c:formatCode>General</c:formatCode>
                <c:ptCount val="3"/>
                <c:pt idx="0">
                  <c:v>7</c:v>
                </c:pt>
                <c:pt idx="1">
                  <c:v>11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0-4F3D-BB80-1A159FA49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3 - Característica 13. Producción, Pertinencia, Utilización e Impacto de Material Docente</a:t>
            </a:r>
          </a:p>
        </c:rich>
      </c:tx>
      <c:layout>
        <c:manualLayout>
          <c:xMode val="edge"/>
          <c:yMode val="edge"/>
          <c:x val="0.1323471128608924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CD4-42CE-9939-E0C18EAD02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D4-42CE-9939-E0C18EAD02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B6-428A-94E9-E147542457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CD4-42CE-9939-E0C18EAD02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'FACTOR3-I'!$A$3:$A$6</c:f>
              <c:strCache>
                <c:ptCount val="4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</c:strCache>
            </c:strRef>
          </c:cat>
          <c:val>
            <c:numRef>
              <c:f>'FACTOR3-I'!$C$3:$C$6</c:f>
              <c:numCache>
                <c:formatCode>General</c:formatCode>
                <c:ptCount val="4"/>
                <c:pt idx="0">
                  <c:v>5</c:v>
                </c:pt>
                <c:pt idx="1">
                  <c:v>15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4-42CE-9939-E0C18EAD02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3 - Característica 15. Evaluación de Profesores </a:t>
            </a:r>
          </a:p>
        </c:rich>
      </c:tx>
      <c:layout>
        <c:manualLayout>
          <c:xMode val="edge"/>
          <c:yMode val="edge"/>
          <c:x val="0.17858333333333337"/>
          <c:y val="3.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01-4940-B0B5-C17B0A24E5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01-4940-B0B5-C17B0A24E5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01-4940-B0B5-C17B0A24E5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01-4940-B0B5-C17B0A24E5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'FACTOR3-I'!$A$11:$A$14</c:f>
              <c:strCache>
                <c:ptCount val="4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</c:strCache>
            </c:strRef>
          </c:cat>
          <c:val>
            <c:numRef>
              <c:f>'FACTOR3-I'!$C$11:$C$14</c:f>
              <c:numCache>
                <c:formatCode>General</c:formatCode>
                <c:ptCount val="4"/>
                <c:pt idx="0">
                  <c:v>8</c:v>
                </c:pt>
                <c:pt idx="1">
                  <c:v>10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C-4D6C-A987-72BEBEC7B9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5 - Caracteristica 19. Flexibilidad de los aspectos curriculares</a:t>
            </a:r>
          </a:p>
        </c:rich>
      </c:tx>
      <c:layout>
        <c:manualLayout>
          <c:xMode val="edge"/>
          <c:yMode val="edge"/>
          <c:x val="0.14716666666666667"/>
          <c:y val="2.4305555555555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F8-4BB2-8E19-C61D0B28B4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F8-4BB2-8E19-C61D0B28B4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F8-4BB2-8E19-C61D0B28B4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'FACTOR5-I'!$A$3:$A$5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'FACTOR5-I'!$C$3:$C$5</c:f>
              <c:numCache>
                <c:formatCode>General</c:formatCode>
                <c:ptCount val="3"/>
                <c:pt idx="0">
                  <c:v>7</c:v>
                </c:pt>
                <c:pt idx="1">
                  <c:v>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4-4940-991D-D050C12E24C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5 - Caracteristica 21. Estrategias pedagógicas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DF-4DB1-826F-918322E19A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DF-4DB1-826F-918322E19A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DF-4DB1-826F-918322E19A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'FACTOR5-I'!$A$19:$A$21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'FACTOR5-I'!$C$19:$C$21</c:f>
              <c:numCache>
                <c:formatCode>General</c:formatCode>
                <c:ptCount val="3"/>
                <c:pt idx="0">
                  <c:v>3</c:v>
                </c:pt>
                <c:pt idx="1">
                  <c:v>16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E-4AAB-A806-AA02E48F8CF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5 - Caracteristica 25. Evaluación y Autorregulación del Programa Académico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2A-407D-AB0A-E4D3CDC5E1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2A-407D-AB0A-E4D3CDC5E1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2A-407D-AB0A-E4D3CDC5E1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'FACTOR5-I'!$A$35:$A$37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'FACTOR5-I'!$C$35:$C$37</c:f>
              <c:numCache>
                <c:formatCode>General</c:formatCode>
                <c:ptCount val="3"/>
                <c:pt idx="0">
                  <c:v>2</c:v>
                </c:pt>
                <c:pt idx="1">
                  <c:v>14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C-497A-8B5B-D2AFDD4C26B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6 - Característica 28. Caracterización de Estudiantes y Sistema de Alertas Tempranas    </a:t>
            </a:r>
          </a:p>
        </c:rich>
      </c:tx>
      <c:layout>
        <c:manualLayout>
          <c:xMode val="edge"/>
          <c:yMode val="edge"/>
          <c:x val="0.1520345581802274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55-46BC-87D7-CBD68AEF2C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55-46BC-87D7-CBD68AEF2C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55-46BC-87D7-CBD68AEF2C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'FACTOR6-I'!$A$3:$A$5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'FACTOR6-I'!$C$3:$C$5</c:f>
              <c:numCache>
                <c:formatCode>General</c:formatCode>
                <c:ptCount val="3"/>
                <c:pt idx="0">
                  <c:v>5</c:v>
                </c:pt>
                <c:pt idx="1">
                  <c:v>9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E-4481-8707-3A55C444A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7 - Característica 31. Inserción del Programa en Contextos Académicos Nacionales e Internacionales 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D4-4C0A-B54D-062F613287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D4-4C0A-B54D-062F613287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D4-4C0A-B54D-062F613287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'FACTOR7-I'!$A$3:$A$5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'FACTOR7-I'!$C$3:$C$5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4-4AE8-B8CB-D9BA758DABA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8 - Característica 34. Formación para la Investigación, Desarrollo Tecnológico, la Innovación y la Creación.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CB-4C46-BE26-C58830E08A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DDB-47EB-B7F8-07680BB25C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CB-4C46-BE26-C58830E08A1D}"/>
              </c:ext>
            </c:extLst>
          </c:dPt>
          <c:dLbls>
            <c:dLbl>
              <c:idx val="1"/>
              <c:layout>
                <c:manualLayout>
                  <c:x val="8.4256561679790024E-2"/>
                  <c:y val="-9.647127442403033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DB-47EB-B7F8-07680BB25C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'FACTOR8-I'!$A$3:$A$5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'FACTOR8-I'!$C$3:$C$5</c:f>
              <c:numCache>
                <c:formatCode>General</c:formatCode>
                <c:ptCount val="3"/>
                <c:pt idx="0">
                  <c:v>7</c:v>
                </c:pt>
                <c:pt idx="1">
                  <c:v>13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B-47EB-B7F8-07680BB25C5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9 - Característica 36. Programas y Servicios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F4-41CC-99C1-2FF7AF13B8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F4-41CC-99C1-2FF7AF13B8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F4-41CC-99C1-2FF7AF13B8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F4-41CC-99C1-2FF7AF13B8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'FACTOR9-I'!$A$3:$A$6</c:f>
              <c:strCache>
                <c:ptCount val="4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</c:strCache>
            </c:strRef>
          </c:cat>
          <c:val>
            <c:numRef>
              <c:f>'FACTOR9-I'!$C$3:$C$6</c:f>
              <c:numCache>
                <c:formatCode>General</c:formatCode>
                <c:ptCount val="4"/>
                <c:pt idx="0">
                  <c:v>2</c:v>
                </c:pt>
                <c:pt idx="1">
                  <c:v>9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B-47E6-ABFA-805390ED5C8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10 - Característica 39. Estrategias y Recursos de Apoyo a Estudiantes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DF-48C6-B9C8-073F5AD232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DF-48C6-B9C8-073F5AD232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DF-48C6-B9C8-073F5AD232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'FACTOR10-I'!$A$3:$A$5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'FACTOR10-I'!$C$3:$C$5</c:f>
              <c:numCache>
                <c:formatCode>General</c:formatCode>
                <c:ptCount val="3"/>
                <c:pt idx="0">
                  <c:v>6</c:v>
                </c:pt>
                <c:pt idx="1">
                  <c:v>10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E-46C3-BA21-32A78AE2AE1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10 - Característica 40. Recursos Bibliográficos y de Información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61-4BE8-B9C0-D9DEB88F03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61-4BE8-B9C0-D9DEB88F03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61-4BE8-B9C0-D9DEB88F03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61-4BE8-B9C0-D9DEB88F03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'FACTOR10-I'!$A$11:$A$14</c:f>
              <c:strCache>
                <c:ptCount val="4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</c:strCache>
            </c:strRef>
          </c:cat>
          <c:val>
            <c:numRef>
              <c:f>'FACTOR10-I'!$C$11:$C$14</c:f>
              <c:numCache>
                <c:formatCode>General</c:formatCode>
                <c:ptCount val="4"/>
                <c:pt idx="0">
                  <c:v>6</c:v>
                </c:pt>
                <c:pt idx="1">
                  <c:v>11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6-488F-BA73-92ACA1736E3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el representante estudiantil en los diferentes escenarios institucionales ha sido valorada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35-4EAB-AABC-C60E74CBBA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35-4EAB-AABC-C60E74CBBA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35-4EAB-AABC-C60E74CBBA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35-4EAB-AABC-C60E74CBBA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F35-4EAB-AABC-C60E74CBBA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'FACTOR11-I'!$A$3:$A$7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'FACTOR11-I'!$C$3:$C$7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13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0-4F7D-9EFD-233B4CBF98C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Creo que los procesos administrativos están orientados adecuadamente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A4-42FF-AB11-4B9519239D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A4-42FF-AB11-4B9519239D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A4-42FF-AB11-4B9519239D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A4-42FF-AB11-4B9519239D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A4-42FF-AB11-4B9519239D90}"/>
              </c:ext>
            </c:extLst>
          </c:dPt>
          <c:cat>
            <c:strRef>
              <c:f>'FACTOR11-I'!$A$11:$A$15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'FACTOR11-I'!$C$11:$C$15</c:f>
              <c:numCache>
                <c:formatCode>General</c:formatCode>
                <c:ptCount val="5"/>
                <c:pt idx="0">
                  <c:v>3</c:v>
                </c:pt>
                <c:pt idx="1">
                  <c:v>13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3-4827-AA32-629E68CA5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los recursos humanos (profesores, personal administrativo, etc.)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22-488A-8BC8-0FB1725F40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22-488A-8BC8-0FB1725F40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22-488A-8BC8-0FB1725F40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'FACTOR11-I'!$A$19:$A$21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'FACTOR11-I'!$C$19:$C$21</c:f>
              <c:numCache>
                <c:formatCode>General</c:formatCode>
                <c:ptCount val="3"/>
                <c:pt idx="0">
                  <c:v>6</c:v>
                </c:pt>
                <c:pt idx="1">
                  <c:v>14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9-48B9-B512-CE1E6A728E8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12 - Característica 48. Recursos Informáticos y de Comunicación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27-4AD9-A44F-97443A826F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27-4AD9-A44F-97443A826F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27-4AD9-A44F-97443A826F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27-4AD9-A44F-97443A826F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'FACTOR12-I'!$A$3:$A$6</c:f>
              <c:strCache>
                <c:ptCount val="4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</c:strCache>
            </c:strRef>
          </c:cat>
          <c:val>
            <c:numRef>
              <c:f>'FACTOR12-I'!$C$3:$C$6</c:f>
              <c:numCache>
                <c:formatCode>General</c:formatCode>
                <c:ptCount val="4"/>
                <c:pt idx="0">
                  <c:v>5</c:v>
                </c:pt>
                <c:pt idx="1">
                  <c:v>13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D-4EAF-810D-608AB7E71EF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'Graficos-I'!$A$3:$A$5</c:f>
              <c:strCache>
                <c:ptCount val="3"/>
                <c:pt idx="0">
                  <c:v>Considero que mi participación en actividades de investigación, desarrollo tecnológico, creación artística, culturales, deportivas y de extensión ha contribuido a mi desarrollo integral como persona</c:v>
                </c:pt>
                <c:pt idx="1">
                  <c:v>Considero que el reglamento estudiantil y las políticas académicas del programa son pertinentes y están actualizadas.</c:v>
                </c:pt>
                <c:pt idx="2">
                  <c:v>Considero que los criterios para la concesión de estímulos académicos y apoyos socioeconómicos, son claros y justos.</c:v>
                </c:pt>
              </c:strCache>
            </c:strRef>
          </c:cat>
          <c:val>
            <c:numRef>
              <c:f>'Graficos-I'!$B$3:$B$5</c:f>
              <c:numCache>
                <c:formatCode>0.00%</c:formatCode>
                <c:ptCount val="3"/>
                <c:pt idx="0">
                  <c:v>0.35496183206106868</c:v>
                </c:pt>
                <c:pt idx="1">
                  <c:v>0.30916030534351147</c:v>
                </c:pt>
                <c:pt idx="2">
                  <c:v>0.33587786259541985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4-4AB7-A6A1-281F5C8966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4098512"/>
        <c:axId val="654100672"/>
      </c:barChart>
      <c:catAx>
        <c:axId val="654098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4100672"/>
        <c:crosses val="autoZero"/>
        <c:auto val="1"/>
        <c:lblAlgn val="ctr"/>
        <c:lblOffset val="100"/>
        <c:noMultiLvlLbl val="0"/>
      </c:catAx>
      <c:valAx>
        <c:axId val="65410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4098512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</a:t>
            </a:r>
            <a:r>
              <a:rPr lang="es-CO" baseline="0"/>
              <a:t>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F0-4F43-9E51-4F65E0E74C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F0-4F43-9E51-4F65E0E74C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'Graficos-I'!$A$9:$A$10</c:f>
              <c:strCache>
                <c:ptCount val="2"/>
                <c:pt idx="0">
                  <c:v>Considero que el material académico producido por los docentes es pertinente y adecuado con las necesidades y objetivos de la Maestría en Ciencias de la Información y las Comunicaciones.</c:v>
                </c:pt>
                <c:pt idx="1">
                  <c:v>Considero que los criterios y mecanismos utilizados para la evaluación de los profesores son transparentes, accesibles y eficaces</c:v>
                </c:pt>
              </c:strCache>
            </c:strRef>
          </c:cat>
          <c:val>
            <c:numRef>
              <c:f>'Graficos-I'!$B$9:$B$10</c:f>
              <c:numCache>
                <c:formatCode>0.00%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F0-4F43-9E51-4F65E0E74C5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'Graficos-I'!$A$35:$A$36</c:f>
              <c:strCache>
                <c:ptCount val="2"/>
                <c:pt idx="0">
                  <c:v>Considero que los espacios, recurso, herramientas y equipos de apoyo ofrecidos son pertinentes y se ajustan adecuadamente a mis necesidades formativas en los diferentes contextos que requiero.</c:v>
                </c:pt>
                <c:pt idx="1">
                  <c:v>Considero que el material bibliográfico y de información disponible en la Maestría en Ciencias de la Información y las Comunicaciones es pertinente y adecuado para apoyar el desarrollo de las distinta</c:v>
                </c:pt>
              </c:strCache>
            </c:strRef>
          </c:cat>
          <c:val>
            <c:numRef>
              <c:f>'Graficos-I'!$B$35:$B$36</c:f>
              <c:numCache>
                <c:formatCode>0.00%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D-41CA-9662-4F3C151B79F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651881432"/>
        <c:axId val="651878552"/>
      </c:barChart>
      <c:catAx>
        <c:axId val="651881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1878552"/>
        <c:crosses val="autoZero"/>
        <c:auto val="1"/>
        <c:lblAlgn val="ctr"/>
        <c:lblOffset val="100"/>
        <c:noMultiLvlLbl val="0"/>
      </c:catAx>
      <c:valAx>
        <c:axId val="65187855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1881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</a:t>
            </a:r>
            <a:r>
              <a:rPr lang="es-CO" baseline="0"/>
              <a:t>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'Graficos-I'!$A$14:$A$17</c:f>
              <c:strCache>
                <c:ptCount val="4"/>
                <c:pt idx="0">
                  <c:v>Considero que las estrategias de flexibilidad curricular me han permitido personalizar mi formación de acuerdo con mis objetivos profesionales y académicos.</c:v>
                </c:pt>
                <c:pt idx="1">
                  <c:v>Considero que las estrategias pedagógicas y escenarios de práctica utilizadas en la Maestría en Ciencias de la Información y las Comunicaciones son coherentes y efectivas para facilitar los resultados</c:v>
                </c:pt>
                <c:pt idx="2">
                  <c:v>Considero que los sistemas de evaluación de los resultados de aprendizaje permiten una realimentación efectiva que contribuye a la mejora continua de la formación en los estudiantes.</c:v>
                </c:pt>
                <c:pt idx="3">
                  <c:v>Considero que el proceso de evaluación y autorregulación de la Maestría en Ciencias de la Información y las Comunicaciones tiene en cuenta de manera efectiva las necesidades y expectativas de los estudiantes</c:v>
                </c:pt>
              </c:strCache>
            </c:strRef>
          </c:cat>
          <c:val>
            <c:numRef>
              <c:f>'Graficos-I'!$B$14:$B$17</c:f>
              <c:numCache>
                <c:formatCode>0.00%</c:formatCode>
                <c:ptCount val="4"/>
                <c:pt idx="0">
                  <c:v>0.25595238095238093</c:v>
                </c:pt>
                <c:pt idx="1">
                  <c:v>0.25297619047619047</c:v>
                </c:pt>
                <c:pt idx="2">
                  <c:v>0.25</c:v>
                </c:pt>
                <c:pt idx="3">
                  <c:v>0.24107142857142858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F-406C-AF45-E4D2186031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12491928"/>
        <c:axId val="512487608"/>
      </c:barChart>
      <c:catAx>
        <c:axId val="512491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487608"/>
        <c:crosses val="autoZero"/>
        <c:auto val="1"/>
        <c:lblAlgn val="ctr"/>
        <c:lblOffset val="100"/>
        <c:noMultiLvlLbl val="0"/>
      </c:catAx>
      <c:valAx>
        <c:axId val="512487608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491928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</a:t>
            </a:r>
            <a:r>
              <a:rPr lang="es-CO" baseline="0"/>
              <a:t> 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'Graficos-I'!$A$39:$A$41</c:f>
              <c:strCache>
                <c:ptCount val="3"/>
                <c:pt idx="0">
                  <c:v>Considero que el representante estudiantil en los diferentes escenarios institucionales ha sido valorada y ha influido en las decisiones orientadas al mejoramiento de la Maestría en Ciencias de la Información</c:v>
                </c:pt>
                <c:pt idx="1">
                  <c:v>Creo que los procesos administrativos están orientados adecuadamente y son eficaces para apoyar el desarrollo integral de las labores formativas, académicas, docentes, científicas, culturales y de extensión de la maestria en ciencias de la información y las comunicaciones</c:v>
                </c:pt>
                <c:pt idx="2">
                  <c:v>Considero que los recursos humanos (profesores, personal administrativo, etc.) disponibles en la Maestría en Ciencias de la Información y las Comunicaciones son suficientes y adecuados para atender el l número de estudiantes 
matriculados y cumplir con los objetivos del Proyecto Educativo del Programa (PEP) </c:v>
                </c:pt>
              </c:strCache>
            </c:strRef>
          </c:cat>
          <c:val>
            <c:numRef>
              <c:f>'Graficos-I'!$B$39:$B$41</c:f>
              <c:numCache>
                <c:formatCode>0.00%</c:formatCode>
                <c:ptCount val="3"/>
                <c:pt idx="0">
                  <c:v>0.28870292887029286</c:v>
                </c:pt>
                <c:pt idx="1">
                  <c:v>0.33891213389121339</c:v>
                </c:pt>
                <c:pt idx="2">
                  <c:v>0.3723849372384937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C-4E4C-84CB-149949ECE1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46211752"/>
        <c:axId val="546212472"/>
      </c:barChart>
      <c:catAx>
        <c:axId val="546211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212472"/>
        <c:crosses val="autoZero"/>
        <c:auto val="1"/>
        <c:lblAlgn val="ctr"/>
        <c:lblOffset val="100"/>
        <c:noMultiLvlLbl val="0"/>
      </c:catAx>
      <c:valAx>
        <c:axId val="54621247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21175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0</xdr:row>
      <xdr:rowOff>147637</xdr:rowOff>
    </xdr:from>
    <xdr:to>
      <xdr:col>16</xdr:col>
      <xdr:colOff>76200</xdr:colOff>
      <xdr:row>14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B9B583-A92C-2F33-3A33-8D6D573BA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504825</xdr:colOff>
      <xdr:row>15</xdr:row>
      <xdr:rowOff>90487</xdr:rowOff>
    </xdr:from>
    <xdr:to>
      <xdr:col>16</xdr:col>
      <xdr:colOff>200025</xdr:colOff>
      <xdr:row>29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34B6BE-77D2-B529-7E13-4539332582AC}"/>
            </a:ext>
            <a:ext uri="{147F2762-F138-4A5C-976F-8EAC2B608ADB}">
              <a16:predDERef xmlns:a16="http://schemas.microsoft.com/office/drawing/2014/main" pred="{F1B9B583-A92C-2F33-3A33-8D6D573BA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723900</xdr:colOff>
      <xdr:row>25</xdr:row>
      <xdr:rowOff>147637</xdr:rowOff>
    </xdr:from>
    <xdr:to>
      <xdr:col>4</xdr:col>
      <xdr:colOff>523875</xdr:colOff>
      <xdr:row>40</xdr:row>
      <xdr:rowOff>33337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295BBA-2EF1-611C-40D5-FABD793E7592}"/>
            </a:ext>
            <a:ext uri="{147F2762-F138-4A5C-976F-8EAC2B608ADB}">
              <a16:predDERef xmlns:a16="http://schemas.microsoft.com/office/drawing/2014/main" pred="{0F34B6BE-77D2-B529-7E13-453933258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0</xdr:row>
      <xdr:rowOff>138112</xdr:rowOff>
    </xdr:from>
    <xdr:to>
      <xdr:col>17</xdr:col>
      <xdr:colOff>200025</xdr:colOff>
      <xdr:row>14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0D3E31-4D52-3D4B-2EF3-FEBC58BBB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200025</xdr:colOff>
      <xdr:row>15</xdr:row>
      <xdr:rowOff>28575</xdr:rowOff>
    </xdr:from>
    <xdr:to>
      <xdr:col>15</xdr:col>
      <xdr:colOff>323850</xdr:colOff>
      <xdr:row>29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2ECB60-35F2-7F8C-4A1B-3A8DF3A91669}"/>
            </a:ext>
            <a:ext uri="{147F2762-F138-4A5C-976F-8EAC2B608ADB}">
              <a16:predDERef xmlns:a16="http://schemas.microsoft.com/office/drawing/2014/main" pred="{8F0D3E31-4D52-3D4B-2EF3-FEBC58BBB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0</xdr:row>
      <xdr:rowOff>52387</xdr:rowOff>
    </xdr:from>
    <xdr:to>
      <xdr:col>17</xdr:col>
      <xdr:colOff>400050</xdr:colOff>
      <xdr:row>20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537FA1-D0FF-9773-0BA3-86302FE77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119062</xdr:colOff>
      <xdr:row>21</xdr:row>
      <xdr:rowOff>166687</xdr:rowOff>
    </xdr:from>
    <xdr:to>
      <xdr:col>17</xdr:col>
      <xdr:colOff>423862</xdr:colOff>
      <xdr:row>36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BAB637-10E8-88B1-DFCD-1C4F58C73079}"/>
            </a:ext>
            <a:ext uri="{147F2762-F138-4A5C-976F-8EAC2B608ADB}">
              <a16:predDERef xmlns:a16="http://schemas.microsoft.com/office/drawing/2014/main" pred="{51537FA1-D0FF-9773-0BA3-86302FE77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166687</xdr:colOff>
      <xdr:row>37</xdr:row>
      <xdr:rowOff>138112</xdr:rowOff>
    </xdr:from>
    <xdr:to>
      <xdr:col>17</xdr:col>
      <xdr:colOff>471487</xdr:colOff>
      <xdr:row>52</xdr:row>
      <xdr:rowOff>23812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469D16-FE55-C45A-8154-02A2BFB88062}"/>
            </a:ext>
            <a:ext uri="{147F2762-F138-4A5C-976F-8EAC2B608ADB}">
              <a16:predDERef xmlns:a16="http://schemas.microsoft.com/office/drawing/2014/main" pred="{6ABAB637-10E8-88B1-DFCD-1C4F58C73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414337</xdr:colOff>
      <xdr:row>0</xdr:row>
      <xdr:rowOff>290512</xdr:rowOff>
    </xdr:from>
    <xdr:to>
      <xdr:col>15</xdr:col>
      <xdr:colOff>538162</xdr:colOff>
      <xdr:row>14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21D4AB-B1E3-3B4F-B961-B296252E7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290512</xdr:colOff>
      <xdr:row>1</xdr:row>
      <xdr:rowOff>33337</xdr:rowOff>
    </xdr:from>
    <xdr:to>
      <xdr:col>15</xdr:col>
      <xdr:colOff>414337</xdr:colOff>
      <xdr:row>15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44CD3E-A90D-972F-D18D-E7707B988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1062037</xdr:colOff>
      <xdr:row>10</xdr:row>
      <xdr:rowOff>42862</xdr:rowOff>
    </xdr:from>
    <xdr:to>
      <xdr:col>5</xdr:col>
      <xdr:colOff>252412</xdr:colOff>
      <xdr:row>24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A54AC3-82B0-135C-FA69-1C788D27A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109537</xdr:colOff>
      <xdr:row>2</xdr:row>
      <xdr:rowOff>166687</xdr:rowOff>
    </xdr:from>
    <xdr:to>
      <xdr:col>15</xdr:col>
      <xdr:colOff>233362</xdr:colOff>
      <xdr:row>17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F86800-88EE-DB12-0496-81F857493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328612</xdr:colOff>
      <xdr:row>0</xdr:row>
      <xdr:rowOff>0</xdr:rowOff>
    </xdr:from>
    <xdr:to>
      <xdr:col>18</xdr:col>
      <xdr:colOff>23812</xdr:colOff>
      <xdr:row>13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FE155A-B70A-46B6-2772-C94F78B1B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214312</xdr:colOff>
      <xdr:row>14</xdr:row>
      <xdr:rowOff>14287</xdr:rowOff>
    </xdr:from>
    <xdr:to>
      <xdr:col>17</xdr:col>
      <xdr:colOff>519112</xdr:colOff>
      <xdr:row>28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035071-2B13-A2F4-F07F-B4F0E72EF087}"/>
            </a:ext>
            <a:ext uri="{147F2762-F138-4A5C-976F-8EAC2B608ADB}">
              <a16:predDERef xmlns:a16="http://schemas.microsoft.com/office/drawing/2014/main" pred="{BCFE155A-B70A-46B6-2772-C94F78B1B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166687</xdr:colOff>
      <xdr:row>0</xdr:row>
      <xdr:rowOff>33337</xdr:rowOff>
    </xdr:from>
    <xdr:to>
      <xdr:col>17</xdr:col>
      <xdr:colOff>471487</xdr:colOff>
      <xdr:row>13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3CE6AB-A09E-8BC9-5CDF-B947F061B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176212</xdr:colOff>
      <xdr:row>14</xdr:row>
      <xdr:rowOff>42862</xdr:rowOff>
    </xdr:from>
    <xdr:to>
      <xdr:col>17</xdr:col>
      <xdr:colOff>481012</xdr:colOff>
      <xdr:row>28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F7FD88D-CA34-20D6-B149-4F8460F8E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100012</xdr:colOff>
      <xdr:row>29</xdr:row>
      <xdr:rowOff>23812</xdr:rowOff>
    </xdr:from>
    <xdr:to>
      <xdr:col>17</xdr:col>
      <xdr:colOff>404812</xdr:colOff>
      <xdr:row>43</xdr:row>
      <xdr:rowOff>100012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9B7C69-172F-EF54-F1F9-5B647E38F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2309812</xdr:colOff>
      <xdr:row>10</xdr:row>
      <xdr:rowOff>119062</xdr:rowOff>
    </xdr:from>
    <xdr:to>
      <xdr:col>7</xdr:col>
      <xdr:colOff>33337</xdr:colOff>
      <xdr:row>25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CDD2F7-0A79-DA44-7DDB-F7CDD853A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1</xdr:row>
      <xdr:rowOff>80962</xdr:rowOff>
    </xdr:from>
    <xdr:to>
      <xdr:col>9</xdr:col>
      <xdr:colOff>200025</xdr:colOff>
      <xdr:row>11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F54C5A-52D6-4B5C-952A-BDDE983A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438150</xdr:colOff>
      <xdr:row>12</xdr:row>
      <xdr:rowOff>61912</xdr:rowOff>
    </xdr:from>
    <xdr:to>
      <xdr:col>8</xdr:col>
      <xdr:colOff>366712</xdr:colOff>
      <xdr:row>27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8B75C06-12C7-486C-8839-5A8EAA4BE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423862</xdr:colOff>
      <xdr:row>43</xdr:row>
      <xdr:rowOff>147637</xdr:rowOff>
    </xdr:from>
    <xdr:to>
      <xdr:col>8</xdr:col>
      <xdr:colOff>423862</xdr:colOff>
      <xdr:row>58</xdr:row>
      <xdr:rowOff>33337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EB16B38-749F-4B53-B29A-8BAB3534F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423862</xdr:colOff>
      <xdr:row>28</xdr:row>
      <xdr:rowOff>61912</xdr:rowOff>
    </xdr:from>
    <xdr:to>
      <xdr:col>8</xdr:col>
      <xdr:colOff>485775</xdr:colOff>
      <xdr:row>42</xdr:row>
      <xdr:rowOff>161926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D0D318A-4C1F-438A-9831-7381E1471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647700</xdr:colOff>
      <xdr:row>45</xdr:row>
      <xdr:rowOff>42862</xdr:rowOff>
    </xdr:from>
    <xdr:to>
      <xdr:col>1</xdr:col>
      <xdr:colOff>1219200</xdr:colOff>
      <xdr:row>59</xdr:row>
      <xdr:rowOff>119062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CA83D58-1F9D-464A-B85F-134707EF7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amilo%20U\15avo%20Semestre\Monitorias\Encuesta%20Factores\Factores%20Estudiantes-%20Profundizacion.xlsx" TargetMode="External"/><Relationship Id="rId1" Type="http://schemas.openxmlformats.org/officeDocument/2006/relationships/externalLinkPath" Target="Factores%20Estudiantes-%20Profundizac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OR2-P"/>
      <sheetName val="FACTOR3-P"/>
      <sheetName val="FACTOR5-P"/>
      <sheetName val="FACTOR6-P"/>
      <sheetName val="FACTOR7-P "/>
      <sheetName val="FACTOR8-P"/>
      <sheetName val="FACTOR9-P"/>
      <sheetName val="FACTOR10-P"/>
      <sheetName val="FACTOR11-P"/>
      <sheetName val="FACTOR12-P"/>
      <sheetName val="Graficos-P"/>
    </sheetNames>
    <sheetDataSet>
      <sheetData sheetId="0">
        <row r="1">
          <cell r="A1" t="str">
            <v>Considero que mi participación en actividades de investigación, desarrollo tecnológico, creación artística, culturales, deportivas y de extensión ha contribuido a mi desarrollo integral como persona</v>
          </cell>
        </row>
        <row r="3">
          <cell r="A3" t="str">
            <v>Totalmente de acuerdo</v>
          </cell>
          <cell r="C3">
            <v>12</v>
          </cell>
        </row>
        <row r="4">
          <cell r="A4" t="str">
            <v>De acuerdo</v>
          </cell>
          <cell r="C4">
            <v>8</v>
          </cell>
        </row>
        <row r="5">
          <cell r="A5" t="str">
            <v>Ni en acuerdo ni en desacuerdo</v>
          </cell>
          <cell r="C5">
            <v>7</v>
          </cell>
        </row>
        <row r="6">
          <cell r="A6" t="str">
            <v>En desacuerdo</v>
          </cell>
          <cell r="C6">
            <v>0</v>
          </cell>
        </row>
        <row r="7">
          <cell r="A7" t="str">
            <v>Totalmente en desacuerdo</v>
          </cell>
          <cell r="C7">
            <v>0</v>
          </cell>
        </row>
        <row r="9">
          <cell r="A9" t="str">
            <v>Considero que el reglamento estudiantil y las políticas académicas del programa son pertinentes y están actualizadas.</v>
          </cell>
        </row>
        <row r="11">
          <cell r="A11" t="str">
            <v>Totalmente de acuerdo</v>
          </cell>
          <cell r="C11">
            <v>5</v>
          </cell>
        </row>
        <row r="12">
          <cell r="A12" t="str">
            <v>De acuerdo</v>
          </cell>
          <cell r="C12">
            <v>16</v>
          </cell>
        </row>
        <row r="13">
          <cell r="A13" t="str">
            <v>Ni en acuerdo ni en desacuerdo</v>
          </cell>
          <cell r="C13">
            <v>4</v>
          </cell>
        </row>
        <row r="14">
          <cell r="A14" t="str">
            <v>En desacuerdo</v>
          </cell>
          <cell r="C14">
            <v>1</v>
          </cell>
        </row>
        <row r="15">
          <cell r="A15" t="str">
            <v>Totalmente en desacuerdo</v>
          </cell>
          <cell r="C15">
            <v>1</v>
          </cell>
        </row>
        <row r="17">
          <cell r="A17" t="str">
            <v>Considero que los criterios para la concesión de estímulos académicos y apoyos socioeconómicos, son claros y justos.</v>
          </cell>
        </row>
        <row r="19">
          <cell r="A19" t="str">
            <v>Totalmente de acuerdo</v>
          </cell>
          <cell r="C19">
            <v>5</v>
          </cell>
        </row>
        <row r="20">
          <cell r="A20" t="str">
            <v>De acuerdo</v>
          </cell>
          <cell r="C20">
            <v>9</v>
          </cell>
        </row>
        <row r="21">
          <cell r="A21" t="str">
            <v>Ni en acuerdo ni en desacuerdo</v>
          </cell>
          <cell r="C21">
            <v>9</v>
          </cell>
        </row>
        <row r="22">
          <cell r="A22" t="str">
            <v>En desacuerdo</v>
          </cell>
          <cell r="C22">
            <v>4</v>
          </cell>
        </row>
        <row r="23">
          <cell r="A23" t="str">
            <v>Totalmente en desacuerdo</v>
          </cell>
          <cell r="C23">
            <v>0</v>
          </cell>
        </row>
      </sheetData>
      <sheetData sheetId="1">
        <row r="1">
          <cell r="A1" t="str">
            <v>Considero que el material académico producido por los docentes es pertinente y adecuado con las necesidades y objetivos de la Maestría en Ciencias de la Información y las Comunicaciones.</v>
          </cell>
        </row>
        <row r="3">
          <cell r="A3" t="str">
            <v>Totalmente de acuerdo</v>
          </cell>
          <cell r="C3">
            <v>9</v>
          </cell>
        </row>
        <row r="4">
          <cell r="A4" t="str">
            <v>De acuerdo</v>
          </cell>
          <cell r="C4">
            <v>16</v>
          </cell>
        </row>
        <row r="5">
          <cell r="A5" t="str">
            <v>Ni en acuerdo ni en desacuerdo</v>
          </cell>
          <cell r="C5">
            <v>2</v>
          </cell>
        </row>
        <row r="6">
          <cell r="A6" t="str">
            <v>En desacuerdo</v>
          </cell>
          <cell r="C6">
            <v>0</v>
          </cell>
        </row>
        <row r="7">
          <cell r="A7" t="str">
            <v>Totalmente en desacuerdo</v>
          </cell>
          <cell r="C7">
            <v>0</v>
          </cell>
        </row>
        <row r="9">
          <cell r="A9" t="str">
            <v>Considero que los criterios y mecanismos utilizados para la evaluación de los profesores son transparentes, accesibles y eficaces</v>
          </cell>
        </row>
        <row r="11">
          <cell r="A11" t="str">
            <v>Totalmente de acuerdo</v>
          </cell>
          <cell r="C11">
            <v>11</v>
          </cell>
        </row>
        <row r="12">
          <cell r="A12" t="str">
            <v>De acuerdo</v>
          </cell>
          <cell r="C12">
            <v>14</v>
          </cell>
        </row>
        <row r="13">
          <cell r="A13" t="str">
            <v>Ni en acuerdo ni en desacuerdo</v>
          </cell>
          <cell r="C13">
            <v>2</v>
          </cell>
        </row>
        <row r="14">
          <cell r="A14" t="str">
            <v>En desacuerdo</v>
          </cell>
          <cell r="C14">
            <v>0</v>
          </cell>
        </row>
        <row r="15">
          <cell r="A15" t="str">
            <v>Totalmente en desacuerdo</v>
          </cell>
          <cell r="C15">
            <v>0</v>
          </cell>
        </row>
      </sheetData>
      <sheetData sheetId="2">
        <row r="1">
          <cell r="A1" t="str">
            <v>Considero que las estrategias de flexibilidad curricular me han permitido personalizar mi formación de acuerdo con mis objetivos profesionales y académicos.</v>
          </cell>
        </row>
        <row r="3">
          <cell r="A3" t="str">
            <v>Totalmente de acuerdo</v>
          </cell>
          <cell r="C3">
            <v>6</v>
          </cell>
        </row>
        <row r="4">
          <cell r="A4" t="str">
            <v>De acuerdo</v>
          </cell>
          <cell r="C4">
            <v>7</v>
          </cell>
        </row>
        <row r="5">
          <cell r="A5" t="str">
            <v>Ni en acuerdo ni en desacuerdo</v>
          </cell>
          <cell r="C5">
            <v>12</v>
          </cell>
        </row>
        <row r="6">
          <cell r="A6" t="str">
            <v>En desacuerdo</v>
          </cell>
          <cell r="C6">
            <v>1</v>
          </cell>
        </row>
        <row r="7">
          <cell r="A7" t="str">
            <v>Totalmente en desacuerdo</v>
          </cell>
          <cell r="C7">
            <v>1</v>
          </cell>
        </row>
        <row r="17">
          <cell r="A17" t="str">
            <v>Considero que las estrategias pedagógicas y escenarios de práctica utilizadas en la Maestría en Ciencias de la Información y las Comunicaciones son coherentes y efectivas para facilitar los resultados</v>
          </cell>
        </row>
        <row r="19">
          <cell r="A19" t="str">
            <v>Totalmente de acuerdo</v>
          </cell>
          <cell r="C19">
            <v>5</v>
          </cell>
        </row>
        <row r="20">
          <cell r="A20" t="str">
            <v>De acuerdo</v>
          </cell>
          <cell r="C20">
            <v>17</v>
          </cell>
        </row>
        <row r="21">
          <cell r="A21" t="str">
            <v>Ni en acuerdo ni en desacuerdo</v>
          </cell>
          <cell r="C21">
            <v>4</v>
          </cell>
        </row>
        <row r="22">
          <cell r="A22" t="str">
            <v>En desacuerdo</v>
          </cell>
          <cell r="C22">
            <v>1</v>
          </cell>
        </row>
        <row r="23">
          <cell r="A23" t="str">
            <v>Totalmente en desacuerdo</v>
          </cell>
          <cell r="C23">
            <v>0</v>
          </cell>
        </row>
        <row r="25">
          <cell r="A25" t="str">
            <v>Considero que los sistemas de evaluación de los resultados de aprendizaje permiten una realimentación efectiva que contribuye a la mejora continua de la formación en los estudiantes.</v>
          </cell>
        </row>
        <row r="33">
          <cell r="A33" t="str">
            <v>Considero que el proceso de evaluación y autorregulación de la Maestría en Ciencias de la Información y las Comunicaciones tiene en cuenta de manera efectiva las necesidades y expectativas de los estudiantes</v>
          </cell>
        </row>
        <row r="35">
          <cell r="A35" t="str">
            <v>Totalmente de acuerdo</v>
          </cell>
          <cell r="B35">
            <v>5</v>
          </cell>
        </row>
        <row r="36">
          <cell r="A36" t="str">
            <v>De acuerdo</v>
          </cell>
          <cell r="B36">
            <v>4</v>
          </cell>
        </row>
        <row r="37">
          <cell r="A37" t="str">
            <v>Ni en acuerdo ni en desacuerdo</v>
          </cell>
          <cell r="B37">
            <v>3</v>
          </cell>
        </row>
        <row r="38">
          <cell r="A38" t="str">
            <v>En desacuerdo</v>
          </cell>
          <cell r="B38">
            <v>2</v>
          </cell>
        </row>
        <row r="39">
          <cell r="A39" t="str">
            <v>Totalmente en desacuerdo</v>
          </cell>
          <cell r="B39">
            <v>1</v>
          </cell>
        </row>
      </sheetData>
      <sheetData sheetId="3">
        <row r="1">
          <cell r="A1" t="str">
            <v>Considero que las intervenciones y el apoyo proporcionados para alertarme de forma temprana, han sido útiles para mejorar mi rendimiento académico y facilitar mi progreso hacia la graduación.</v>
          </cell>
        </row>
        <row r="3">
          <cell r="A3" t="str">
            <v>Totalmente de acuerdo</v>
          </cell>
          <cell r="C3">
            <v>6</v>
          </cell>
          <cell r="G3">
            <v>1</v>
          </cell>
        </row>
        <row r="4">
          <cell r="A4" t="str">
            <v>De acuerdo</v>
          </cell>
          <cell r="C4">
            <v>16</v>
          </cell>
        </row>
        <row r="5">
          <cell r="A5" t="str">
            <v>Ni en acuerdo ni en desacuerdo</v>
          </cell>
          <cell r="C5">
            <v>5</v>
          </cell>
        </row>
        <row r="6">
          <cell r="A6" t="str">
            <v>En desacuerdo</v>
          </cell>
          <cell r="C6">
            <v>0</v>
          </cell>
        </row>
        <row r="7">
          <cell r="A7" t="str">
            <v>Totalmente en desacuerdo</v>
          </cell>
          <cell r="C7">
            <v>0</v>
          </cell>
        </row>
      </sheetData>
      <sheetData sheetId="4">
        <row r="1">
          <cell r="A1" t="str">
            <v>Considero que la interacción con homólogos nacionales e internacionales ha mejorado mis competencias académicas y científicas, así como las oportunidades de desarrollo profesional.</v>
          </cell>
        </row>
        <row r="3">
          <cell r="A3" t="str">
            <v>Totalmente de acuerdo</v>
          </cell>
          <cell r="C3">
            <v>2</v>
          </cell>
          <cell r="G3">
            <v>1</v>
          </cell>
        </row>
        <row r="4">
          <cell r="A4" t="str">
            <v>De acuerdo</v>
          </cell>
          <cell r="C4">
            <v>5</v>
          </cell>
        </row>
        <row r="5">
          <cell r="A5" t="str">
            <v>Ni en acuerdo ni en desacuerdo</v>
          </cell>
          <cell r="C5">
            <v>20</v>
          </cell>
        </row>
        <row r="6">
          <cell r="A6" t="str">
            <v>En desacuerdo</v>
          </cell>
          <cell r="C6">
            <v>0</v>
          </cell>
        </row>
        <row r="7">
          <cell r="A7" t="str">
            <v>Totalmente en desacuerdo</v>
          </cell>
          <cell r="C7">
            <v>0</v>
          </cell>
        </row>
      </sheetData>
      <sheetData sheetId="5">
        <row r="1">
          <cell r="A1" t="str">
            <v>Considero que la Maestría en Ciencias de la Información y las Comunicaciones me proporciona una formación adecuada para la investigación, fomentando el desarrollo de un pensamiento crítico, creativo e innovador</v>
          </cell>
        </row>
        <row r="3">
          <cell r="A3" t="str">
            <v>Totalmente de acuerdo</v>
          </cell>
          <cell r="C3">
            <v>10</v>
          </cell>
          <cell r="G3">
            <v>1</v>
          </cell>
        </row>
        <row r="4">
          <cell r="A4" t="str">
            <v>De acuerdo</v>
          </cell>
          <cell r="C4">
            <v>15</v>
          </cell>
        </row>
        <row r="5">
          <cell r="A5" t="str">
            <v>Ni en acuerdo ni en desacuerdo</v>
          </cell>
          <cell r="C5">
            <v>1</v>
          </cell>
        </row>
        <row r="6">
          <cell r="A6" t="str">
            <v>En desacuerdo</v>
          </cell>
          <cell r="C6">
            <v>1</v>
          </cell>
        </row>
        <row r="7">
          <cell r="A7" t="str">
            <v>Totalmente en desacuerdo</v>
          </cell>
          <cell r="C7">
            <v>0</v>
          </cell>
        </row>
      </sheetData>
      <sheetData sheetId="6">
        <row r="1">
          <cell r="A1" t="str">
            <v>Considero que las políticas, programas y servicios de bienestar implementados en Maestría en Ciencias de la Información y las Comunicaciones son coherentes con las condiciones y necesidades específica</v>
          </cell>
        </row>
        <row r="3">
          <cell r="A3" t="str">
            <v>Totalmente de acuerdo</v>
          </cell>
          <cell r="C3">
            <v>4</v>
          </cell>
        </row>
        <row r="4">
          <cell r="A4" t="str">
            <v>De acuerdo</v>
          </cell>
          <cell r="C4">
            <v>14</v>
          </cell>
        </row>
        <row r="5">
          <cell r="A5" t="str">
            <v>Ni en acuerdo ni en desacuerdo</v>
          </cell>
          <cell r="C5">
            <v>8</v>
          </cell>
        </row>
        <row r="6">
          <cell r="A6" t="str">
            <v>En desacuerdo</v>
          </cell>
          <cell r="C6">
            <v>1</v>
          </cell>
        </row>
        <row r="7">
          <cell r="A7" t="str">
            <v>Totalmente en desacuerdo</v>
          </cell>
          <cell r="C7">
            <v>0</v>
          </cell>
        </row>
      </sheetData>
      <sheetData sheetId="7">
        <row r="1">
          <cell r="A1" t="str">
            <v>Considero que los espacios, recurso, herramientas y equipos de apoyo ofrecidos son pertinentes y se ajustan adecuadamente a mis necesidades formativas en los diferentes contextos que requiero.</v>
          </cell>
        </row>
        <row r="3">
          <cell r="A3" t="str">
            <v>Totalmente de acuerdo</v>
          </cell>
          <cell r="C3">
            <v>6</v>
          </cell>
        </row>
        <row r="4">
          <cell r="A4" t="str">
            <v>De acuerdo</v>
          </cell>
          <cell r="C4">
            <v>15</v>
          </cell>
        </row>
        <row r="5">
          <cell r="A5" t="str">
            <v>Ni en acuerdo ni en desacuerdo</v>
          </cell>
          <cell r="C5">
            <v>4</v>
          </cell>
        </row>
        <row r="6">
          <cell r="A6" t="str">
            <v>En desacuerdo</v>
          </cell>
          <cell r="C6">
            <v>2</v>
          </cell>
        </row>
        <row r="7">
          <cell r="A7" t="str">
            <v>Totalmente en desacuerdo</v>
          </cell>
          <cell r="C7">
            <v>0</v>
          </cell>
        </row>
        <row r="9">
          <cell r="A9" t="str">
            <v>Considero que el material bibliográfico y de información disponible en la Maestría en Ciencias de la Información y las Comunicaciones es pertinente y adecuado para apoyar el desarrollo de las distinta</v>
          </cell>
        </row>
        <row r="11">
          <cell r="A11" t="str">
            <v>Totalmente de acuerdo</v>
          </cell>
          <cell r="C11">
            <v>9</v>
          </cell>
        </row>
        <row r="12">
          <cell r="A12" t="str">
            <v>De acuerdo</v>
          </cell>
          <cell r="C12">
            <v>14</v>
          </cell>
        </row>
        <row r="13">
          <cell r="A13" t="str">
            <v>Ni en acuerdo ni en desacuerdo</v>
          </cell>
          <cell r="C13">
            <v>4</v>
          </cell>
        </row>
      </sheetData>
      <sheetData sheetId="8">
        <row r="1">
          <cell r="A1" t="str">
            <v>Considero que el representante estudiantil en los diferentes escenarios institucionales ha sido valorada y ha influido en las decisiones orientadas al mejoramiento de la Maestría en Ciencias de la Información</v>
          </cell>
        </row>
        <row r="3">
          <cell r="A3" t="str">
            <v>Totalmente de acuerdo</v>
          </cell>
          <cell r="C3">
            <v>2</v>
          </cell>
        </row>
        <row r="4">
          <cell r="A4" t="str">
            <v>De acuerdo</v>
          </cell>
          <cell r="C4">
            <v>2</v>
          </cell>
        </row>
        <row r="5">
          <cell r="A5" t="str">
            <v>Ni en acuerdo ni en desacuerdo</v>
          </cell>
          <cell r="C5">
            <v>20</v>
          </cell>
        </row>
        <row r="6">
          <cell r="A6" t="str">
            <v>En desacuerdo</v>
          </cell>
          <cell r="C6">
            <v>2</v>
          </cell>
        </row>
        <row r="7">
          <cell r="A7" t="str">
            <v>Totalmente en desacuerdo</v>
          </cell>
          <cell r="C7">
            <v>1</v>
          </cell>
        </row>
        <row r="9">
          <cell r="A9" t="str">
            <v>Creo que los procesos administrativos están orientados adecuadamente y son eficaces para apoyar el desarrollo integral de las labores formativas, académicas, docentes, científicas, culturales y de extensión de la maestria en ciencias de la información y las comunicaciones</v>
          </cell>
        </row>
        <row r="11">
          <cell r="A11" t="str">
            <v>Totalmente de acuerdo</v>
          </cell>
          <cell r="C11">
            <v>3</v>
          </cell>
        </row>
        <row r="12">
          <cell r="A12" t="str">
            <v>De acuerdo</v>
          </cell>
          <cell r="C12">
            <v>17</v>
          </cell>
        </row>
        <row r="13">
          <cell r="A13" t="str">
            <v>Ni en acuerdo ni en desacuerdo</v>
          </cell>
          <cell r="C13">
            <v>5</v>
          </cell>
        </row>
        <row r="14">
          <cell r="A14" t="str">
            <v>En desacuerdo</v>
          </cell>
          <cell r="C14">
            <v>2</v>
          </cell>
        </row>
        <row r="15">
          <cell r="A15" t="str">
            <v>Totalmente en desacuerdo</v>
          </cell>
          <cell r="C15">
            <v>0</v>
          </cell>
        </row>
        <row r="17">
          <cell r="A17" t="str">
            <v xml:space="preserve">Considero que los recursos humanos (profesores, personal administrativo, etc.) disponibles en la Maestría en Ciencias de la Información y las Comunicaciones son suficientes y adecuados para atender el l número de estudiantes 
matriculados y cumplir con los objetivos del Proyecto Educativo del Programa (PEP) </v>
          </cell>
        </row>
        <row r="19">
          <cell r="A19" t="str">
            <v>Totalmente de acuerdo</v>
          </cell>
          <cell r="C19">
            <v>6</v>
          </cell>
        </row>
        <row r="20">
          <cell r="A20" t="str">
            <v>De acuerdo</v>
          </cell>
          <cell r="C20">
            <v>13</v>
          </cell>
        </row>
        <row r="21">
          <cell r="A21" t="str">
            <v>Ni en acuerdo ni en desacuerdo</v>
          </cell>
          <cell r="C21">
            <v>4</v>
          </cell>
        </row>
        <row r="22">
          <cell r="A22" t="str">
            <v>En desacuerdo</v>
          </cell>
          <cell r="C22">
            <v>4</v>
          </cell>
        </row>
        <row r="23">
          <cell r="A23" t="str">
            <v>Totalmente en desacuerdo</v>
          </cell>
          <cell r="C23">
            <v>0</v>
          </cell>
        </row>
      </sheetData>
      <sheetData sheetId="9">
        <row r="1">
          <cell r="A1" t="str">
            <v>Considero que los recursos informáticos disponibles, corresponden  adecuadamente con las 
necesidades tecnológicas de la Maestria de ciencias de la información y las comunicaciones y de sus miembros (profesores y 
estudiantes)</v>
          </cell>
        </row>
        <row r="3">
          <cell r="A3" t="str">
            <v>Totalmente de acuerdo</v>
          </cell>
          <cell r="C3">
            <v>8</v>
          </cell>
          <cell r="G3">
            <v>1</v>
          </cell>
        </row>
        <row r="4">
          <cell r="A4" t="str">
            <v>De acuerdo</v>
          </cell>
          <cell r="C4">
            <v>13</v>
          </cell>
        </row>
        <row r="5">
          <cell r="A5" t="str">
            <v>Ni en acuerdo ni en desacuerdo</v>
          </cell>
          <cell r="C5">
            <v>6</v>
          </cell>
        </row>
      </sheetData>
      <sheetData sheetId="10">
        <row r="3">
          <cell r="A3" t="str">
            <v>Considero que mi participación en actividades de investigación, desarrollo tecnológico, creación artística, culturales, deportivas y de extensión ha contribuido a mi desarrollo integral como persona</v>
          </cell>
          <cell r="B3">
            <v>0.36102236421725242</v>
          </cell>
        </row>
        <row r="4">
          <cell r="A4" t="str">
            <v>Considero que el reglamento estudiantil y las políticas académicas del programa son pertinentes y están actualizadas.</v>
          </cell>
          <cell r="B4">
            <v>0.33226837060702874</v>
          </cell>
        </row>
        <row r="5">
          <cell r="A5" t="str">
            <v>Considero que los criterios para la concesión de estímulos académicos y apoyos socioeconómicos, son claros y justos.</v>
          </cell>
          <cell r="B5">
            <v>0.30670926517571884</v>
          </cell>
        </row>
        <row r="9">
          <cell r="A9" t="str">
            <v>Considero que el material académico producido por los docentes es pertinente y adecuado con las necesidades y objetivos de la Maestría en Ciencias de la Información y las Comunicaciones.</v>
          </cell>
          <cell r="B9">
            <v>0.49568965517241381</v>
          </cell>
        </row>
        <row r="10">
          <cell r="A10" t="str">
            <v>Considero que los criterios y mecanismos utilizados para la evaluación de los profesores son transparentes, accesibles y eficaces</v>
          </cell>
          <cell r="B10">
            <v>0.50431034482758619</v>
          </cell>
        </row>
        <row r="14">
          <cell r="A14" t="str">
            <v>Considero que las estrategias de flexibilidad curricular me han permitido personalizar mi formación de acuerdo con mis objetivos profesionales y académicos.</v>
          </cell>
          <cell r="B14">
            <v>0.23261390887290168</v>
          </cell>
        </row>
        <row r="15">
          <cell r="A15" t="str">
            <v>Considero que las estrategias pedagógicas y escenarios de práctica utilizadas en la Maestría en Ciencias de la Información y las Comunicaciones son coherentes y efectivas para facilitar los resultados</v>
          </cell>
          <cell r="B15">
            <v>0.25659472422062352</v>
          </cell>
        </row>
        <row r="16">
          <cell r="A16" t="str">
            <v>Considero que los sistemas de evaluación de los resultados de aprendizaje permiten una realimentación efectiva que contribuye a la mejora continua de la formación en los estudiantes.</v>
          </cell>
          <cell r="B16">
            <v>0.26858513189448441</v>
          </cell>
        </row>
        <row r="17">
          <cell r="A17" t="str">
            <v>Considero que el proceso de evaluación y autorregulación de la Maestría en Ciencias de la Información y las Comunicaciones tiene en cuenta de manera efectiva las necesidades y expectativas de los estudiantes</v>
          </cell>
          <cell r="B17">
            <v>0.2422062350119904</v>
          </cell>
        </row>
        <row r="35">
          <cell r="A35" t="str">
            <v>Considero que los espacios, recurso, herramientas y equipos de apoyo ofrecidos son pertinentes y se ajustan adecuadamente a mis necesidades formativas en los diferentes contextos que requiero.</v>
          </cell>
          <cell r="B35">
            <v>0.48401826484018262</v>
          </cell>
        </row>
        <row r="36">
          <cell r="A36" t="str">
            <v>Considero que el material bibliográfico y de información disponible en la Maestría en Ciencias de la Información y las Comunicaciones es pertinente y adecuado para apoyar el desarrollo de las distinta</v>
          </cell>
          <cell r="B36">
            <v>0.51598173515981738</v>
          </cell>
        </row>
        <row r="39">
          <cell r="A39" t="str">
            <v>Considero que el representante estudiantil en los diferentes escenarios institucionales ha sido valorada y ha influido en las decisiones orientadas al mejoramiento de la Maestría en Ciencias de la Información</v>
          </cell>
          <cell r="B39">
            <v>0.28919860627177701</v>
          </cell>
        </row>
        <row r="40">
          <cell r="A40" t="str">
            <v>Creo que los procesos administrativos están orientados adecuadamente y son eficaces para apoyar el desarrollo integral de las labores formativas, académicas, docentes, científicas, culturales y de extensión de la maestria en ciencias de la información y las comunicaciones</v>
          </cell>
          <cell r="B40">
            <v>0.35540069686411152</v>
          </cell>
        </row>
        <row r="41">
          <cell r="A41" t="str">
            <v xml:space="preserve">Considero que los recursos humanos (profesores, personal administrativo, etc.) disponibles en la Maestría en Ciencias de la Información y las Comunicaciones son suficientes y adecuados para atender el l número de estudiantes 
matriculados y cumplir con los objetivos del Proyecto Educativo del Programa (PEP) </v>
          </cell>
          <cell r="B41">
            <v>0.35540069686411152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5451-49D5-420A-80CA-7AE2B1736C38}">
  <dimension ref="A1:J25"/>
  <sheetViews>
    <sheetView workbookViewId="0">
      <selection activeCell="H36" sqref="H36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</cols>
  <sheetData>
    <row r="1" spans="1:10" ht="29.2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11</v>
      </c>
      <c r="D3">
        <v>5</v>
      </c>
      <c r="E3">
        <f t="shared" ref="E3:E7" si="0">C3*D3</f>
        <v>55</v>
      </c>
      <c r="F3" s="10">
        <f>SUM(E3:E7)</f>
        <v>93</v>
      </c>
      <c r="G3" s="4">
        <f>F3/$F$25</f>
        <v>0.35496183206106868</v>
      </c>
      <c r="H3" s="10">
        <f>SUM(E3:E7)/SUM(C3:C7)</f>
        <v>4.4285714285714288</v>
      </c>
    </row>
    <row r="4" spans="1:10">
      <c r="A4" t="s">
        <v>7</v>
      </c>
      <c r="B4">
        <v>4</v>
      </c>
      <c r="C4">
        <v>8</v>
      </c>
      <c r="D4">
        <v>4</v>
      </c>
      <c r="E4">
        <f t="shared" si="0"/>
        <v>32</v>
      </c>
      <c r="F4" s="10"/>
      <c r="G4" s="4"/>
      <c r="H4" s="10"/>
    </row>
    <row r="5" spans="1:10">
      <c r="A5" t="s">
        <v>8</v>
      </c>
      <c r="B5">
        <v>3</v>
      </c>
      <c r="C5">
        <v>2</v>
      </c>
      <c r="D5">
        <v>3</v>
      </c>
      <c r="E5">
        <f t="shared" si="0"/>
        <v>6</v>
      </c>
      <c r="F5" s="10"/>
      <c r="G5" s="4"/>
      <c r="H5" s="10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10"/>
      <c r="G6" s="4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4"/>
      <c r="H7" s="10"/>
    </row>
    <row r="9" spans="1:10">
      <c r="A9" s="9" t="s">
        <v>11</v>
      </c>
      <c r="B9" s="9"/>
      <c r="C9" s="9"/>
      <c r="D9" s="9"/>
      <c r="E9" s="9"/>
      <c r="F9" s="9"/>
      <c r="G9" s="9"/>
      <c r="H9" s="9"/>
      <c r="I9" s="9"/>
      <c r="J9" s="9"/>
    </row>
    <row r="10" spans="1:10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>
      <c r="A11" t="s">
        <v>6</v>
      </c>
      <c r="B11">
        <v>5</v>
      </c>
      <c r="C11">
        <v>4</v>
      </c>
      <c r="D11">
        <v>5</v>
      </c>
      <c r="E11">
        <f>C11*D11</f>
        <v>20</v>
      </c>
      <c r="F11" s="10">
        <f>SUM(E11:E15)</f>
        <v>81</v>
      </c>
      <c r="G11" s="4">
        <f>F11/$F$25</f>
        <v>0.30916030534351147</v>
      </c>
      <c r="H11" s="10">
        <f>SUM(E11:E15)/SUM(C11:C15)</f>
        <v>3.8571428571428572</v>
      </c>
    </row>
    <row r="12" spans="1:10">
      <c r="A12" t="s">
        <v>7</v>
      </c>
      <c r="B12">
        <v>4</v>
      </c>
      <c r="C12">
        <v>10</v>
      </c>
      <c r="D12">
        <v>4</v>
      </c>
      <c r="E12">
        <f t="shared" ref="E12:E15" si="1">C12*D12</f>
        <v>40</v>
      </c>
      <c r="F12" s="10"/>
      <c r="G12" s="4"/>
      <c r="H12" s="10"/>
    </row>
    <row r="13" spans="1:10">
      <c r="A13" t="s">
        <v>8</v>
      </c>
      <c r="B13">
        <v>3</v>
      </c>
      <c r="C13">
        <v>7</v>
      </c>
      <c r="D13">
        <v>3</v>
      </c>
      <c r="E13">
        <f t="shared" si="1"/>
        <v>21</v>
      </c>
      <c r="F13" s="10"/>
      <c r="G13" s="4"/>
      <c r="H13" s="10"/>
    </row>
    <row r="14" spans="1:10">
      <c r="A14" t="s">
        <v>9</v>
      </c>
      <c r="B14">
        <v>2</v>
      </c>
      <c r="C14">
        <v>0</v>
      </c>
      <c r="D14">
        <v>2</v>
      </c>
      <c r="E14">
        <f t="shared" si="1"/>
        <v>0</v>
      </c>
      <c r="F14" s="10"/>
      <c r="G14" s="4"/>
      <c r="H14" s="10"/>
    </row>
    <row r="15" spans="1:10">
      <c r="A15" t="s">
        <v>10</v>
      </c>
      <c r="B15">
        <v>1</v>
      </c>
      <c r="C15">
        <v>0</v>
      </c>
      <c r="D15">
        <v>1</v>
      </c>
      <c r="E15">
        <f t="shared" si="1"/>
        <v>0</v>
      </c>
      <c r="F15" s="10"/>
      <c r="G15" s="4"/>
      <c r="H15" s="10"/>
    </row>
    <row r="17" spans="1:10">
      <c r="A17" s="9" t="s">
        <v>12</v>
      </c>
      <c r="B17" s="9"/>
      <c r="C17" s="9"/>
      <c r="D17" s="9"/>
      <c r="E17" s="9"/>
      <c r="F17" s="9"/>
      <c r="G17" s="9"/>
      <c r="H17" s="9"/>
      <c r="I17" s="9"/>
      <c r="J17" s="9"/>
    </row>
    <row r="18" spans="1:10">
      <c r="A18" t="s">
        <v>1</v>
      </c>
      <c r="B18" t="s">
        <v>2</v>
      </c>
      <c r="C18" t="s">
        <v>3</v>
      </c>
      <c r="D18" t="s">
        <v>4</v>
      </c>
      <c r="H18" t="s">
        <v>5</v>
      </c>
    </row>
    <row r="19" spans="1:10">
      <c r="A19" t="s">
        <v>6</v>
      </c>
      <c r="B19">
        <v>5</v>
      </c>
      <c r="C19">
        <v>7</v>
      </c>
      <c r="D19">
        <v>5</v>
      </c>
      <c r="E19">
        <f>C19*D19</f>
        <v>35</v>
      </c>
      <c r="F19" s="10">
        <f>SUM(E19:E23)</f>
        <v>88</v>
      </c>
      <c r="G19" s="4">
        <f>F19/$F$25</f>
        <v>0.33587786259541985</v>
      </c>
      <c r="H19" s="10">
        <f>SUM(E19:E23)/SUM(C19:C23)</f>
        <v>4.1904761904761907</v>
      </c>
    </row>
    <row r="20" spans="1:10">
      <c r="A20" t="s">
        <v>7</v>
      </c>
      <c r="B20">
        <v>4</v>
      </c>
      <c r="C20">
        <v>11</v>
      </c>
      <c r="D20">
        <v>4</v>
      </c>
      <c r="E20">
        <f t="shared" ref="E20:E23" si="2">C20*D20</f>
        <v>44</v>
      </c>
      <c r="F20" s="10"/>
      <c r="G20" s="4"/>
      <c r="H20" s="10"/>
    </row>
    <row r="21" spans="1:10">
      <c r="A21" t="s">
        <v>8</v>
      </c>
      <c r="B21">
        <v>3</v>
      </c>
      <c r="C21">
        <v>3</v>
      </c>
      <c r="D21">
        <v>3</v>
      </c>
      <c r="E21">
        <f t="shared" si="2"/>
        <v>9</v>
      </c>
      <c r="F21" s="10"/>
      <c r="G21" s="4"/>
      <c r="H21" s="10"/>
    </row>
    <row r="22" spans="1:10">
      <c r="A22" t="s">
        <v>9</v>
      </c>
      <c r="B22">
        <v>2</v>
      </c>
      <c r="C22">
        <v>0</v>
      </c>
      <c r="D22">
        <v>2</v>
      </c>
      <c r="E22">
        <f t="shared" si="2"/>
        <v>0</v>
      </c>
      <c r="F22" s="10"/>
      <c r="G22" s="4"/>
      <c r="H22" s="10"/>
    </row>
    <row r="23" spans="1:10">
      <c r="A23" t="s">
        <v>10</v>
      </c>
      <c r="B23">
        <v>1</v>
      </c>
      <c r="C23">
        <v>0</v>
      </c>
      <c r="D23">
        <v>1</v>
      </c>
      <c r="E23">
        <f t="shared" si="2"/>
        <v>0</v>
      </c>
      <c r="F23" s="10"/>
      <c r="G23" s="4"/>
      <c r="H23" s="10"/>
    </row>
    <row r="25" spans="1:10">
      <c r="F25">
        <f>F3+F11+F19</f>
        <v>262</v>
      </c>
      <c r="G25" s="2">
        <f>G3+G11+G19</f>
        <v>1</v>
      </c>
      <c r="H25">
        <f>(H3+H11+H19)/3</f>
        <v>4.1587301587301591</v>
      </c>
    </row>
  </sheetData>
  <mergeCells count="9">
    <mergeCell ref="A17:J17"/>
    <mergeCell ref="F19:F23"/>
    <mergeCell ref="H19:H23"/>
    <mergeCell ref="A1:J1"/>
    <mergeCell ref="F3:F7"/>
    <mergeCell ref="H3:H7"/>
    <mergeCell ref="A9:J9"/>
    <mergeCell ref="F11:F15"/>
    <mergeCell ref="H11:H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71DD-FE2F-4651-8FB6-6356A47CE2B8}">
  <dimension ref="A1:J25"/>
  <sheetViews>
    <sheetView topLeftCell="A15" workbookViewId="0">
      <selection activeCell="E19" sqref="E19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1" t="s">
        <v>13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5</v>
      </c>
      <c r="D3">
        <v>5</v>
      </c>
      <c r="E3">
        <f t="shared" ref="E3:E7" si="0">C3*D3</f>
        <v>25</v>
      </c>
      <c r="F3" s="10">
        <f>SUM(E3:E7)</f>
        <v>87</v>
      </c>
      <c r="G3" s="4">
        <f>F3/$F$25</f>
        <v>0.5</v>
      </c>
      <c r="H3" s="10">
        <f>SUM(E3:E7)/SUM(C3:C7)</f>
        <v>4.1428571428571432</v>
      </c>
    </row>
    <row r="4" spans="1:10">
      <c r="A4" t="s">
        <v>7</v>
      </c>
      <c r="B4">
        <v>4</v>
      </c>
      <c r="C4">
        <v>15</v>
      </c>
      <c r="D4">
        <v>4</v>
      </c>
      <c r="E4">
        <f t="shared" si="0"/>
        <v>60</v>
      </c>
      <c r="F4" s="10"/>
      <c r="G4" s="4"/>
      <c r="H4" s="10"/>
    </row>
    <row r="5" spans="1:10">
      <c r="A5" t="s">
        <v>8</v>
      </c>
      <c r="B5">
        <v>3</v>
      </c>
      <c r="C5">
        <v>0</v>
      </c>
      <c r="D5">
        <v>3</v>
      </c>
      <c r="E5">
        <f t="shared" si="0"/>
        <v>0</v>
      </c>
      <c r="F5" s="10"/>
      <c r="G5" s="4"/>
      <c r="H5" s="10"/>
    </row>
    <row r="6" spans="1:10">
      <c r="A6" t="s">
        <v>9</v>
      </c>
      <c r="B6">
        <v>2</v>
      </c>
      <c r="C6">
        <v>1</v>
      </c>
      <c r="D6">
        <v>2</v>
      </c>
      <c r="E6">
        <f t="shared" si="0"/>
        <v>2</v>
      </c>
      <c r="F6" s="10"/>
      <c r="G6" s="4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4"/>
      <c r="H7" s="10"/>
    </row>
    <row r="9" spans="1:10">
      <c r="A9" s="9" t="s">
        <v>14</v>
      </c>
      <c r="B9" s="9"/>
      <c r="C9" s="9"/>
      <c r="D9" s="9"/>
      <c r="E9" s="9"/>
      <c r="F9" s="9"/>
      <c r="G9" s="9"/>
      <c r="H9" s="9"/>
      <c r="I9" s="9"/>
      <c r="J9" s="9"/>
    </row>
    <row r="10" spans="1:10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>
      <c r="A11" t="s">
        <v>6</v>
      </c>
      <c r="B11">
        <v>5</v>
      </c>
      <c r="C11">
        <v>8</v>
      </c>
      <c r="D11">
        <v>5</v>
      </c>
      <c r="E11">
        <f>C11*D11</f>
        <v>40</v>
      </c>
      <c r="F11" s="10">
        <f>SUM(E11:E15)</f>
        <v>87</v>
      </c>
      <c r="G11" s="4">
        <f>F11/$F$25</f>
        <v>0.5</v>
      </c>
      <c r="H11" s="10">
        <f>SUM(E11:E15)/SUM(C11:C15)</f>
        <v>4.1428571428571432</v>
      </c>
    </row>
    <row r="12" spans="1:10">
      <c r="A12" t="s">
        <v>7</v>
      </c>
      <c r="B12">
        <v>4</v>
      </c>
      <c r="C12">
        <v>10</v>
      </c>
      <c r="D12">
        <v>4</v>
      </c>
      <c r="E12">
        <f t="shared" ref="E12:E15" si="1">C12*D12</f>
        <v>40</v>
      </c>
      <c r="F12" s="10"/>
      <c r="G12" s="4"/>
      <c r="H12" s="10"/>
    </row>
    <row r="13" spans="1:10">
      <c r="A13" t="s">
        <v>8</v>
      </c>
      <c r="B13">
        <v>3</v>
      </c>
      <c r="C13">
        <v>1</v>
      </c>
      <c r="D13">
        <v>3</v>
      </c>
      <c r="E13">
        <f t="shared" si="1"/>
        <v>3</v>
      </c>
      <c r="F13" s="10"/>
      <c r="G13" s="4"/>
      <c r="H13" s="10"/>
    </row>
    <row r="14" spans="1:10">
      <c r="A14" t="s">
        <v>9</v>
      </c>
      <c r="B14">
        <v>2</v>
      </c>
      <c r="C14">
        <v>2</v>
      </c>
      <c r="D14">
        <v>2</v>
      </c>
      <c r="E14">
        <f t="shared" si="1"/>
        <v>4</v>
      </c>
      <c r="F14" s="10"/>
      <c r="G14" s="4"/>
      <c r="H14" s="10"/>
    </row>
    <row r="15" spans="1:10">
      <c r="A15" t="s">
        <v>10</v>
      </c>
      <c r="B15">
        <v>1</v>
      </c>
      <c r="C15">
        <v>0</v>
      </c>
      <c r="D15">
        <v>1</v>
      </c>
      <c r="E15">
        <f t="shared" si="1"/>
        <v>0</v>
      </c>
      <c r="F15" s="10"/>
      <c r="G15" s="4"/>
      <c r="H15" s="10"/>
    </row>
    <row r="17" spans="1:10">
      <c r="A17" s="9"/>
      <c r="B17" s="9"/>
      <c r="C17" s="9"/>
      <c r="D17" s="9"/>
      <c r="E17" s="9"/>
      <c r="F17" s="9"/>
      <c r="G17" s="9"/>
      <c r="H17" s="9"/>
      <c r="I17" s="9"/>
      <c r="J17" s="9"/>
    </row>
    <row r="19" spans="1:10">
      <c r="F19" s="10"/>
      <c r="G19" s="12"/>
      <c r="H19" s="10"/>
    </row>
    <row r="20" spans="1:10">
      <c r="F20" s="10"/>
      <c r="G20" s="12"/>
      <c r="H20" s="10"/>
    </row>
    <row r="21" spans="1:10">
      <c r="F21" s="10"/>
      <c r="G21" s="12"/>
      <c r="H21" s="10"/>
    </row>
    <row r="22" spans="1:10">
      <c r="F22" s="10"/>
      <c r="G22" s="12"/>
      <c r="H22" s="10"/>
    </row>
    <row r="23" spans="1:10">
      <c r="F23" s="10"/>
      <c r="G23" s="12"/>
      <c r="H23" s="10"/>
    </row>
    <row r="25" spans="1:10">
      <c r="F25">
        <f>F3+F11+F19</f>
        <v>174</v>
      </c>
      <c r="G25" s="2">
        <f>G3+G11+G19</f>
        <v>1</v>
      </c>
      <c r="H25">
        <f>AVERAGE(H3,H11,H19)</f>
        <v>4.1428571428571432</v>
      </c>
    </row>
  </sheetData>
  <mergeCells count="10">
    <mergeCell ref="A17:J17"/>
    <mergeCell ref="F19:F23"/>
    <mergeCell ref="G19:G23"/>
    <mergeCell ref="H19:H23"/>
    <mergeCell ref="A1:J1"/>
    <mergeCell ref="F3:F7"/>
    <mergeCell ref="H3:H7"/>
    <mergeCell ref="A9:J9"/>
    <mergeCell ref="F11:F15"/>
    <mergeCell ref="H11:H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9A78-B922-40B3-B263-54E1E6183471}">
  <dimension ref="A1:J41"/>
  <sheetViews>
    <sheetView topLeftCell="A27" workbookViewId="0">
      <selection activeCell="A33" sqref="A33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1" t="s">
        <v>15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7</v>
      </c>
      <c r="D3">
        <v>5</v>
      </c>
      <c r="E3">
        <f t="shared" ref="E3:E7" si="0">C3*D3</f>
        <v>35</v>
      </c>
      <c r="F3" s="10">
        <f>SUM(E3:E7)</f>
        <v>86</v>
      </c>
      <c r="G3" s="4">
        <f>F3/$F$41</f>
        <v>0.25595238095238093</v>
      </c>
      <c r="H3" s="10">
        <f>SUM(E3:E7)/SUM(C3:C7)</f>
        <v>4.0952380952380949</v>
      </c>
    </row>
    <row r="4" spans="1:10">
      <c r="A4" t="s">
        <v>7</v>
      </c>
      <c r="B4">
        <v>4</v>
      </c>
      <c r="C4">
        <v>9</v>
      </c>
      <c r="D4">
        <v>4</v>
      </c>
      <c r="E4">
        <f t="shared" si="0"/>
        <v>36</v>
      </c>
      <c r="F4" s="10"/>
      <c r="G4" s="4"/>
      <c r="H4" s="10"/>
    </row>
    <row r="5" spans="1:10">
      <c r="A5" t="s">
        <v>8</v>
      </c>
      <c r="B5">
        <v>3</v>
      </c>
      <c r="C5">
        <v>5</v>
      </c>
      <c r="D5">
        <v>3</v>
      </c>
      <c r="E5">
        <f t="shared" si="0"/>
        <v>15</v>
      </c>
      <c r="F5" s="10"/>
      <c r="G5" s="4"/>
      <c r="H5" s="10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10"/>
      <c r="G6" s="4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4"/>
      <c r="H7" s="10"/>
    </row>
    <row r="9" spans="1:10" hidden="1">
      <c r="A9" s="9" t="s">
        <v>16</v>
      </c>
      <c r="B9" s="9"/>
      <c r="C9" s="9"/>
      <c r="D9" s="9"/>
      <c r="E9" s="9"/>
      <c r="F9" s="9"/>
      <c r="G9" s="9"/>
      <c r="H9" s="9"/>
      <c r="I9" s="9"/>
      <c r="J9" s="9"/>
    </row>
    <row r="10" spans="1:10" hidden="1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 hidden="1">
      <c r="A11" t="s">
        <v>6</v>
      </c>
      <c r="B11">
        <v>5</v>
      </c>
      <c r="C11">
        <v>0</v>
      </c>
      <c r="D11">
        <v>5</v>
      </c>
      <c r="E11">
        <f>C11*D11</f>
        <v>0</v>
      </c>
      <c r="F11" s="10">
        <f>SUM(E11:E15)</f>
        <v>0</v>
      </c>
      <c r="G11" s="12">
        <f>F11/$F$41</f>
        <v>0</v>
      </c>
      <c r="H11" s="10" t="e">
        <f>SUM(E11:E15)/SUM(C11:C15)</f>
        <v>#DIV/0!</v>
      </c>
    </row>
    <row r="12" spans="1:10" hidden="1">
      <c r="A12" t="s">
        <v>7</v>
      </c>
      <c r="B12">
        <v>4</v>
      </c>
      <c r="C12">
        <v>0</v>
      </c>
      <c r="D12">
        <v>4</v>
      </c>
      <c r="E12">
        <f t="shared" ref="E12:E15" si="1">C12*D12</f>
        <v>0</v>
      </c>
      <c r="F12" s="10"/>
      <c r="G12" s="12"/>
      <c r="H12" s="10"/>
    </row>
    <row r="13" spans="1:10" hidden="1">
      <c r="A13" t="s">
        <v>8</v>
      </c>
      <c r="B13">
        <v>3</v>
      </c>
      <c r="C13">
        <v>0</v>
      </c>
      <c r="D13">
        <v>3</v>
      </c>
      <c r="E13">
        <f t="shared" si="1"/>
        <v>0</v>
      </c>
      <c r="F13" s="10"/>
      <c r="G13" s="12"/>
      <c r="H13" s="10"/>
    </row>
    <row r="14" spans="1:10" hidden="1">
      <c r="A14" t="s">
        <v>9</v>
      </c>
      <c r="B14">
        <v>2</v>
      </c>
      <c r="C14">
        <v>0</v>
      </c>
      <c r="D14">
        <v>2</v>
      </c>
      <c r="E14">
        <f t="shared" si="1"/>
        <v>0</v>
      </c>
      <c r="F14" s="10"/>
      <c r="G14" s="12"/>
      <c r="H14" s="10"/>
    </row>
    <row r="15" spans="1:10" hidden="1">
      <c r="A15" t="s">
        <v>10</v>
      </c>
      <c r="B15">
        <v>1</v>
      </c>
      <c r="C15">
        <v>0</v>
      </c>
      <c r="D15">
        <v>1</v>
      </c>
      <c r="E15">
        <f t="shared" si="1"/>
        <v>0</v>
      </c>
      <c r="F15" s="10"/>
      <c r="G15" s="12"/>
      <c r="H15" s="10"/>
    </row>
    <row r="17" spans="1:10">
      <c r="A17" s="9" t="s">
        <v>17</v>
      </c>
      <c r="B17" s="9"/>
      <c r="C17" s="9"/>
      <c r="D17" s="9"/>
      <c r="E17" s="9"/>
      <c r="F17" s="9"/>
      <c r="G17" s="9"/>
      <c r="H17" s="9"/>
      <c r="I17" s="9"/>
      <c r="J17" s="9"/>
    </row>
    <row r="18" spans="1:10">
      <c r="A18" t="s">
        <v>1</v>
      </c>
      <c r="B18" t="s">
        <v>2</v>
      </c>
      <c r="C18" t="s">
        <v>3</v>
      </c>
      <c r="D18" t="s">
        <v>4</v>
      </c>
      <c r="H18" t="s">
        <v>5</v>
      </c>
    </row>
    <row r="19" spans="1:10">
      <c r="A19" t="s">
        <v>6</v>
      </c>
      <c r="B19">
        <v>5</v>
      </c>
      <c r="C19">
        <v>3</v>
      </c>
      <c r="D19">
        <v>5</v>
      </c>
      <c r="E19">
        <f>C19*D19</f>
        <v>15</v>
      </c>
      <c r="F19" s="10">
        <f>SUM(E19:E23)</f>
        <v>85</v>
      </c>
      <c r="G19" s="4">
        <f>F19/$F$41</f>
        <v>0.25297619047619047</v>
      </c>
      <c r="H19" s="10">
        <f>SUM(E19:E23)/SUM(C19:C23)</f>
        <v>4.0476190476190474</v>
      </c>
    </row>
    <row r="20" spans="1:10">
      <c r="A20" t="s">
        <v>7</v>
      </c>
      <c r="B20">
        <v>4</v>
      </c>
      <c r="C20">
        <v>16</v>
      </c>
      <c r="D20">
        <v>4</v>
      </c>
      <c r="E20">
        <f t="shared" ref="E20:E23" si="2">C20*D20</f>
        <v>64</v>
      </c>
      <c r="F20" s="10"/>
      <c r="G20" s="4"/>
      <c r="H20" s="10"/>
    </row>
    <row r="21" spans="1:10">
      <c r="A21" t="s">
        <v>8</v>
      </c>
      <c r="B21">
        <v>3</v>
      </c>
      <c r="C21">
        <v>2</v>
      </c>
      <c r="D21">
        <v>3</v>
      </c>
      <c r="E21">
        <f t="shared" si="2"/>
        <v>6</v>
      </c>
      <c r="F21" s="10"/>
      <c r="G21" s="4"/>
      <c r="H21" s="10"/>
    </row>
    <row r="22" spans="1:10">
      <c r="A22" t="s">
        <v>9</v>
      </c>
      <c r="B22">
        <v>2</v>
      </c>
      <c r="C22">
        <v>0</v>
      </c>
      <c r="D22">
        <v>2</v>
      </c>
      <c r="E22">
        <f t="shared" si="2"/>
        <v>0</v>
      </c>
      <c r="F22" s="10"/>
      <c r="G22" s="4"/>
      <c r="H22" s="10"/>
    </row>
    <row r="23" spans="1:10">
      <c r="A23" t="s">
        <v>10</v>
      </c>
      <c r="B23">
        <v>1</v>
      </c>
      <c r="C23">
        <v>0</v>
      </c>
      <c r="D23">
        <v>1</v>
      </c>
      <c r="E23">
        <f t="shared" si="2"/>
        <v>0</v>
      </c>
      <c r="F23" s="10"/>
      <c r="G23" s="4"/>
      <c r="H23" s="10"/>
    </row>
    <row r="25" spans="1:10">
      <c r="A25" s="9" t="s">
        <v>18</v>
      </c>
      <c r="B25" s="9"/>
      <c r="C25" s="9"/>
      <c r="D25" s="9"/>
      <c r="E25" s="9"/>
      <c r="F25" s="9"/>
      <c r="G25" s="9"/>
      <c r="H25" s="9"/>
      <c r="I25" s="9"/>
      <c r="J25" s="9"/>
    </row>
    <row r="26" spans="1:10">
      <c r="A26" t="s">
        <v>1</v>
      </c>
      <c r="B26" t="s">
        <v>2</v>
      </c>
      <c r="C26" t="s">
        <v>3</v>
      </c>
      <c r="D26" t="s">
        <v>4</v>
      </c>
      <c r="H26" t="s">
        <v>5</v>
      </c>
    </row>
    <row r="27" spans="1:10">
      <c r="A27" t="s">
        <v>6</v>
      </c>
      <c r="B27">
        <v>5</v>
      </c>
      <c r="C27">
        <v>2</v>
      </c>
      <c r="D27">
        <v>5</v>
      </c>
      <c r="E27">
        <f>C27*D27</f>
        <v>10</v>
      </c>
      <c r="F27" s="10">
        <f>SUM(E27:E31)</f>
        <v>84</v>
      </c>
      <c r="G27" s="4">
        <f>F27/$F$41</f>
        <v>0.25</v>
      </c>
      <c r="H27" s="10">
        <f>SUM(E27:E31)/SUM(C27:C31)</f>
        <v>4</v>
      </c>
    </row>
    <row r="28" spans="1:10">
      <c r="A28" t="s">
        <v>7</v>
      </c>
      <c r="B28">
        <v>4</v>
      </c>
      <c r="C28">
        <v>17</v>
      </c>
      <c r="D28">
        <v>4</v>
      </c>
      <c r="E28">
        <f t="shared" ref="E28:E31" si="3">C28*D28</f>
        <v>68</v>
      </c>
      <c r="F28" s="10"/>
      <c r="G28" s="4"/>
      <c r="H28" s="10"/>
    </row>
    <row r="29" spans="1:10">
      <c r="A29" t="s">
        <v>8</v>
      </c>
      <c r="B29">
        <v>3</v>
      </c>
      <c r="C29">
        <v>2</v>
      </c>
      <c r="D29">
        <v>3</v>
      </c>
      <c r="E29">
        <f t="shared" si="3"/>
        <v>6</v>
      </c>
      <c r="F29" s="10"/>
      <c r="G29" s="4"/>
      <c r="H29" s="10"/>
    </row>
    <row r="30" spans="1:10">
      <c r="A30" t="s">
        <v>9</v>
      </c>
      <c r="B30">
        <v>2</v>
      </c>
      <c r="C30">
        <v>0</v>
      </c>
      <c r="D30">
        <v>2</v>
      </c>
      <c r="E30">
        <f t="shared" si="3"/>
        <v>0</v>
      </c>
      <c r="F30" s="10"/>
      <c r="G30" s="4"/>
      <c r="H30" s="10"/>
    </row>
    <row r="31" spans="1:10">
      <c r="A31" t="s">
        <v>10</v>
      </c>
      <c r="B31">
        <v>1</v>
      </c>
      <c r="C31">
        <v>0</v>
      </c>
      <c r="D31">
        <v>1</v>
      </c>
      <c r="E31">
        <f t="shared" si="3"/>
        <v>0</v>
      </c>
      <c r="F31" s="10"/>
      <c r="G31" s="4"/>
      <c r="H31" s="10"/>
    </row>
    <row r="33" spans="1:10">
      <c r="A33" s="9" t="s">
        <v>19</v>
      </c>
      <c r="B33" s="9"/>
      <c r="C33" s="9"/>
      <c r="D33" s="9"/>
      <c r="E33" s="9"/>
      <c r="F33" s="9"/>
      <c r="G33" s="9"/>
      <c r="H33" s="9"/>
      <c r="I33" s="9"/>
      <c r="J33" s="9"/>
    </row>
    <row r="34" spans="1:10">
      <c r="A34" t="s">
        <v>1</v>
      </c>
      <c r="B34" t="s">
        <v>2</v>
      </c>
      <c r="C34" t="s">
        <v>3</v>
      </c>
      <c r="D34" t="s">
        <v>4</v>
      </c>
      <c r="H34" t="s">
        <v>5</v>
      </c>
    </row>
    <row r="35" spans="1:10">
      <c r="A35" t="s">
        <v>6</v>
      </c>
      <c r="B35">
        <v>5</v>
      </c>
      <c r="C35">
        <v>2</v>
      </c>
      <c r="D35">
        <v>5</v>
      </c>
      <c r="E35">
        <f>C35*D35</f>
        <v>10</v>
      </c>
      <c r="F35" s="10">
        <f>SUM(E35:E39)</f>
        <v>81</v>
      </c>
      <c r="G35" s="4">
        <f>F35/$F$41</f>
        <v>0.24107142857142858</v>
      </c>
      <c r="H35" s="10">
        <f>SUM(E35:E39)/SUM(C35:C39)</f>
        <v>3.8571428571428572</v>
      </c>
    </row>
    <row r="36" spans="1:10">
      <c r="A36" t="s">
        <v>7</v>
      </c>
      <c r="B36">
        <v>4</v>
      </c>
      <c r="C36">
        <v>14</v>
      </c>
      <c r="D36">
        <v>4</v>
      </c>
      <c r="E36">
        <f t="shared" ref="E36:E39" si="4">C36*D36</f>
        <v>56</v>
      </c>
      <c r="F36" s="10"/>
      <c r="G36" s="4"/>
      <c r="H36" s="10"/>
    </row>
    <row r="37" spans="1:10">
      <c r="A37" t="s">
        <v>8</v>
      </c>
      <c r="B37">
        <v>3</v>
      </c>
      <c r="C37">
        <v>5</v>
      </c>
      <c r="D37">
        <v>3</v>
      </c>
      <c r="E37">
        <f t="shared" si="4"/>
        <v>15</v>
      </c>
      <c r="F37" s="10"/>
      <c r="G37" s="4"/>
      <c r="H37" s="10"/>
    </row>
    <row r="38" spans="1:10">
      <c r="A38" t="s">
        <v>9</v>
      </c>
      <c r="B38">
        <v>2</v>
      </c>
      <c r="C38">
        <v>0</v>
      </c>
      <c r="D38">
        <v>2</v>
      </c>
      <c r="E38">
        <f t="shared" si="4"/>
        <v>0</v>
      </c>
      <c r="F38" s="10"/>
      <c r="G38" s="4"/>
      <c r="H38" s="10"/>
    </row>
    <row r="39" spans="1:10">
      <c r="A39" t="s">
        <v>10</v>
      </c>
      <c r="B39">
        <v>1</v>
      </c>
      <c r="C39">
        <v>0</v>
      </c>
      <c r="D39">
        <v>1</v>
      </c>
      <c r="E39">
        <f t="shared" si="4"/>
        <v>0</v>
      </c>
      <c r="F39" s="10"/>
      <c r="G39" s="4"/>
      <c r="H39" s="10"/>
    </row>
    <row r="41" spans="1:10">
      <c r="F41">
        <f>F3+F11+F19+F27+F35</f>
        <v>336</v>
      </c>
      <c r="G41" s="2">
        <f>G3+G11+G19+G27+G35</f>
        <v>1</v>
      </c>
      <c r="H41">
        <f>AVERAGE(H3,H19,H27,H35)</f>
        <v>4</v>
      </c>
    </row>
  </sheetData>
  <mergeCells count="16">
    <mergeCell ref="A1:J1"/>
    <mergeCell ref="F3:F7"/>
    <mergeCell ref="H3:H7"/>
    <mergeCell ref="A9:J9"/>
    <mergeCell ref="F11:F15"/>
    <mergeCell ref="G11:G15"/>
    <mergeCell ref="H11:H15"/>
    <mergeCell ref="A33:J33"/>
    <mergeCell ref="F35:F39"/>
    <mergeCell ref="H35:H39"/>
    <mergeCell ref="A17:J17"/>
    <mergeCell ref="F19:F23"/>
    <mergeCell ref="H19:H23"/>
    <mergeCell ref="A25:J25"/>
    <mergeCell ref="F27:F31"/>
    <mergeCell ref="H27:H3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C20-5159-4EF7-85EB-D66EBE96E627}">
  <dimension ref="A1:J9"/>
  <sheetViews>
    <sheetView workbookViewId="0">
      <selection activeCell="C6" sqref="C6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1" t="s">
        <v>20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5</v>
      </c>
      <c r="D3">
        <v>5</v>
      </c>
      <c r="E3">
        <f t="shared" ref="E3:E7" si="0">C3*D3</f>
        <v>25</v>
      </c>
      <c r="F3" s="10">
        <f>SUM(E3:E7)</f>
        <v>82</v>
      </c>
      <c r="G3" s="4">
        <f>F3/$F$9</f>
        <v>1</v>
      </c>
      <c r="H3" s="10">
        <f>SUM(E3:E7)/SUM(C3:C7)</f>
        <v>3.9047619047619047</v>
      </c>
    </row>
    <row r="4" spans="1:10">
      <c r="A4" t="s">
        <v>7</v>
      </c>
      <c r="B4">
        <v>4</v>
      </c>
      <c r="C4">
        <v>9</v>
      </c>
      <c r="D4">
        <v>4</v>
      </c>
      <c r="E4">
        <f t="shared" si="0"/>
        <v>36</v>
      </c>
      <c r="F4" s="10"/>
      <c r="G4" s="4"/>
      <c r="H4" s="10"/>
    </row>
    <row r="5" spans="1:10">
      <c r="A5" t="s">
        <v>8</v>
      </c>
      <c r="B5">
        <v>3</v>
      </c>
      <c r="C5">
        <v>7</v>
      </c>
      <c r="D5">
        <v>3</v>
      </c>
      <c r="E5">
        <f t="shared" si="0"/>
        <v>21</v>
      </c>
      <c r="F5" s="10"/>
      <c r="G5" s="4"/>
      <c r="H5" s="10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10"/>
      <c r="G6" s="4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4"/>
      <c r="H7" s="10"/>
    </row>
    <row r="9" spans="1:10">
      <c r="F9">
        <f>F3</f>
        <v>82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F2667-F212-45A4-A314-BF934AEAF826}">
  <dimension ref="A1:J9"/>
  <sheetViews>
    <sheetView workbookViewId="0">
      <selection activeCell="Q12" sqref="Q12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1" t="s">
        <v>21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5</v>
      </c>
      <c r="D3">
        <v>5</v>
      </c>
      <c r="E3">
        <f t="shared" ref="E3:E7" si="0">C3*D3</f>
        <v>25</v>
      </c>
      <c r="F3" s="10">
        <f>SUM(E3:E7)</f>
        <v>77</v>
      </c>
      <c r="G3" s="4">
        <f>F3/$F$9</f>
        <v>1</v>
      </c>
      <c r="H3" s="10">
        <f>SUM(E3:E7)/SUM(C3:C7)</f>
        <v>3.6666666666666665</v>
      </c>
    </row>
    <row r="4" spans="1:10">
      <c r="A4" t="s">
        <v>7</v>
      </c>
      <c r="B4">
        <v>4</v>
      </c>
      <c r="C4">
        <v>4</v>
      </c>
      <c r="D4">
        <v>4</v>
      </c>
      <c r="E4">
        <f t="shared" si="0"/>
        <v>16</v>
      </c>
      <c r="F4" s="10"/>
      <c r="G4" s="4"/>
      <c r="H4" s="10"/>
    </row>
    <row r="5" spans="1:10">
      <c r="A5" t="s">
        <v>8</v>
      </c>
      <c r="B5">
        <v>3</v>
      </c>
      <c r="C5">
        <v>12</v>
      </c>
      <c r="D5">
        <v>3</v>
      </c>
      <c r="E5">
        <f t="shared" si="0"/>
        <v>36</v>
      </c>
      <c r="F5" s="10"/>
      <c r="G5" s="4"/>
      <c r="H5" s="10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10"/>
      <c r="G6" s="4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4"/>
      <c r="H7" s="10"/>
    </row>
    <row r="9" spans="1:10">
      <c r="F9">
        <f>F3</f>
        <v>77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8CC9-09DC-42D5-B43B-530F8144810B}">
  <dimension ref="A1:J9"/>
  <sheetViews>
    <sheetView topLeftCell="A10" workbookViewId="0">
      <selection activeCell="A6" sqref="A6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1" t="s">
        <v>22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7</v>
      </c>
      <c r="D3">
        <v>5</v>
      </c>
      <c r="E3">
        <f t="shared" ref="E3:E7" si="0">C3*D3</f>
        <v>35</v>
      </c>
      <c r="F3" s="10">
        <f>SUM(E3:E7)</f>
        <v>90</v>
      </c>
      <c r="G3" s="4">
        <f>F3/$F$9</f>
        <v>1</v>
      </c>
      <c r="H3" s="10">
        <f>SUM(E3:E7)/SUM(C3:C7)</f>
        <v>4.2857142857142856</v>
      </c>
    </row>
    <row r="4" spans="1:10">
      <c r="A4" t="s">
        <v>7</v>
      </c>
      <c r="B4">
        <v>4</v>
      </c>
      <c r="C4">
        <v>13</v>
      </c>
      <c r="D4">
        <v>4</v>
      </c>
      <c r="E4">
        <f t="shared" si="0"/>
        <v>52</v>
      </c>
      <c r="F4" s="10"/>
      <c r="G4" s="4"/>
      <c r="H4" s="10"/>
    </row>
    <row r="5" spans="1:10">
      <c r="A5" t="s">
        <v>8</v>
      </c>
      <c r="B5">
        <v>3</v>
      </c>
      <c r="C5">
        <v>1</v>
      </c>
      <c r="D5">
        <v>3</v>
      </c>
      <c r="E5">
        <f t="shared" si="0"/>
        <v>3</v>
      </c>
      <c r="F5" s="10"/>
      <c r="G5" s="4"/>
      <c r="H5" s="10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10"/>
      <c r="G6" s="4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4"/>
      <c r="H7" s="10"/>
    </row>
    <row r="9" spans="1:10">
      <c r="F9">
        <f>F3</f>
        <v>90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3DD11-D6B6-4C5F-A8A6-E5AAB23330E4}">
  <dimension ref="A1:J9"/>
  <sheetViews>
    <sheetView workbookViewId="0">
      <selection activeCell="B12" sqref="B12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1" t="s">
        <v>23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2</v>
      </c>
      <c r="D3">
        <v>5</v>
      </c>
      <c r="E3">
        <f t="shared" ref="E3:E7" si="0">C3*D3</f>
        <v>10</v>
      </c>
      <c r="F3" s="10">
        <f>SUM(E3:E7)</f>
        <v>74</v>
      </c>
      <c r="G3" s="4">
        <f>F3/$F$9</f>
        <v>1</v>
      </c>
      <c r="H3" s="10">
        <f>SUM(E3:E7)/SUM(C3:C7)</f>
        <v>3.5238095238095237</v>
      </c>
    </row>
    <row r="4" spans="1:10">
      <c r="A4" t="s">
        <v>7</v>
      </c>
      <c r="B4">
        <v>4</v>
      </c>
      <c r="C4">
        <v>9</v>
      </c>
      <c r="D4">
        <v>4</v>
      </c>
      <c r="E4">
        <f t="shared" si="0"/>
        <v>36</v>
      </c>
      <c r="F4" s="10"/>
      <c r="G4" s="4"/>
      <c r="H4" s="10"/>
    </row>
    <row r="5" spans="1:10">
      <c r="A5" t="s">
        <v>8</v>
      </c>
      <c r="B5">
        <v>3</v>
      </c>
      <c r="C5">
        <v>8</v>
      </c>
      <c r="D5">
        <v>3</v>
      </c>
      <c r="E5">
        <f t="shared" si="0"/>
        <v>24</v>
      </c>
      <c r="F5" s="10"/>
      <c r="G5" s="4"/>
      <c r="H5" s="10"/>
    </row>
    <row r="6" spans="1:10">
      <c r="A6" t="s">
        <v>9</v>
      </c>
      <c r="B6">
        <v>2</v>
      </c>
      <c r="C6">
        <v>2</v>
      </c>
      <c r="D6">
        <v>2</v>
      </c>
      <c r="E6">
        <f t="shared" si="0"/>
        <v>4</v>
      </c>
      <c r="F6" s="10"/>
      <c r="G6" s="4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4"/>
      <c r="H7" s="10"/>
    </row>
    <row r="9" spans="1:10">
      <c r="F9">
        <f>F3</f>
        <v>74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B1EC-678C-4EA3-BDCA-8D9A40D92885}">
  <dimension ref="A1:J25"/>
  <sheetViews>
    <sheetView workbookViewId="0">
      <selection activeCell="A9" sqref="A9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1" t="s">
        <v>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6</v>
      </c>
      <c r="D3">
        <v>5</v>
      </c>
      <c r="E3">
        <f t="shared" ref="E3:E7" si="0">C3*D3</f>
        <v>30</v>
      </c>
      <c r="F3" s="10">
        <f>SUM(E3:E7)</f>
        <v>85</v>
      </c>
      <c r="G3" s="4">
        <f>F3/$F$25</f>
        <v>0.5</v>
      </c>
      <c r="H3" s="10">
        <f>SUM(E3:E7)/SUM(C3:C7)</f>
        <v>4.0476190476190474</v>
      </c>
    </row>
    <row r="4" spans="1:10">
      <c r="A4" t="s">
        <v>7</v>
      </c>
      <c r="B4">
        <v>4</v>
      </c>
      <c r="C4">
        <v>10</v>
      </c>
      <c r="D4">
        <v>4</v>
      </c>
      <c r="E4">
        <f t="shared" si="0"/>
        <v>40</v>
      </c>
      <c r="F4" s="10"/>
      <c r="G4" s="4"/>
      <c r="H4" s="10"/>
    </row>
    <row r="5" spans="1:10">
      <c r="A5" t="s">
        <v>8</v>
      </c>
      <c r="B5">
        <v>3</v>
      </c>
      <c r="C5">
        <v>5</v>
      </c>
      <c r="D5">
        <v>3</v>
      </c>
      <c r="E5">
        <f t="shared" si="0"/>
        <v>15</v>
      </c>
      <c r="F5" s="10"/>
      <c r="G5" s="4"/>
      <c r="H5" s="10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10"/>
      <c r="G6" s="4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4"/>
      <c r="H7" s="10"/>
    </row>
    <row r="9" spans="1:10">
      <c r="A9" s="9" t="s">
        <v>25</v>
      </c>
      <c r="B9" s="9"/>
      <c r="C9" s="9"/>
      <c r="D9" s="9"/>
      <c r="E9" s="9"/>
      <c r="F9" s="9"/>
      <c r="G9" s="9"/>
      <c r="H9" s="9"/>
      <c r="I9" s="9"/>
      <c r="J9" s="9"/>
    </row>
    <row r="10" spans="1:10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>
      <c r="A11" t="s">
        <v>6</v>
      </c>
      <c r="B11">
        <v>5</v>
      </c>
      <c r="C11">
        <v>6</v>
      </c>
      <c r="D11">
        <v>5</v>
      </c>
      <c r="E11">
        <f>C11*D11</f>
        <v>30</v>
      </c>
      <c r="F11" s="10">
        <f>SUM(E11:E15)</f>
        <v>85</v>
      </c>
      <c r="G11" s="4">
        <f>F11/$F$25</f>
        <v>0.5</v>
      </c>
      <c r="H11" s="10">
        <f>SUM(E11:E15)/SUM(C11:C15)</f>
        <v>4.0476190476190474</v>
      </c>
    </row>
    <row r="12" spans="1:10">
      <c r="A12" t="s">
        <v>7</v>
      </c>
      <c r="B12">
        <v>4</v>
      </c>
      <c r="C12">
        <v>11</v>
      </c>
      <c r="D12">
        <v>4</v>
      </c>
      <c r="E12">
        <f t="shared" ref="E12:E15" si="1">C12*D12</f>
        <v>44</v>
      </c>
      <c r="F12" s="10"/>
      <c r="G12" s="4"/>
      <c r="H12" s="10"/>
    </row>
    <row r="13" spans="1:10">
      <c r="A13" t="s">
        <v>8</v>
      </c>
      <c r="B13">
        <v>3</v>
      </c>
      <c r="C13">
        <v>3</v>
      </c>
      <c r="D13">
        <v>3</v>
      </c>
      <c r="E13">
        <f t="shared" si="1"/>
        <v>9</v>
      </c>
      <c r="F13" s="10"/>
      <c r="G13" s="4"/>
      <c r="H13" s="10"/>
    </row>
    <row r="14" spans="1:10">
      <c r="A14" t="s">
        <v>9</v>
      </c>
      <c r="B14">
        <v>2</v>
      </c>
      <c r="C14">
        <v>1</v>
      </c>
      <c r="D14">
        <v>2</v>
      </c>
      <c r="E14">
        <f t="shared" si="1"/>
        <v>2</v>
      </c>
      <c r="F14" s="10"/>
      <c r="G14" s="4"/>
      <c r="H14" s="10"/>
    </row>
    <row r="15" spans="1:10">
      <c r="A15" t="s">
        <v>10</v>
      </c>
      <c r="B15">
        <v>1</v>
      </c>
      <c r="C15">
        <v>0</v>
      </c>
      <c r="D15">
        <v>1</v>
      </c>
      <c r="E15">
        <f t="shared" si="1"/>
        <v>0</v>
      </c>
      <c r="F15" s="10"/>
      <c r="G15" s="4"/>
      <c r="H15" s="10"/>
    </row>
    <row r="17" spans="1:10">
      <c r="A17" s="9"/>
      <c r="B17" s="9"/>
      <c r="C17" s="9"/>
      <c r="D17" s="9"/>
      <c r="E17" s="9"/>
      <c r="F17" s="9"/>
      <c r="G17" s="9"/>
      <c r="H17" s="9"/>
      <c r="I17" s="9"/>
      <c r="J17" s="9"/>
    </row>
    <row r="19" spans="1:10">
      <c r="F19" s="10"/>
      <c r="G19" s="12"/>
      <c r="H19" s="10"/>
    </row>
    <row r="20" spans="1:10">
      <c r="F20" s="10"/>
      <c r="G20" s="12"/>
      <c r="H20" s="10"/>
    </row>
    <row r="21" spans="1:10">
      <c r="F21" s="10"/>
      <c r="G21" s="12"/>
      <c r="H21" s="10"/>
    </row>
    <row r="22" spans="1:10">
      <c r="F22" s="10"/>
      <c r="G22" s="12"/>
      <c r="H22" s="10"/>
    </row>
    <row r="23" spans="1:10">
      <c r="F23" s="10"/>
      <c r="G23" s="12"/>
      <c r="H23" s="10"/>
    </row>
    <row r="25" spans="1:10">
      <c r="F25">
        <f>F3+F11+F19</f>
        <v>170</v>
      </c>
      <c r="G25" s="2">
        <f>G3+G11+G19</f>
        <v>1</v>
      </c>
      <c r="H25">
        <f>(H3+H11+H19)/2</f>
        <v>4.0476190476190474</v>
      </c>
      <c r="I25">
        <f>AVERAGE(H3,H11,H19)</f>
        <v>4.0476190476190474</v>
      </c>
    </row>
  </sheetData>
  <mergeCells count="10">
    <mergeCell ref="A17:J17"/>
    <mergeCell ref="F19:F23"/>
    <mergeCell ref="G19:G23"/>
    <mergeCell ref="H19:H23"/>
    <mergeCell ref="A1:J1"/>
    <mergeCell ref="F3:F7"/>
    <mergeCell ref="H3:H7"/>
    <mergeCell ref="A9:J9"/>
    <mergeCell ref="F11:F15"/>
    <mergeCell ref="H11:H1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F9617-0FBA-4862-8582-711C7CA06CAC}">
  <dimension ref="A1:J25"/>
  <sheetViews>
    <sheetView topLeftCell="C30" workbookViewId="0">
      <selection activeCell="H37" sqref="H37:H38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1" t="s">
        <v>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0</v>
      </c>
      <c r="D3">
        <v>5</v>
      </c>
      <c r="E3">
        <f t="shared" ref="E3:E7" si="0">C3*D3</f>
        <v>0</v>
      </c>
      <c r="F3" s="10">
        <f>SUM(E3:E7)</f>
        <v>69</v>
      </c>
      <c r="G3" s="4">
        <f>F3/$F$25</f>
        <v>0.28870292887029286</v>
      </c>
      <c r="H3" s="10">
        <f>SUM(E3:E7)/SUM(C3:C7)</f>
        <v>3.2857142857142856</v>
      </c>
    </row>
    <row r="4" spans="1:10">
      <c r="A4" t="s">
        <v>7</v>
      </c>
      <c r="B4">
        <v>4</v>
      </c>
      <c r="C4">
        <v>7</v>
      </c>
      <c r="D4">
        <v>4</v>
      </c>
      <c r="E4">
        <f t="shared" si="0"/>
        <v>28</v>
      </c>
      <c r="F4" s="10"/>
      <c r="G4" s="4"/>
      <c r="H4" s="10"/>
    </row>
    <row r="5" spans="1:10">
      <c r="A5" t="s">
        <v>8</v>
      </c>
      <c r="B5">
        <v>3</v>
      </c>
      <c r="C5">
        <v>13</v>
      </c>
      <c r="D5">
        <v>3</v>
      </c>
      <c r="E5">
        <f t="shared" si="0"/>
        <v>39</v>
      </c>
      <c r="F5" s="10"/>
      <c r="G5" s="4"/>
      <c r="H5" s="10"/>
    </row>
    <row r="6" spans="1:10">
      <c r="A6" t="s">
        <v>9</v>
      </c>
      <c r="B6">
        <v>2</v>
      </c>
      <c r="C6">
        <v>1</v>
      </c>
      <c r="D6">
        <v>2</v>
      </c>
      <c r="E6">
        <f t="shared" si="0"/>
        <v>2</v>
      </c>
      <c r="F6" s="10"/>
      <c r="G6" s="4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4"/>
      <c r="H7" s="10"/>
    </row>
    <row r="9" spans="1:10">
      <c r="A9" s="9" t="s">
        <v>27</v>
      </c>
      <c r="B9" s="9"/>
      <c r="C9" s="9"/>
      <c r="D9" s="9"/>
      <c r="E9" s="9"/>
      <c r="F9" s="9"/>
      <c r="G9" s="9"/>
      <c r="H9" s="9"/>
      <c r="I9" s="9"/>
      <c r="J9" s="9"/>
    </row>
    <row r="10" spans="1:10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>
      <c r="A11" t="s">
        <v>6</v>
      </c>
      <c r="B11">
        <v>5</v>
      </c>
      <c r="C11">
        <v>3</v>
      </c>
      <c r="D11">
        <v>5</v>
      </c>
      <c r="E11">
        <f>C11*D11</f>
        <v>15</v>
      </c>
      <c r="F11" s="10">
        <f>SUM(E11:E15)</f>
        <v>81</v>
      </c>
      <c r="G11" s="4">
        <f>F11/$F$25</f>
        <v>0.33891213389121339</v>
      </c>
      <c r="H11" s="10">
        <f>SUM(E11:E15)/SUM(C11:C15)</f>
        <v>3.8571428571428572</v>
      </c>
    </row>
    <row r="12" spans="1:10">
      <c r="A12" t="s">
        <v>7</v>
      </c>
      <c r="B12">
        <v>4</v>
      </c>
      <c r="C12">
        <v>13</v>
      </c>
      <c r="D12">
        <v>4</v>
      </c>
      <c r="E12">
        <f t="shared" ref="E12:E15" si="1">C12*D12</f>
        <v>52</v>
      </c>
      <c r="F12" s="10"/>
      <c r="G12" s="4"/>
      <c r="H12" s="10"/>
    </row>
    <row r="13" spans="1:10">
      <c r="A13" t="s">
        <v>8</v>
      </c>
      <c r="B13">
        <v>3</v>
      </c>
      <c r="C13">
        <v>4</v>
      </c>
      <c r="D13">
        <v>3</v>
      </c>
      <c r="E13">
        <f t="shared" si="1"/>
        <v>12</v>
      </c>
      <c r="F13" s="10"/>
      <c r="G13" s="4"/>
      <c r="H13" s="10"/>
    </row>
    <row r="14" spans="1:10">
      <c r="A14" t="s">
        <v>9</v>
      </c>
      <c r="B14">
        <v>2</v>
      </c>
      <c r="C14">
        <v>1</v>
      </c>
      <c r="D14">
        <v>2</v>
      </c>
      <c r="E14">
        <f t="shared" si="1"/>
        <v>2</v>
      </c>
      <c r="F14" s="10"/>
      <c r="G14" s="4"/>
      <c r="H14" s="10"/>
    </row>
    <row r="15" spans="1:10">
      <c r="A15" t="s">
        <v>10</v>
      </c>
      <c r="B15">
        <v>1</v>
      </c>
      <c r="C15">
        <v>0</v>
      </c>
      <c r="D15">
        <v>1</v>
      </c>
      <c r="E15">
        <f t="shared" si="1"/>
        <v>0</v>
      </c>
      <c r="F15" s="10"/>
      <c r="G15" s="4"/>
      <c r="H15" s="10"/>
    </row>
    <row r="17" spans="1:10">
      <c r="A17" s="9" t="s">
        <v>28</v>
      </c>
      <c r="B17" s="9"/>
      <c r="C17" s="9"/>
      <c r="D17" s="9"/>
      <c r="E17" s="9"/>
      <c r="F17" s="9"/>
      <c r="G17" s="9"/>
      <c r="H17" s="9"/>
      <c r="I17" s="9"/>
      <c r="J17" s="9"/>
    </row>
    <row r="18" spans="1:10">
      <c r="A18" t="s">
        <v>1</v>
      </c>
      <c r="B18" t="s">
        <v>2</v>
      </c>
      <c r="C18" t="s">
        <v>3</v>
      </c>
      <c r="D18" t="s">
        <v>4</v>
      </c>
      <c r="H18" t="s">
        <v>5</v>
      </c>
    </row>
    <row r="19" spans="1:10">
      <c r="A19" t="s">
        <v>6</v>
      </c>
      <c r="B19">
        <v>5</v>
      </c>
      <c r="C19">
        <v>6</v>
      </c>
      <c r="D19">
        <v>5</v>
      </c>
      <c r="E19">
        <f>C19*D19</f>
        <v>30</v>
      </c>
      <c r="F19" s="10">
        <f>SUM(E19:E23)</f>
        <v>89</v>
      </c>
      <c r="G19" s="4">
        <f>F19/$F$25</f>
        <v>0.3723849372384937</v>
      </c>
      <c r="H19" s="10">
        <f>SUM(E19:E23)/SUM(C19:C23)</f>
        <v>4.2380952380952381</v>
      </c>
    </row>
    <row r="20" spans="1:10">
      <c r="A20" t="s">
        <v>7</v>
      </c>
      <c r="B20">
        <v>4</v>
      </c>
      <c r="C20">
        <v>14</v>
      </c>
      <c r="D20">
        <v>4</v>
      </c>
      <c r="E20">
        <f t="shared" ref="E20:E23" si="2">C20*D20</f>
        <v>56</v>
      </c>
      <c r="F20" s="10"/>
      <c r="G20" s="4"/>
      <c r="H20" s="10"/>
    </row>
    <row r="21" spans="1:10">
      <c r="A21" t="s">
        <v>8</v>
      </c>
      <c r="B21">
        <v>3</v>
      </c>
      <c r="C21">
        <v>1</v>
      </c>
      <c r="D21">
        <v>3</v>
      </c>
      <c r="E21">
        <f t="shared" si="2"/>
        <v>3</v>
      </c>
      <c r="F21" s="10"/>
      <c r="G21" s="4"/>
      <c r="H21" s="10"/>
    </row>
    <row r="22" spans="1:10">
      <c r="A22" t="s">
        <v>9</v>
      </c>
      <c r="B22">
        <v>2</v>
      </c>
      <c r="C22">
        <v>0</v>
      </c>
      <c r="D22">
        <v>2</v>
      </c>
      <c r="E22">
        <f t="shared" si="2"/>
        <v>0</v>
      </c>
      <c r="F22" s="10"/>
      <c r="G22" s="4"/>
      <c r="H22" s="10"/>
    </row>
    <row r="23" spans="1:10">
      <c r="A23" t="s">
        <v>10</v>
      </c>
      <c r="B23">
        <v>1</v>
      </c>
      <c r="C23">
        <v>0</v>
      </c>
      <c r="D23">
        <v>1</v>
      </c>
      <c r="E23">
        <f t="shared" si="2"/>
        <v>0</v>
      </c>
      <c r="F23" s="10"/>
      <c r="G23" s="4"/>
      <c r="H23" s="10"/>
    </row>
    <row r="25" spans="1:10">
      <c r="F25">
        <f>F3+F11+F19</f>
        <v>239</v>
      </c>
      <c r="G25" s="2">
        <f>G3+G11+G19</f>
        <v>1</v>
      </c>
      <c r="H25">
        <f>(H3+H11+H19)/3</f>
        <v>3.7936507936507931</v>
      </c>
      <c r="I25">
        <f>AVERAGE(H3,H11,H19)</f>
        <v>3.7936507936507931</v>
      </c>
    </row>
  </sheetData>
  <mergeCells count="9">
    <mergeCell ref="A17:J17"/>
    <mergeCell ref="F19:F23"/>
    <mergeCell ref="H19:H23"/>
    <mergeCell ref="A1:J1"/>
    <mergeCell ref="F3:F7"/>
    <mergeCell ref="H3:H7"/>
    <mergeCell ref="A9:J9"/>
    <mergeCell ref="F11:F15"/>
    <mergeCell ref="H11:H1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012B-FE07-40FC-B6DD-54F06CA1D250}">
  <dimension ref="A1:J9"/>
  <sheetViews>
    <sheetView tabSelected="1" topLeftCell="A5" workbookViewId="0">
      <selection activeCell="A13" sqref="A13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1" t="s">
        <v>29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5</v>
      </c>
      <c r="D3">
        <v>5</v>
      </c>
      <c r="E3">
        <f t="shared" ref="E3:E7" si="0">C3*D3</f>
        <v>25</v>
      </c>
      <c r="F3" s="10">
        <f>SUM(E3:E7)</f>
        <v>85</v>
      </c>
      <c r="G3" s="4">
        <f>F3/$F$9</f>
        <v>1</v>
      </c>
      <c r="H3" s="10">
        <f>SUM(E3:E7)/SUM(C3:C7)</f>
        <v>4.0476190476190474</v>
      </c>
    </row>
    <row r="4" spans="1:10">
      <c r="A4" t="s">
        <v>7</v>
      </c>
      <c r="B4">
        <v>4</v>
      </c>
      <c r="C4">
        <v>13</v>
      </c>
      <c r="D4">
        <v>4</v>
      </c>
      <c r="E4">
        <f t="shared" si="0"/>
        <v>52</v>
      </c>
      <c r="F4" s="10"/>
      <c r="G4" s="4"/>
      <c r="H4" s="10"/>
    </row>
    <row r="5" spans="1:10">
      <c r="A5" t="s">
        <v>8</v>
      </c>
      <c r="B5">
        <v>3</v>
      </c>
      <c r="C5">
        <v>2</v>
      </c>
      <c r="D5">
        <v>3</v>
      </c>
      <c r="E5">
        <f t="shared" si="0"/>
        <v>6</v>
      </c>
      <c r="F5" s="10"/>
      <c r="G5" s="4"/>
      <c r="H5" s="10"/>
    </row>
    <row r="6" spans="1:10">
      <c r="A6" t="s">
        <v>9</v>
      </c>
      <c r="B6">
        <v>2</v>
      </c>
      <c r="C6">
        <v>1</v>
      </c>
      <c r="D6">
        <v>2</v>
      </c>
      <c r="E6">
        <f t="shared" si="0"/>
        <v>2</v>
      </c>
      <c r="F6" s="10"/>
      <c r="G6" s="4"/>
      <c r="H6" s="10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10"/>
      <c r="G7" s="4"/>
      <c r="H7" s="10"/>
    </row>
    <row r="9" spans="1:10">
      <c r="F9">
        <f>F3</f>
        <v>85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6C4B-4B91-4E08-BE76-EE8B0847AB04}">
  <dimension ref="A2:B44"/>
  <sheetViews>
    <sheetView workbookViewId="0">
      <selection activeCell="B42" sqref="B42"/>
    </sheetView>
  </sheetViews>
  <sheetFormatPr defaultColWidth="11.42578125" defaultRowHeight="15"/>
  <cols>
    <col min="1" max="1" width="60" style="3" customWidth="1"/>
    <col min="2" max="2" width="18.42578125" style="1" customWidth="1"/>
  </cols>
  <sheetData>
    <row r="2" spans="1:2">
      <c r="A2" s="5" t="s">
        <v>30</v>
      </c>
      <c r="B2" s="7" t="s">
        <v>31</v>
      </c>
    </row>
    <row r="3" spans="1:2" ht="44.25" customHeight="1">
      <c r="A3" s="6" t="str">
        <f>'[1]FACTOR2-P'!A1:J1</f>
        <v>Considero que mi participación en actividades de investigación, desarrollo tecnológico, creación artística, culturales, deportivas y de extensión ha contribuido a mi desarrollo integral como persona</v>
      </c>
      <c r="B3" s="8">
        <f>'FACTOR2-I'!G3:G7</f>
        <v>0.35496183206106868</v>
      </c>
    </row>
    <row r="4" spans="1:2" ht="30">
      <c r="A4" s="6" t="str">
        <f>'[1]FACTOR2-P'!A9:J9</f>
        <v>Considero que el reglamento estudiantil y las políticas académicas del programa son pertinentes y están actualizadas.</v>
      </c>
      <c r="B4" s="8">
        <f>'FACTOR2-I'!G11</f>
        <v>0.30916030534351147</v>
      </c>
    </row>
    <row r="5" spans="1:2" ht="30">
      <c r="A5" s="6" t="str">
        <f>'[1]FACTOR2-P'!A17:J17</f>
        <v>Considero que los criterios para la concesión de estímulos académicos y apoyos socioeconómicos, son claros y justos.</v>
      </c>
      <c r="B5" s="8">
        <f>'FACTOR2-I'!G19</f>
        <v>0.33587786259541985</v>
      </c>
    </row>
    <row r="8" spans="1:2">
      <c r="A8" s="6" t="s">
        <v>32</v>
      </c>
      <c r="B8" s="7" t="s">
        <v>31</v>
      </c>
    </row>
    <row r="9" spans="1:2" ht="45">
      <c r="A9" s="6" t="str">
        <f>'[1]FACTOR3-P'!A1:J1</f>
        <v>Considero que el material académico producido por los docentes es pertinente y adecuado con las necesidades y objetivos de la Maestría en Ciencias de la Información y las Comunicaciones.</v>
      </c>
      <c r="B9" s="8">
        <f>'FACTOR3-I'!G3</f>
        <v>0.5</v>
      </c>
    </row>
    <row r="10" spans="1:2" ht="45">
      <c r="A10" s="6" t="str">
        <f>'[1]FACTOR3-P'!A9:J9</f>
        <v>Considero que los criterios y mecanismos utilizados para la evaluación de los profesores son transparentes, accesibles y eficaces</v>
      </c>
      <c r="B10" s="8">
        <f>'FACTOR3-I'!G11</f>
        <v>0.5</v>
      </c>
    </row>
    <row r="13" spans="1:2">
      <c r="A13" s="6" t="s">
        <v>33</v>
      </c>
      <c r="B13" s="7" t="s">
        <v>31</v>
      </c>
    </row>
    <row r="14" spans="1:2" ht="45">
      <c r="A14" s="6" t="str">
        <f>'[1]FACTOR5-P'!A1:J1</f>
        <v>Considero que las estrategias de flexibilidad curricular me han permitido personalizar mi formación de acuerdo con mis objetivos profesionales y académicos.</v>
      </c>
      <c r="B14" s="8">
        <f>'FACTOR5-I'!G3</f>
        <v>0.25595238095238093</v>
      </c>
    </row>
    <row r="15" spans="1:2" ht="60">
      <c r="A15" s="6" t="str">
        <f>'[1]FACTOR5-P'!A17:J17</f>
        <v>Considero que las estrategias pedagógicas y escenarios de práctica utilizadas en la Maestría en Ciencias de la Información y las Comunicaciones son coherentes y efectivas para facilitar los resultados</v>
      </c>
      <c r="B15" s="8">
        <f>'FACTOR5-I'!G19</f>
        <v>0.25297619047619047</v>
      </c>
    </row>
    <row r="16" spans="1:2" ht="60">
      <c r="A16" s="6" t="str">
        <f>'[1]FACTOR5-P'!A25:J25</f>
        <v>Considero que los sistemas de evaluación de los resultados de aprendizaje permiten una realimentación efectiva que contribuye a la mejora continua de la formación en los estudiantes.</v>
      </c>
      <c r="B16" s="8">
        <f>'FACTOR5-I'!G27</f>
        <v>0.25</v>
      </c>
    </row>
    <row r="17" spans="1:2" ht="60">
      <c r="A17" s="6" t="str">
        <f>'[1]FACTOR5-P'!A33:J33</f>
        <v>Considero que el proceso de evaluación y autorregulación de la Maestría en Ciencias de la Información y las Comunicaciones tiene en cuenta de manera efectiva las necesidades y expectativas de los estudiantes</v>
      </c>
      <c r="B17" s="8">
        <f>'FACTOR5-I'!G35</f>
        <v>0.24107142857142858</v>
      </c>
    </row>
    <row r="20" spans="1:2">
      <c r="A20" s="6" t="s">
        <v>34</v>
      </c>
      <c r="B20" s="7" t="s">
        <v>31</v>
      </c>
    </row>
    <row r="21" spans="1:2" ht="60">
      <c r="A21" s="6" t="str">
        <f>'[1]FACTOR6-P'!A1:J1</f>
        <v>Considero que las intervenciones y el apoyo proporcionados para alertarme de forma temprana, han sido útiles para mejorar mi rendimiento académico y facilitar mi progreso hacia la graduación.</v>
      </c>
      <c r="B21" s="8">
        <f>'[1]FACTOR6-P'!G3</f>
        <v>1</v>
      </c>
    </row>
    <row r="23" spans="1:2">
      <c r="A23" s="6" t="s">
        <v>35</v>
      </c>
      <c r="B23" s="7" t="s">
        <v>31</v>
      </c>
    </row>
    <row r="24" spans="1:2" ht="45">
      <c r="A24" s="6" t="str">
        <f>'[1]FACTOR7-P '!A1:J1</f>
        <v>Considero que la interacción con homólogos nacionales e internacionales ha mejorado mis competencias académicas y científicas, así como las oportunidades de desarrollo profesional.</v>
      </c>
      <c r="B24" s="8">
        <f>'[1]FACTOR7-P '!G3</f>
        <v>1</v>
      </c>
    </row>
    <row r="27" spans="1:2">
      <c r="A27" s="6" t="s">
        <v>36</v>
      </c>
      <c r="B27" s="7" t="s">
        <v>31</v>
      </c>
    </row>
    <row r="28" spans="1:2" ht="60">
      <c r="A28" s="6" t="str">
        <f>'[1]FACTOR8-P'!A1:J1</f>
        <v>Considero que la Maestría en Ciencias de la Información y las Comunicaciones me proporciona una formación adecuada para la investigación, fomentando el desarrollo de un pensamiento crítico, creativo e innovador</v>
      </c>
      <c r="B28" s="8">
        <f>'[1]FACTOR8-P'!G3</f>
        <v>1</v>
      </c>
    </row>
    <row r="31" spans="1:2">
      <c r="A31" s="6" t="s">
        <v>37</v>
      </c>
      <c r="B31" s="7" t="s">
        <v>31</v>
      </c>
    </row>
    <row r="32" spans="1:2" ht="60">
      <c r="A32" s="6" t="str">
        <f>'[1]FACTOR9-P'!A1:J1</f>
        <v>Considero que las políticas, programas y servicios de bienestar implementados en Maestría en Ciencias de la Información y las Comunicaciones son coherentes con las condiciones y necesidades específica</v>
      </c>
      <c r="B32" s="8">
        <f>'[1]FACTOR8-P'!G3</f>
        <v>1</v>
      </c>
    </row>
    <row r="34" spans="1:2">
      <c r="A34" s="6" t="s">
        <v>38</v>
      </c>
      <c r="B34" s="7" t="s">
        <v>31</v>
      </c>
    </row>
    <row r="35" spans="1:2" ht="60">
      <c r="A35" s="6" t="str">
        <f>'[1]FACTOR10-P'!A1:J1</f>
        <v>Considero que los espacios, recurso, herramientas y equipos de apoyo ofrecidos son pertinentes y se ajustan adecuadamente a mis necesidades formativas en los diferentes contextos que requiero.</v>
      </c>
      <c r="B35" s="8">
        <f>'FACTOR10-I'!G3</f>
        <v>0.5</v>
      </c>
    </row>
    <row r="36" spans="1:2" ht="60">
      <c r="A36" s="6" t="str">
        <f>'[1]FACTOR10-P'!A9:J9</f>
        <v>Considero que el material bibliográfico y de información disponible en la Maestría en Ciencias de la Información y las Comunicaciones es pertinente y adecuado para apoyar el desarrollo de las distinta</v>
      </c>
      <c r="B36" s="8">
        <f>'FACTOR10-I'!G11</f>
        <v>0.5</v>
      </c>
    </row>
    <row r="38" spans="1:2">
      <c r="A38" s="6" t="s">
        <v>39</v>
      </c>
      <c r="B38" s="7" t="s">
        <v>31</v>
      </c>
    </row>
    <row r="39" spans="1:2" ht="60">
      <c r="A39" s="6" t="str">
        <f>'[1]FACTOR11-P'!A1:J1</f>
        <v>Considero que el representante estudiantil en los diferentes escenarios institucionales ha sido valorada y ha influido en las decisiones orientadas al mejoramiento de la Maestría en Ciencias de la Información</v>
      </c>
      <c r="B39" s="8">
        <f>'FACTOR11-I'!G3</f>
        <v>0.28870292887029286</v>
      </c>
    </row>
    <row r="40" spans="1:2" ht="75">
      <c r="A40" s="6" t="str">
        <f>'[1]FACTOR11-P'!A9:J9</f>
        <v>Creo que los procesos administrativos están orientados adecuadamente y son eficaces para apoyar el desarrollo integral de las labores formativas, académicas, docentes, científicas, culturales y de extensión de la maestria en ciencias de la información y las comunicaciones</v>
      </c>
      <c r="B40" s="8">
        <f>'FACTOR11-I'!G11</f>
        <v>0.33891213389121339</v>
      </c>
    </row>
    <row r="41" spans="1:2" ht="90">
      <c r="A41" s="6" t="str">
        <f>'[1]FACTOR11-P'!A17:J17</f>
        <v xml:space="preserve">Considero que los recursos humanos (profesores, personal administrativo, etc.) disponibles en la Maestría en Ciencias de la Información y las Comunicaciones son suficientes y adecuados para atender el l número de estudiantes 
matriculados y cumplir con los objetivos del Proyecto Educativo del Programa (PEP) </v>
      </c>
      <c r="B41" s="8">
        <f>'FACTOR11-I'!G19</f>
        <v>0.3723849372384937</v>
      </c>
    </row>
    <row r="43" spans="1:2">
      <c r="A43" s="6" t="s">
        <v>40</v>
      </c>
      <c r="B43" s="7" t="s">
        <v>31</v>
      </c>
    </row>
    <row r="44" spans="1:2" ht="90">
      <c r="A44" s="6" t="str">
        <f>'[1]FACTOR12-P'!A1:J1</f>
        <v>Considero que los recursos informáticos disponibles, corresponden  adecuadamente con las 
necesidades tecnológicas de la Maestria de ciencias de la información y las comunicaciones y de sus miembros (profesores y 
estudiantes)</v>
      </c>
      <c r="B44" s="8">
        <f>'[1]FACTOR12-P'!G3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CAIMAN URQUIJO CAMILO ANDRES</cp:lastModifiedBy>
  <cp:revision/>
  <dcterms:created xsi:type="dcterms:W3CDTF">2025-04-30T00:30:48Z</dcterms:created>
  <dcterms:modified xsi:type="dcterms:W3CDTF">2025-05-15T14:55:52Z</dcterms:modified>
  <cp:category/>
  <cp:contentStatus/>
</cp:coreProperties>
</file>