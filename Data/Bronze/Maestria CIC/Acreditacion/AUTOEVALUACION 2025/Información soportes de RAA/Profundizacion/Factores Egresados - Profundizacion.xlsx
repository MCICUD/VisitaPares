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0" documentId="13_ncr:1_{7DF1281D-F6A3-4390-BC14-DB3B640E948A}" xr6:coauthVersionLast="47" xr6:coauthVersionMax="47" xr10:uidLastSave="{00000000-0000-0000-0000-000000000000}"/>
  <bookViews>
    <workbookView xWindow="-120" yWindow="-120" windowWidth="20730" windowHeight="11160" firstSheet="5" activeTab="5" xr2:uid="{1E96C860-2E20-4886-9C17-A94A13E3C1A1}"/>
  </bookViews>
  <sheets>
    <sheet name="FACTOR4-P" sheetId="1" r:id="rId1"/>
    <sheet name="FACTOR5-P" sheetId="2" r:id="rId2"/>
    <sheet name="FACTOR7-P" sheetId="3" r:id="rId3"/>
    <sheet name="FACTOR11-P" sheetId="4" r:id="rId4"/>
    <sheet name="CARACT-P" sheetId="5" r:id="rId5"/>
    <sheet name="Graficos-P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8" i="6"/>
  <c r="A12" i="6"/>
  <c r="A16" i="6"/>
  <c r="B16" i="6"/>
  <c r="A19" i="6"/>
  <c r="B19" i="6"/>
  <c r="A23" i="6"/>
  <c r="B23" i="6"/>
  <c r="E3" i="5"/>
  <c r="E4" i="5"/>
  <c r="E5" i="5"/>
  <c r="E6" i="5"/>
  <c r="E7" i="5"/>
  <c r="E20" i="5"/>
  <c r="E21" i="5"/>
  <c r="E22" i="5"/>
  <c r="E23" i="5"/>
  <c r="E24" i="5"/>
  <c r="E36" i="5"/>
  <c r="E37" i="5"/>
  <c r="E38" i="5"/>
  <c r="E39" i="5"/>
  <c r="E40" i="5"/>
  <c r="E3" i="4"/>
  <c r="E4" i="4"/>
  <c r="E5" i="4"/>
  <c r="E6" i="4"/>
  <c r="E7" i="4"/>
  <c r="E3" i="3"/>
  <c r="E4" i="3"/>
  <c r="E5" i="3"/>
  <c r="E6" i="3"/>
  <c r="E7" i="3"/>
  <c r="E3" i="2"/>
  <c r="E4" i="2"/>
  <c r="E5" i="2"/>
  <c r="E6" i="2"/>
  <c r="E7" i="2"/>
  <c r="E3" i="1"/>
  <c r="E4" i="1"/>
  <c r="E5" i="1"/>
  <c r="E6" i="1"/>
  <c r="E7" i="1"/>
  <c r="E12" i="1"/>
  <c r="E13" i="1"/>
  <c r="E14" i="1"/>
  <c r="E15" i="1"/>
  <c r="E16" i="1"/>
  <c r="F12" i="1" l="1"/>
  <c r="H12" i="1"/>
  <c r="F3" i="1"/>
  <c r="F20" i="1" s="1"/>
  <c r="H3" i="1"/>
  <c r="H20" i="1" s="1"/>
  <c r="F3" i="2"/>
  <c r="H3" i="3"/>
  <c r="F3" i="3"/>
  <c r="H3" i="4"/>
  <c r="F3" i="4"/>
  <c r="F36" i="5"/>
  <c r="F46" i="5" s="1"/>
  <c r="H36" i="5"/>
  <c r="H20" i="5"/>
  <c r="H3" i="5"/>
  <c r="G36" i="5"/>
  <c r="G46" i="5" s="1"/>
  <c r="F20" i="5"/>
  <c r="F3" i="5"/>
  <c r="F13" i="4"/>
  <c r="G3" i="4" s="1"/>
  <c r="G13" i="4" s="1"/>
  <c r="F13" i="3"/>
  <c r="G3" i="3"/>
  <c r="B12" i="6" s="1"/>
  <c r="F13" i="2"/>
  <c r="G3" i="2" s="1"/>
  <c r="B8" i="6" s="1"/>
  <c r="H3" i="2"/>
  <c r="G3" i="1"/>
  <c r="B3" i="6" s="1"/>
  <c r="G12" i="1" l="1"/>
  <c r="B4" i="6" s="1"/>
  <c r="F13" i="5"/>
  <c r="G3" i="5"/>
  <c r="G13" i="5" s="1"/>
  <c r="F30" i="5"/>
  <c r="G20" i="5" s="1"/>
  <c r="G30" i="5" s="1"/>
  <c r="G13" i="3"/>
  <c r="G13" i="2"/>
  <c r="G20" i="1"/>
</calcChain>
</file>

<file path=xl/sharedStrings.xml><?xml version="1.0" encoding="utf-8"?>
<sst xmlns="http://schemas.openxmlformats.org/spreadsheetml/2006/main" count="100" uniqueCount="29">
  <si>
    <t>Las competencias adquiridas durante mi formación en la maestría (técnicas, investigativas, pedagógicas, etc.) han sido suficientes y relevantes para mi desarrollo profesional.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</si>
  <si>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</si>
  <si>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</si>
  <si>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</si>
  <si>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</si>
  <si>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</si>
  <si>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</si>
  <si>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</si>
  <si>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</si>
  <si>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</si>
  <si>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</si>
  <si>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mi formación en la maestría ha influido positivamente en mi desarrollo profesional, así como en la mejora de oportunidades en mi campo laboral.</t>
  </si>
  <si>
    <t>Considero que las estrategias de flexibilidad curricular me permitieron personalizar mi formación de acuerdo con mis objetivos profesionales y académicos.</t>
  </si>
  <si>
    <t>Considero que la interacción con homólogos nacionales e internacionales me permitió mejorar mis competencias académicas y científicas, así como las oportunidades de desarrollo profesional.</t>
  </si>
  <si>
    <t>Considero que el representante estudiantil y de egresados en los diferentes escenarios institucionales, ha sido valorada y ha influido en las decisiones orientadas al mejoramiento de la Maestría en Ci.</t>
  </si>
  <si>
    <t>¿En qué sector se desempeña su trabajo actual?</t>
  </si>
  <si>
    <t>Sector primario (agricultura, ganadería, pesca, minería)</t>
  </si>
  <si>
    <t>Sector público (administración pública, gobierno)</t>
  </si>
  <si>
    <t>Sector terciario (comercio, servicios: educación, salud, finanzas, etc.)</t>
  </si>
  <si>
    <t>Tecnología (desarrollo de software, IA, ciberseguridad, telecomunicaciones)</t>
  </si>
  <si>
    <t>Otro</t>
  </si>
  <si>
    <t>¿El trabajo que realiza actualmente se relaciona directamente con los conocimientos adquiridos en la maestría?</t>
  </si>
  <si>
    <t>¿Siente que la maestría te ha abierto nuevas oportunidades laborales?</t>
  </si>
  <si>
    <t>FACTOR 4</t>
  </si>
  <si>
    <t>PONDERACIÓN</t>
  </si>
  <si>
    <t>FACTOR 5</t>
  </si>
  <si>
    <t>FACTOR 7</t>
  </si>
  <si>
    <t>FACTOR 11</t>
  </si>
  <si>
    <t>FACTOR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</si>
</sst>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Las competencias adquiridas durante mi formación en la maestría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6-4A5F-A23F-2F756A8F85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6-4A5F-A23F-2F756A8F85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6-4A5F-A23F-2F756A8F85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26-4A5F-A23F-2F756A8F85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26-4A5F-A23F-2F756A8F85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'FACTOR4-P'!$C$3:$C$7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26-4A5F-A23F-2F756A8F85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formación en la maestría ha influido positivamente en mi desarrollo profesional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E-4006-940E-A275493CB1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E-4006-940E-A275493CB1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6E-4006-940E-A275493CB1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6E-4006-940E-A275493CB1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6E-4006-940E-A275493CB1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'FACTOR4-P'!$A$12:$A$16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'FACTOR4-P'!$C$12:$C$16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6E-4006-940E-A275493CB1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EB-4F69-9BB2-C6B18E0E79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EB-4F69-9BB2-C6B18E0E79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EB-4F69-9BB2-C6B18E0E79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EB-4F69-9BB2-C6B18E0E79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EB-4F69-9BB2-C6B18E0E79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'FACTOR5-P'!$C$3:$C$7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EB-4F69-9BB2-C6B18E0E79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 interacción con homólogos nacionales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D8-4AA8-B4FA-D68DEBEC4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8-4AA8-B4FA-D68DEBEC4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D8-4AA8-B4FA-D68DEBEC4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D8-4AA8-B4FA-D68DEBEC4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D8-4AA8-B4FA-D68DEBEC42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'FACTOR7-P'!$C$3:$C$7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D8-4AA8-B4FA-D68DEBEC42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y de egresados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C2-4D79-8709-49F31C7868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C2-4D79-8709-49F31C7868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C2-4D79-8709-49F31C7868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C2-4D79-8709-49F31C7868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C2-4D79-8709-49F31C786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'FACTOR11-P'!$C$3:$C$7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C2-4D79-8709-49F31C7868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¿En qué sector se desempeña su trabajo actual?</a:t>
            </a:r>
          </a:p>
        </c:rich>
      </c:tx>
      <c:layout>
        <c:manualLayout>
          <c:xMode val="edge"/>
          <c:yMode val="edge"/>
          <c:x val="0.11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32-4206-AC0A-B14E478A1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32-4206-AC0A-B14E478A1E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32-4206-AC0A-B14E478A1E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32-4206-AC0A-B14E478A1E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32-4206-AC0A-B14E478A1E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'CARACT-P'!$A$3:$A$7</c:f>
              <c:strCache>
                <c:ptCount val="5"/>
                <c:pt idx="0">
                  <c:v>Sector primario (agricultura, ganadería, pesca, minería)</c:v>
                </c:pt>
                <c:pt idx="1">
                  <c:v>Sector público (administración pública, gobierno)</c:v>
                </c:pt>
                <c:pt idx="2">
                  <c:v>Sector terciario (comercio, servicios: educación, salud, finanzas, etc.)</c:v>
                </c:pt>
                <c:pt idx="3">
                  <c:v>Tecnología (desarrollo de software, IA, ciberseguridad, telecomunicaciones)</c:v>
                </c:pt>
                <c:pt idx="4">
                  <c:v>Otro</c:v>
                </c:pt>
              </c:strCache>
            </c:strRef>
          </c:cat>
          <c:val>
            <c:numRef>
              <c:f>'CARACT-P'!$C$3:$C$7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32-4206-AC0A-B14E478A1E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¿El trabajo que realiza actualmente se relaciona directamente con los conocimientos adquiridos en la maestría?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A-4FAD-B9E1-B82AAF4F4C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A-4FAD-B9E1-B82AAF4F4C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A-4FAD-B9E1-B82AAF4F4C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A-4FAD-B9E1-B82AAF4F4C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A-4FAD-B9E1-B82AAF4F4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'CARACT-P'!$A$20:$A$24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'CARACT-P'!$C$20:$C$24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8A-4FAD-B9E1-B82AAF4F4C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¿Siente que la maestría te ha abierto nuevas oportunidades laborales?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8C-41B2-B30F-1F18A5773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8C-41B2-B30F-1F18A5773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8C-41B2-B30F-1F18A5773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8C-41B2-B30F-1F18A5773D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48C-41B2-B30F-1F18A5773D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'CARACT-P'!$A$36:$A$40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'CARACT-P'!$C$36:$C$40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8C-41B2-B30F-1F18A577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0</xdr:row>
      <xdr:rowOff>4762</xdr:rowOff>
    </xdr:from>
    <xdr:to>
      <xdr:col>17</xdr:col>
      <xdr:colOff>542925</xdr:colOff>
      <xdr:row>13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F83F4C-C06C-4C04-9FF0-AC52DCCD0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147637</xdr:colOff>
      <xdr:row>14</xdr:row>
      <xdr:rowOff>138112</xdr:rowOff>
    </xdr:from>
    <xdr:to>
      <xdr:col>17</xdr:col>
      <xdr:colOff>452437</xdr:colOff>
      <xdr:row>29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8FE80-27B4-4120-8131-3F80BEC8F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595312</xdr:colOff>
      <xdr:row>1</xdr:row>
      <xdr:rowOff>138112</xdr:rowOff>
    </xdr:from>
    <xdr:to>
      <xdr:col>16</xdr:col>
      <xdr:colOff>109537</xdr:colOff>
      <xdr:row>16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583F5-702E-44C6-9AE6-FFBF9EBDE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6</xdr:row>
      <xdr:rowOff>119062</xdr:rowOff>
    </xdr:from>
    <xdr:to>
      <xdr:col>9</xdr:col>
      <xdr:colOff>547687</xdr:colOff>
      <xdr:row>21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FBE24C-5301-48C8-95BC-9EAF06ABE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490537</xdr:colOff>
      <xdr:row>9</xdr:row>
      <xdr:rowOff>128587</xdr:rowOff>
    </xdr:from>
    <xdr:to>
      <xdr:col>10</xdr:col>
      <xdr:colOff>52387</xdr:colOff>
      <xdr:row>24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90D97F-51AC-4F46-A3F8-67B679873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633412</xdr:colOff>
      <xdr:row>1</xdr:row>
      <xdr:rowOff>176212</xdr:rowOff>
    </xdr:from>
    <xdr:to>
      <xdr:col>16</xdr:col>
      <xdr:colOff>147637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4B15B1-F4EC-42F7-861F-2A4D58861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17</xdr:row>
      <xdr:rowOff>100012</xdr:rowOff>
    </xdr:from>
    <xdr:to>
      <xdr:col>16</xdr:col>
      <xdr:colOff>123825</xdr:colOff>
      <xdr:row>31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C31C7C-EE56-4D7B-9C72-B9D09A118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576262</xdr:colOff>
      <xdr:row>33</xdr:row>
      <xdr:rowOff>166687</xdr:rowOff>
    </xdr:from>
    <xdr:to>
      <xdr:col>16</xdr:col>
      <xdr:colOff>90487</xdr:colOff>
      <xdr:row>48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75AC03-C946-4602-A29B-3C040ABAD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milo%20U\15avo%20Semestre\Monitorias\Encuesta%20Factores\Factores%20Estudiantes.xlsx" TargetMode="External"/><Relationship Id="rId1" Type="http://schemas.openxmlformats.org/officeDocument/2006/relationships/externalLinkPath" Target="Factores%20Estudia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2-P"/>
      <sheetName val="FACTOR2-I"/>
      <sheetName val="FACTOR3-P"/>
      <sheetName val="FACTOR3-I"/>
      <sheetName val="FACTOR5-P"/>
      <sheetName val="FACTOR5-I"/>
      <sheetName val="FACTOR6-P"/>
      <sheetName val="FACTOR6-I"/>
      <sheetName val="FACTOR7-P "/>
      <sheetName val="FACTOR7-I"/>
      <sheetName val="FACTOR8-P"/>
      <sheetName val="FACTOR8-I"/>
      <sheetName val="FACTOR9-P"/>
      <sheetName val="FACTOR9-I"/>
      <sheetName val="FACTOR10-P"/>
      <sheetName val="FACTOR10-I"/>
      <sheetName val="FACTOR11-P"/>
      <sheetName val="FACTOR11-I"/>
      <sheetName val="FACTOR12-P"/>
      <sheetName val="FACTOR12-I"/>
      <sheetName val="Graficos-P"/>
      <sheetName val="Graficos-I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Considero que las intervenciones y el apoyo proporcionados para alertarme de forma temprana, han sido útiles para mejorar mi rendimiento académico y facilitar mi progreso hacia la graduación.</v>
          </cell>
          <cell r="B1"/>
          <cell r="C1"/>
          <cell r="D1"/>
          <cell r="E1"/>
          <cell r="F1"/>
          <cell r="G1"/>
          <cell r="H1"/>
          <cell r="I1"/>
          <cell r="J1"/>
        </row>
        <row r="3">
          <cell r="G3">
            <v>1</v>
          </cell>
        </row>
      </sheetData>
      <sheetData sheetId="7"/>
      <sheetData sheetId="8">
        <row r="1">
          <cell r="A1" t="str">
            <v>Considero que la interacción con homólogos nacionales e internacionales ha mejorado mis competencias académicas y científicas, así como las oportunidades de desarrollo profesional.</v>
          </cell>
          <cell r="B1"/>
          <cell r="C1"/>
          <cell r="D1"/>
          <cell r="E1"/>
          <cell r="F1"/>
          <cell r="G1"/>
          <cell r="H1"/>
          <cell r="I1"/>
          <cell r="J1"/>
        </row>
        <row r="3">
          <cell r="G3">
            <v>1</v>
          </cell>
        </row>
      </sheetData>
      <sheetData sheetId="9"/>
      <sheetData sheetId="10">
        <row r="1">
          <cell r="A1" t="str">
            <v>Considero que la Maestría en Ciencias de la Información y las Comunicaciones me proporciona una formación adecuada para la investigación, fomentando el desarrollo de un pensamiento crítico, creativo e innovador</v>
          </cell>
          <cell r="B1"/>
          <cell r="C1"/>
          <cell r="D1"/>
          <cell r="E1"/>
          <cell r="F1"/>
          <cell r="G1"/>
          <cell r="H1"/>
          <cell r="I1"/>
          <cell r="J1"/>
        </row>
        <row r="3">
          <cell r="G3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12AB-51E1-4B63-A81E-0754D505436B}">
  <dimension ref="A1:J20"/>
  <sheetViews>
    <sheetView workbookViewId="0">
      <selection activeCell="A10" sqref="A10:J10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>C3*D3</f>
        <v>10</v>
      </c>
      <c r="F3" s="10">
        <f>SUM(E3:E7)</f>
        <v>18</v>
      </c>
      <c r="G3" s="3">
        <f>F3/$F$20</f>
        <v>0.48648648648648651</v>
      </c>
      <c r="H3" s="10">
        <f>SUM(E3:E7)/SUM(C3:C7)</f>
        <v>3.6</v>
      </c>
    </row>
    <row r="4" spans="1:10">
      <c r="A4" t="s">
        <v>7</v>
      </c>
      <c r="B4">
        <v>4</v>
      </c>
      <c r="C4">
        <v>1</v>
      </c>
      <c r="D4">
        <v>4</v>
      </c>
      <c r="E4">
        <f>C4*D4</f>
        <v>4</v>
      </c>
      <c r="F4" s="10"/>
      <c r="G4" s="3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>C5*D5</f>
        <v>0</v>
      </c>
      <c r="F5" s="10"/>
      <c r="G5" s="3"/>
      <c r="H5" s="10"/>
    </row>
    <row r="6" spans="1:10">
      <c r="A6" t="s">
        <v>9</v>
      </c>
      <c r="B6">
        <v>2</v>
      </c>
      <c r="C6">
        <v>2</v>
      </c>
      <c r="D6">
        <v>2</v>
      </c>
      <c r="E6">
        <f>C6*D6</f>
        <v>4</v>
      </c>
      <c r="F6" s="10"/>
      <c r="G6" s="3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10"/>
      <c r="G7" s="3"/>
      <c r="H7" s="10"/>
    </row>
    <row r="10" spans="1:10">
      <c r="A10" s="11" t="s">
        <v>11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t="s">
        <v>1</v>
      </c>
      <c r="B11" t="s">
        <v>2</v>
      </c>
      <c r="C11" t="s">
        <v>3</v>
      </c>
      <c r="D11" t="s">
        <v>4</v>
      </c>
      <c r="H11" t="s">
        <v>5</v>
      </c>
    </row>
    <row r="12" spans="1:10">
      <c r="A12" t="s">
        <v>6</v>
      </c>
      <c r="B12">
        <v>5</v>
      </c>
      <c r="C12">
        <v>1</v>
      </c>
      <c r="D12">
        <v>5</v>
      </c>
      <c r="E12">
        <f>C12*D12</f>
        <v>5</v>
      </c>
      <c r="F12" s="10">
        <f>SUM(E12:E16)</f>
        <v>19</v>
      </c>
      <c r="G12" s="3">
        <f>F12/$F$20</f>
        <v>0.51351351351351349</v>
      </c>
      <c r="H12" s="10">
        <f>SUM(E12:E16)/SUM(C12:C16)</f>
        <v>3.8</v>
      </c>
    </row>
    <row r="13" spans="1:10">
      <c r="A13" t="s">
        <v>7</v>
      </c>
      <c r="B13">
        <v>4</v>
      </c>
      <c r="C13">
        <v>3</v>
      </c>
      <c r="D13">
        <v>4</v>
      </c>
      <c r="E13">
        <f>C13*D13</f>
        <v>12</v>
      </c>
      <c r="F13" s="10"/>
      <c r="G13" s="3"/>
      <c r="H13" s="10"/>
    </row>
    <row r="14" spans="1:10">
      <c r="A14" t="s">
        <v>8</v>
      </c>
      <c r="B14">
        <v>3</v>
      </c>
      <c r="C14">
        <v>0</v>
      </c>
      <c r="D14">
        <v>3</v>
      </c>
      <c r="E14">
        <f>C14*D14</f>
        <v>0</v>
      </c>
      <c r="F14" s="10"/>
      <c r="G14" s="3"/>
      <c r="H14" s="10"/>
    </row>
    <row r="15" spans="1:10">
      <c r="A15" t="s">
        <v>9</v>
      </c>
      <c r="B15">
        <v>2</v>
      </c>
      <c r="C15">
        <v>1</v>
      </c>
      <c r="D15">
        <v>2</v>
      </c>
      <c r="E15">
        <f>C15*D15</f>
        <v>2</v>
      </c>
      <c r="F15" s="10"/>
      <c r="G15" s="3"/>
      <c r="H15" s="10"/>
    </row>
    <row r="16" spans="1:10">
      <c r="A16" t="s">
        <v>10</v>
      </c>
      <c r="B16">
        <v>1</v>
      </c>
      <c r="C16">
        <v>0</v>
      </c>
      <c r="D16">
        <v>1</v>
      </c>
      <c r="E16">
        <f>C16*D16</f>
        <v>0</v>
      </c>
      <c r="F16" s="10"/>
      <c r="G16" s="3"/>
      <c r="H16" s="10"/>
    </row>
    <row r="20" spans="6:8">
      <c r="F20">
        <f>F3+F12</f>
        <v>37</v>
      </c>
      <c r="G20" s="1">
        <f>G3+G12</f>
        <v>1</v>
      </c>
      <c r="H20">
        <f>AVERAGE(H3,H12)</f>
        <v>3.7</v>
      </c>
    </row>
  </sheetData>
  <mergeCells count="6">
    <mergeCell ref="A1:J1"/>
    <mergeCell ref="F3:F7"/>
    <mergeCell ref="H3:H7"/>
    <mergeCell ref="A10:J10"/>
    <mergeCell ref="F12:F16"/>
    <mergeCell ref="H12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7DBF-05BE-44DD-B28A-9F6FDDDE3D36}">
  <dimension ref="A1:J13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>C3*D3</f>
        <v>10</v>
      </c>
      <c r="F3" s="10">
        <f>SUM(E3:E7)</f>
        <v>20</v>
      </c>
      <c r="G3" s="3">
        <f>F3/$F$13</f>
        <v>1</v>
      </c>
      <c r="H3" s="10">
        <f>SUM(E3:E7)/SUM(C3:C7)</f>
        <v>4</v>
      </c>
    </row>
    <row r="4" spans="1:10">
      <c r="A4" t="s">
        <v>7</v>
      </c>
      <c r="B4">
        <v>4</v>
      </c>
      <c r="C4">
        <v>2</v>
      </c>
      <c r="D4">
        <v>4</v>
      </c>
      <c r="E4">
        <f>C4*D4</f>
        <v>8</v>
      </c>
      <c r="F4" s="10"/>
      <c r="G4" s="3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>C5*D5</f>
        <v>0</v>
      </c>
      <c r="F5" s="10"/>
      <c r="G5" s="3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>C6*D6</f>
        <v>2</v>
      </c>
      <c r="F6" s="10"/>
      <c r="G6" s="3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10"/>
      <c r="G7" s="3"/>
      <c r="H7" s="10"/>
    </row>
    <row r="13" spans="1:10">
      <c r="F13">
        <f>F3</f>
        <v>20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F7A9-AD57-4CD1-8CDB-7D4AB797D7F8}">
  <dimension ref="A1:J13"/>
  <sheetViews>
    <sheetView workbookViewId="0">
      <selection sqref="A1:J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>C3*D3</f>
        <v>0</v>
      </c>
      <c r="F3" s="10">
        <f>SUM(E3:E7)</f>
        <v>15</v>
      </c>
      <c r="G3" s="3">
        <f>F3/$F$13</f>
        <v>1</v>
      </c>
      <c r="H3" s="10">
        <f>SUM(E3:E7)/SUM(C3:C7)</f>
        <v>3</v>
      </c>
    </row>
    <row r="4" spans="1:10">
      <c r="A4" t="s">
        <v>7</v>
      </c>
      <c r="B4">
        <v>4</v>
      </c>
      <c r="C4">
        <v>1</v>
      </c>
      <c r="D4">
        <v>4</v>
      </c>
      <c r="E4">
        <f>C4*D4</f>
        <v>4</v>
      </c>
      <c r="F4" s="10"/>
      <c r="G4" s="3"/>
      <c r="H4" s="10"/>
    </row>
    <row r="5" spans="1:10">
      <c r="A5" t="s">
        <v>8</v>
      </c>
      <c r="B5">
        <v>3</v>
      </c>
      <c r="C5">
        <v>3</v>
      </c>
      <c r="D5">
        <v>3</v>
      </c>
      <c r="E5">
        <f>C5*D5</f>
        <v>9</v>
      </c>
      <c r="F5" s="10"/>
      <c r="G5" s="3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>C6*D6</f>
        <v>2</v>
      </c>
      <c r="F6" s="10"/>
      <c r="G6" s="3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10"/>
      <c r="G7" s="3"/>
      <c r="H7" s="10"/>
    </row>
    <row r="13" spans="1:10">
      <c r="F13">
        <f>F3</f>
        <v>15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BA99-B91C-44A2-9D95-A422C5190375}">
  <dimension ref="A1:J13"/>
  <sheetViews>
    <sheetView workbookViewId="0">
      <selection activeCell="B11" sqref="B1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>C3*D3</f>
        <v>0</v>
      </c>
      <c r="F3" s="10">
        <f>SUM(E3:E7)</f>
        <v>12</v>
      </c>
      <c r="G3" s="3">
        <f>F3/$F$13</f>
        <v>1</v>
      </c>
      <c r="H3" s="10">
        <f>SUM(E3:E7)/SUM(C3:C7)</f>
        <v>2.4</v>
      </c>
    </row>
    <row r="4" spans="1:10">
      <c r="A4" t="s">
        <v>7</v>
      </c>
      <c r="B4">
        <v>4</v>
      </c>
      <c r="C4">
        <v>1</v>
      </c>
      <c r="D4">
        <v>4</v>
      </c>
      <c r="E4">
        <f>C4*D4</f>
        <v>4</v>
      </c>
      <c r="F4" s="10"/>
      <c r="G4" s="3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>C5*D5</f>
        <v>6</v>
      </c>
      <c r="F5" s="10"/>
      <c r="G5" s="3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10"/>
      <c r="G6" s="3"/>
      <c r="H6" s="10"/>
    </row>
    <row r="7" spans="1:10">
      <c r="A7" t="s">
        <v>10</v>
      </c>
      <c r="B7">
        <v>1</v>
      </c>
      <c r="C7">
        <v>2</v>
      </c>
      <c r="D7">
        <v>1</v>
      </c>
      <c r="E7">
        <f>C7*D7</f>
        <v>2</v>
      </c>
      <c r="F7" s="10"/>
      <c r="G7" s="3"/>
      <c r="H7" s="10"/>
    </row>
    <row r="13" spans="1:10">
      <c r="F13">
        <f>F3</f>
        <v>12</v>
      </c>
      <c r="G13" s="1">
        <f>G3</f>
        <v>1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81BF-C92E-414B-9ADB-DBE624CAE8F3}">
  <dimension ref="A1:J46"/>
  <sheetViews>
    <sheetView topLeftCell="B1" workbookViewId="0">
      <selection activeCell="C47" sqref="C4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16</v>
      </c>
      <c r="B3">
        <v>5</v>
      </c>
      <c r="C3">
        <v>0</v>
      </c>
      <c r="D3">
        <v>5</v>
      </c>
      <c r="E3">
        <f>C3*D3</f>
        <v>0</v>
      </c>
      <c r="F3" s="10">
        <f>SUM(E3:E7)</f>
        <v>11</v>
      </c>
      <c r="G3" s="3">
        <f>F3/$F$13</f>
        <v>1</v>
      </c>
      <c r="H3" s="10">
        <f>SUM(E3:E7)/SUM(C3:C7)</f>
        <v>2.2000000000000002</v>
      </c>
    </row>
    <row r="4" spans="1:10">
      <c r="A4" t="s">
        <v>17</v>
      </c>
      <c r="B4">
        <v>4</v>
      </c>
      <c r="C4">
        <v>0</v>
      </c>
      <c r="D4">
        <v>4</v>
      </c>
      <c r="E4">
        <f>C4*D4</f>
        <v>0</v>
      </c>
      <c r="F4" s="10"/>
      <c r="G4" s="3"/>
      <c r="H4" s="10"/>
    </row>
    <row r="5" spans="1:10">
      <c r="A5" t="s">
        <v>18</v>
      </c>
      <c r="B5">
        <v>3</v>
      </c>
      <c r="C5">
        <v>1</v>
      </c>
      <c r="D5">
        <v>3</v>
      </c>
      <c r="E5">
        <f>C5*D5</f>
        <v>3</v>
      </c>
      <c r="F5" s="10"/>
      <c r="G5" s="3"/>
      <c r="H5" s="10"/>
    </row>
    <row r="6" spans="1:10">
      <c r="A6" t="s">
        <v>19</v>
      </c>
      <c r="B6">
        <v>2</v>
      </c>
      <c r="C6">
        <v>4</v>
      </c>
      <c r="D6">
        <v>2</v>
      </c>
      <c r="E6">
        <f>C6*D6</f>
        <v>8</v>
      </c>
      <c r="F6" s="10"/>
      <c r="G6" s="3"/>
      <c r="H6" s="10"/>
    </row>
    <row r="7" spans="1:10">
      <c r="A7" t="s">
        <v>20</v>
      </c>
      <c r="B7">
        <v>1</v>
      </c>
      <c r="C7">
        <v>0</v>
      </c>
      <c r="D7">
        <v>1</v>
      </c>
      <c r="E7">
        <f>C7*D7</f>
        <v>0</v>
      </c>
      <c r="F7" s="10"/>
      <c r="G7" s="3"/>
      <c r="H7" s="10"/>
    </row>
    <row r="13" spans="1:10">
      <c r="F13">
        <f>F3</f>
        <v>11</v>
      </c>
      <c r="G13" s="1">
        <f>G3</f>
        <v>1</v>
      </c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t="s">
        <v>1</v>
      </c>
      <c r="B19" t="s">
        <v>2</v>
      </c>
      <c r="C19" t="s">
        <v>3</v>
      </c>
      <c r="D19" t="s">
        <v>4</v>
      </c>
      <c r="H19" t="s">
        <v>5</v>
      </c>
    </row>
    <row r="20" spans="1:10">
      <c r="A20" t="s">
        <v>6</v>
      </c>
      <c r="B20">
        <v>5</v>
      </c>
      <c r="C20">
        <v>1</v>
      </c>
      <c r="D20">
        <v>5</v>
      </c>
      <c r="E20">
        <f>C20*D20</f>
        <v>5</v>
      </c>
      <c r="F20" s="10">
        <f>SUM(E20:E24)</f>
        <v>20</v>
      </c>
      <c r="G20" s="3">
        <f>F20/$F$30</f>
        <v>1</v>
      </c>
      <c r="H20" s="10">
        <f>SUM(E20:E24)/SUM(C20:C24)</f>
        <v>4</v>
      </c>
    </row>
    <row r="21" spans="1:10">
      <c r="A21" t="s">
        <v>7</v>
      </c>
      <c r="B21">
        <v>4</v>
      </c>
      <c r="C21">
        <v>3</v>
      </c>
      <c r="D21">
        <v>4</v>
      </c>
      <c r="E21">
        <f>C21*D21</f>
        <v>12</v>
      </c>
      <c r="F21" s="10"/>
      <c r="G21" s="3"/>
      <c r="H21" s="10"/>
    </row>
    <row r="22" spans="1:10">
      <c r="A22" t="s">
        <v>8</v>
      </c>
      <c r="B22">
        <v>3</v>
      </c>
      <c r="C22">
        <v>1</v>
      </c>
      <c r="D22">
        <v>3</v>
      </c>
      <c r="E22">
        <f>C22*D22</f>
        <v>3</v>
      </c>
      <c r="F22" s="10"/>
      <c r="G22" s="3"/>
      <c r="H22" s="10"/>
    </row>
    <row r="23" spans="1:10">
      <c r="A23" t="s">
        <v>9</v>
      </c>
      <c r="B23">
        <v>2</v>
      </c>
      <c r="C23">
        <v>0</v>
      </c>
      <c r="D23">
        <v>2</v>
      </c>
      <c r="E23">
        <f>C23*D23</f>
        <v>0</v>
      </c>
      <c r="F23" s="10"/>
      <c r="G23" s="3"/>
      <c r="H23" s="10"/>
    </row>
    <row r="24" spans="1:10">
      <c r="A24" t="s">
        <v>10</v>
      </c>
      <c r="B24">
        <v>1</v>
      </c>
      <c r="C24">
        <v>0</v>
      </c>
      <c r="D24">
        <v>1</v>
      </c>
      <c r="E24">
        <f>C24*D24</f>
        <v>0</v>
      </c>
      <c r="F24" s="10"/>
      <c r="G24" s="3"/>
      <c r="H24" s="10"/>
    </row>
    <row r="30" spans="1:10">
      <c r="F30">
        <f>F20</f>
        <v>20</v>
      </c>
      <c r="G30" s="1">
        <f>G20</f>
        <v>1</v>
      </c>
    </row>
    <row r="34" spans="1:10">
      <c r="A34" s="9" t="s">
        <v>22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>
      <c r="A35" t="s">
        <v>1</v>
      </c>
      <c r="B35" t="s">
        <v>2</v>
      </c>
      <c r="C35" t="s">
        <v>3</v>
      </c>
      <c r="D35" t="s">
        <v>4</v>
      </c>
      <c r="H35" t="s">
        <v>5</v>
      </c>
    </row>
    <row r="36" spans="1:10">
      <c r="A36" t="s">
        <v>6</v>
      </c>
      <c r="B36">
        <v>5</v>
      </c>
      <c r="C36">
        <v>0</v>
      </c>
      <c r="D36">
        <v>5</v>
      </c>
      <c r="E36">
        <f>C36*D36</f>
        <v>0</v>
      </c>
      <c r="F36" s="10">
        <f>SUM(E36:E40)</f>
        <v>17</v>
      </c>
      <c r="G36" s="3">
        <f>F36/$F$46</f>
        <v>1</v>
      </c>
      <c r="H36" s="10">
        <f>SUM(E36:E40)/SUM(C36:C40)</f>
        <v>3.4</v>
      </c>
    </row>
    <row r="37" spans="1:10">
      <c r="A37" t="s">
        <v>7</v>
      </c>
      <c r="B37">
        <v>4</v>
      </c>
      <c r="C37">
        <v>3</v>
      </c>
      <c r="D37">
        <v>4</v>
      </c>
      <c r="E37">
        <f>C37*D37</f>
        <v>12</v>
      </c>
      <c r="F37" s="10"/>
      <c r="G37" s="3"/>
      <c r="H37" s="10"/>
    </row>
    <row r="38" spans="1:10">
      <c r="A38" t="s">
        <v>8</v>
      </c>
      <c r="B38">
        <v>3</v>
      </c>
      <c r="C38">
        <v>1</v>
      </c>
      <c r="D38">
        <v>3</v>
      </c>
      <c r="E38">
        <f>C38*D38</f>
        <v>3</v>
      </c>
      <c r="F38" s="10"/>
      <c r="G38" s="3"/>
      <c r="H38" s="10"/>
    </row>
    <row r="39" spans="1:10">
      <c r="A39" t="s">
        <v>9</v>
      </c>
      <c r="B39">
        <v>2</v>
      </c>
      <c r="C39">
        <v>1</v>
      </c>
      <c r="D39">
        <v>2</v>
      </c>
      <c r="E39">
        <f>C39*D39</f>
        <v>2</v>
      </c>
      <c r="F39" s="10"/>
      <c r="G39" s="3"/>
      <c r="H39" s="10"/>
    </row>
    <row r="40" spans="1:10">
      <c r="A40" t="s">
        <v>10</v>
      </c>
      <c r="B40">
        <v>1</v>
      </c>
      <c r="C40">
        <v>0</v>
      </c>
      <c r="D40">
        <v>1</v>
      </c>
      <c r="E40">
        <f>C40*D40</f>
        <v>0</v>
      </c>
      <c r="F40" s="10"/>
      <c r="G40" s="3"/>
      <c r="H40" s="10"/>
    </row>
    <row r="46" spans="1:10">
      <c r="F46">
        <f>F36</f>
        <v>17</v>
      </c>
      <c r="G46" s="1">
        <f>G36</f>
        <v>1</v>
      </c>
    </row>
  </sheetData>
  <mergeCells count="9">
    <mergeCell ref="A34:J34"/>
    <mergeCell ref="F36:F40"/>
    <mergeCell ref="H36:H40"/>
    <mergeCell ref="A1:J1"/>
    <mergeCell ref="F3:F7"/>
    <mergeCell ref="H3:H7"/>
    <mergeCell ref="A18:J18"/>
    <mergeCell ref="F20:F24"/>
    <mergeCell ref="H20:H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A3A8-3B7E-4E52-8283-ECF86703EBE2}">
  <dimension ref="A2:B23"/>
  <sheetViews>
    <sheetView tabSelected="1" topLeftCell="A13" workbookViewId="0">
      <selection sqref="A1:B23"/>
    </sheetView>
  </sheetViews>
  <sheetFormatPr defaultColWidth="11.42578125" defaultRowHeight="15"/>
  <cols>
    <col min="1" max="1" width="60" style="4" customWidth="1"/>
    <col min="2" max="2" width="18.42578125" style="2" customWidth="1"/>
  </cols>
  <sheetData>
    <row r="2" spans="1:2">
      <c r="A2" s="8" t="s">
        <v>23</v>
      </c>
      <c r="B2" s="7" t="s">
        <v>24</v>
      </c>
    </row>
    <row r="3" spans="1:2" ht="44.25" customHeight="1">
      <c r="A3" s="6" t="str">
        <f>'FACTOR4-P'!$A$1:$J$1</f>
        <v>Las competencias adquiridas durante mi formación en la maestría (técnicas, investigativas, pedagógicas, etc.) han sido suficientes y relevantes para mi desarrollo profesional.</v>
      </c>
      <c r="B3" s="5">
        <f>'FACTOR4-P'!$G$3</f>
        <v>0.48648648648648651</v>
      </c>
    </row>
    <row r="4" spans="1:2" ht="45">
      <c r="A4" s="6" t="str">
        <f>'FACTOR4-P'!$A$10:$J$10</f>
        <v>Considero que mi formación en la maestría ha influido positivamente en mi desarrollo profesional, así como en la mejora de oportunidades en mi campo laboral.</v>
      </c>
      <c r="B4" s="5">
        <f>'FACTOR4-P'!$G$12</f>
        <v>0.51351351351351349</v>
      </c>
    </row>
    <row r="7" spans="1:2">
      <c r="A7" s="6" t="s">
        <v>25</v>
      </c>
      <c r="B7" s="7" t="s">
        <v>24</v>
      </c>
    </row>
    <row r="8" spans="1:2" ht="45">
      <c r="A8" s="6" t="str">
        <f>'FACTOR5-P'!$A$1:$J$1</f>
        <v>Considero que las estrategias de flexibilidad curricular me permitieron personalizar mi formación de acuerdo con mis objetivos profesionales y académicos.</v>
      </c>
      <c r="B8" s="5">
        <f>'FACTOR5-P'!$G$3</f>
        <v>1</v>
      </c>
    </row>
    <row r="11" spans="1:2">
      <c r="A11" s="6" t="s">
        <v>26</v>
      </c>
      <c r="B11" s="7" t="s">
        <v>24</v>
      </c>
    </row>
    <row r="12" spans="1:2" ht="60">
      <c r="A12" s="6" t="str">
        <f>'FACTOR7-P'!A1:J1</f>
        <v>Considero que la interacción con homólogos nacionales e internacionales me permitió mejorar mis competencias académicas y científicas, así como las oportunidades de desarrollo profesional.</v>
      </c>
      <c r="B12" s="5">
        <f>'FACTOR7-P'!G3</f>
        <v>1</v>
      </c>
    </row>
    <row r="15" spans="1:2">
      <c r="A15" s="6" t="s">
        <v>27</v>
      </c>
      <c r="B15" s="7" t="s">
        <v>24</v>
      </c>
    </row>
    <row r="16" spans="1:2" ht="60">
      <c r="A16" s="6" t="str">
        <f>'[1]FACTOR6-P'!A1:J1</f>
        <v>Considero que las intervenciones y el apoyo proporcionados para alertarme de forma temprana, han sido útiles para mejorar mi rendimiento académico y facilitar mi progreso hacia la graduación.</v>
      </c>
      <c r="B16" s="5">
        <f>'[1]FACTOR6-P'!G3</f>
        <v>1</v>
      </c>
    </row>
    <row r="18" spans="1:2">
      <c r="A18" s="6" t="s">
        <v>26</v>
      </c>
      <c r="B18" s="7" t="s">
        <v>24</v>
      </c>
    </row>
    <row r="19" spans="1:2" ht="45">
      <c r="A19" s="6" t="str">
        <f>'[1]FACTOR7-P '!A1:J1</f>
        <v>Considero que la interacción con homólogos nacionales e internacionales ha mejorado mis competencias académicas y científicas, así como las oportunidades de desarrollo profesional.</v>
      </c>
      <c r="B19" s="5">
        <f>'[1]FACTOR7-P '!G3</f>
        <v>1</v>
      </c>
    </row>
    <row r="22" spans="1:2">
      <c r="A22" s="6" t="s">
        <v>28</v>
      </c>
      <c r="B22" s="7" t="s">
        <v>24</v>
      </c>
    </row>
    <row r="23" spans="1:2" ht="60">
      <c r="A23" s="6" t="str">
        <f>'[1]FACTOR8-P'!A1:J1</f>
        <v>Considero que la Maestría en Ciencias de la Información y las Comunicaciones me proporciona una formación adecuada para la investigación, fomentando el desarrollo de un pensamiento crítico, creativo e innovador</v>
      </c>
      <c r="B23" s="5">
        <f>'[1]FACTOR8-P'!G3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CAIMAN URQUIJO CAMILO ANDRES</dc:creator>
  <cp:keywords/>
  <dc:description/>
  <cp:lastModifiedBy>CAIMAN URQUIJO CAMILO ANDRES</cp:lastModifiedBy>
  <cp:revision/>
  <dcterms:created xsi:type="dcterms:W3CDTF">2025-05-12T14:32:32Z</dcterms:created>
  <dcterms:modified xsi:type="dcterms:W3CDTF">2025-05-12T15:19:21Z</dcterms:modified>
  <cp:category/>
  <cp:contentStatus/>
</cp:coreProperties>
</file>