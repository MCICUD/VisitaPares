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ilo U\15avo Semestre\Monitorias\Encuesta Factores\"/>
    </mc:Choice>
  </mc:AlternateContent>
  <xr:revisionPtr revIDLastSave="27" documentId="13_ncr:1_{B3762555-045B-45C1-8ADC-F20B1E990A04}" xr6:coauthVersionLast="47" xr6:coauthVersionMax="47" xr10:uidLastSave="{3617A78C-30D9-4B32-96A5-97185A7114F6}"/>
  <bookViews>
    <workbookView xWindow="-120" yWindow="-120" windowWidth="20730" windowHeight="11160" firstSheet="7" activeTab="9" xr2:uid="{0DD18C07-884B-4033-A8EF-43262BAB68EE}"/>
  </bookViews>
  <sheets>
    <sheet name="FACTOR2-P" sheetId="1" r:id="rId1"/>
    <sheet name="FACTOR3-P" sheetId="2" r:id="rId2"/>
    <sheet name="FACTOR5-P" sheetId="3" r:id="rId3"/>
    <sheet name="FACTOR6-P" sheetId="4" r:id="rId4"/>
    <sheet name="FACTOR7-P " sheetId="5" r:id="rId5"/>
    <sheet name="FACTOR8-P" sheetId="6" r:id="rId6"/>
    <sheet name="FACTOR9-P" sheetId="7" r:id="rId7"/>
    <sheet name="FACTOR10-P" sheetId="8" r:id="rId8"/>
    <sheet name="FACTOR11-P" sheetId="9" r:id="rId9"/>
    <sheet name="FACTOR12-P" sheetId="10" r:id="rId10"/>
    <sheet name="Graficos-P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1" l="1"/>
  <c r="A4" i="11"/>
  <c r="A5" i="11"/>
  <c r="A9" i="11"/>
  <c r="A10" i="11"/>
  <c r="A14" i="11"/>
  <c r="A15" i="11"/>
  <c r="A16" i="11"/>
  <c r="A17" i="11"/>
  <c r="A21" i="11"/>
  <c r="A24" i="11"/>
  <c r="A28" i="11"/>
  <c r="A32" i="11"/>
  <c r="A35" i="11"/>
  <c r="A36" i="11"/>
  <c r="A39" i="11"/>
  <c r="A40" i="11"/>
  <c r="A41" i="11"/>
  <c r="A44" i="11"/>
  <c r="E3" i="10"/>
  <c r="E4" i="10"/>
  <c r="E5" i="10"/>
  <c r="E6" i="10"/>
  <c r="E7" i="10"/>
  <c r="E3" i="9"/>
  <c r="E4" i="9"/>
  <c r="E5" i="9"/>
  <c r="E6" i="9"/>
  <c r="E7" i="9"/>
  <c r="E11" i="9"/>
  <c r="E12" i="9"/>
  <c r="E13" i="9"/>
  <c r="E14" i="9"/>
  <c r="E15" i="9"/>
  <c r="E19" i="9"/>
  <c r="E20" i="9"/>
  <c r="E21" i="9"/>
  <c r="E22" i="9"/>
  <c r="E23" i="9"/>
  <c r="E3" i="8"/>
  <c r="E4" i="8"/>
  <c r="E5" i="8"/>
  <c r="E6" i="8"/>
  <c r="E7" i="8"/>
  <c r="E11" i="8"/>
  <c r="E12" i="8"/>
  <c r="E13" i="8"/>
  <c r="E14" i="8"/>
  <c r="E15" i="8"/>
  <c r="E3" i="7"/>
  <c r="E4" i="7"/>
  <c r="E5" i="7"/>
  <c r="E6" i="7"/>
  <c r="E7" i="7"/>
  <c r="H3" i="7" s="1"/>
  <c r="E3" i="6"/>
  <c r="E4" i="6"/>
  <c r="E5" i="6"/>
  <c r="E6" i="6"/>
  <c r="E7" i="6"/>
  <c r="E3" i="5"/>
  <c r="E4" i="5"/>
  <c r="E5" i="5"/>
  <c r="E6" i="5"/>
  <c r="E7" i="5"/>
  <c r="E3" i="4"/>
  <c r="E4" i="4"/>
  <c r="E5" i="4"/>
  <c r="E6" i="4"/>
  <c r="E7" i="4"/>
  <c r="E3" i="3"/>
  <c r="E4" i="3"/>
  <c r="E5" i="3"/>
  <c r="E6" i="3"/>
  <c r="E7" i="3"/>
  <c r="E11" i="3"/>
  <c r="E12" i="3"/>
  <c r="E13" i="3"/>
  <c r="E14" i="3"/>
  <c r="E15" i="3"/>
  <c r="E19" i="3"/>
  <c r="E20" i="3"/>
  <c r="E21" i="3"/>
  <c r="E22" i="3"/>
  <c r="E23" i="3"/>
  <c r="E27" i="3"/>
  <c r="E28" i="3"/>
  <c r="E29" i="3"/>
  <c r="E30" i="3"/>
  <c r="E31" i="3"/>
  <c r="E35" i="3"/>
  <c r="E36" i="3"/>
  <c r="E37" i="3"/>
  <c r="E38" i="3"/>
  <c r="E39" i="3"/>
  <c r="E3" i="2"/>
  <c r="E4" i="2"/>
  <c r="E5" i="2"/>
  <c r="E6" i="2"/>
  <c r="E7" i="2"/>
  <c r="E11" i="2"/>
  <c r="E12" i="2"/>
  <c r="E13" i="2"/>
  <c r="E14" i="2"/>
  <c r="E15" i="2"/>
  <c r="E3" i="1"/>
  <c r="E4" i="1"/>
  <c r="E5" i="1"/>
  <c r="E6" i="1"/>
  <c r="E7" i="1"/>
  <c r="E11" i="1"/>
  <c r="E12" i="1"/>
  <c r="E13" i="1"/>
  <c r="E14" i="1"/>
  <c r="E15" i="1"/>
  <c r="E19" i="1"/>
  <c r="E20" i="1"/>
  <c r="E21" i="1"/>
  <c r="E22" i="1"/>
  <c r="E23" i="1"/>
  <c r="F19" i="1" l="1"/>
  <c r="H19" i="1"/>
  <c r="F11" i="1"/>
  <c r="H11" i="1"/>
  <c r="H3" i="1"/>
  <c r="H25" i="1" s="1"/>
  <c r="F3" i="1"/>
  <c r="F25" i="1" s="1"/>
  <c r="H11" i="2"/>
  <c r="F11" i="2"/>
  <c r="H3" i="2"/>
  <c r="F3" i="2"/>
  <c r="F35" i="3"/>
  <c r="H27" i="3"/>
  <c r="F27" i="3"/>
  <c r="F19" i="3"/>
  <c r="F11" i="3"/>
  <c r="F3" i="3"/>
  <c r="F3" i="4"/>
  <c r="F9" i="4" s="1"/>
  <c r="H3" i="4"/>
  <c r="F3" i="5"/>
  <c r="F3" i="6"/>
  <c r="F3" i="7"/>
  <c r="F11" i="8"/>
  <c r="F3" i="8"/>
  <c r="H19" i="9"/>
  <c r="F19" i="9"/>
  <c r="H11" i="9"/>
  <c r="F11" i="9"/>
  <c r="F3" i="9"/>
  <c r="F3" i="10"/>
  <c r="F9" i="10"/>
  <c r="G3" i="10" s="1"/>
  <c r="B44" i="11" s="1"/>
  <c r="H3" i="10"/>
  <c r="F25" i="9"/>
  <c r="H3" i="9"/>
  <c r="F25" i="8"/>
  <c r="G3" i="8" s="1"/>
  <c r="B35" i="11" s="1"/>
  <c r="H11" i="8"/>
  <c r="H3" i="8"/>
  <c r="F9" i="7"/>
  <c r="G3" i="7"/>
  <c r="F9" i="6"/>
  <c r="G3" i="6" s="1"/>
  <c r="H3" i="6"/>
  <c r="F9" i="5"/>
  <c r="G3" i="5"/>
  <c r="B24" i="11" s="1"/>
  <c r="H3" i="5"/>
  <c r="G3" i="4"/>
  <c r="B21" i="11" s="1"/>
  <c r="F41" i="3"/>
  <c r="G11" i="3" s="1"/>
  <c r="H35" i="3"/>
  <c r="H19" i="3"/>
  <c r="H11" i="3"/>
  <c r="H3" i="3"/>
  <c r="H25" i="2"/>
  <c r="I25" i="2"/>
  <c r="F25" i="2"/>
  <c r="G3" i="2" s="1"/>
  <c r="B9" i="11" s="1"/>
  <c r="G11" i="1"/>
  <c r="B4" i="11" s="1"/>
  <c r="G19" i="1"/>
  <c r="B5" i="11" s="1"/>
  <c r="G3" i="1"/>
  <c r="B3" i="11" s="1"/>
  <c r="B28" i="11" l="1"/>
  <c r="B32" i="11"/>
  <c r="G19" i="9"/>
  <c r="B41" i="11" s="1"/>
  <c r="G11" i="9"/>
  <c r="B40" i="11" s="1"/>
  <c r="G3" i="9"/>
  <c r="B39" i="11" s="1"/>
  <c r="H25" i="9"/>
  <c r="I25" i="9"/>
  <c r="G11" i="8"/>
  <c r="H25" i="8"/>
  <c r="I25" i="8"/>
  <c r="G35" i="3"/>
  <c r="B17" i="11" s="1"/>
  <c r="G27" i="3"/>
  <c r="B16" i="11" s="1"/>
  <c r="G3" i="3"/>
  <c r="B14" i="11" s="1"/>
  <c r="G19" i="3"/>
  <c r="B15" i="11" s="1"/>
  <c r="H41" i="3"/>
  <c r="G11" i="2"/>
  <c r="B10" i="11" s="1"/>
  <c r="G25" i="1"/>
  <c r="B36" i="11" l="1"/>
  <c r="G25" i="8"/>
  <c r="G25" i="9"/>
  <c r="G41" i="3"/>
  <c r="G25" i="2"/>
</calcChain>
</file>

<file path=xl/sharedStrings.xml><?xml version="1.0" encoding="utf-8"?>
<sst xmlns="http://schemas.openxmlformats.org/spreadsheetml/2006/main" count="240" uniqueCount="41">
  <si>
    <t>Considero que mi participación en actividades de investigación, desarrollo tecnológico, creación artística, culturales, deportivas y de extensión ha contribuido a mi desarrollo integral como persona</t>
  </si>
  <si>
    <t>Opción</t>
  </si>
  <si>
    <t xml:space="preserve">Valor del factor </t>
  </si>
  <si>
    <t>Recuento</t>
  </si>
  <si>
    <t>Puntuación</t>
  </si>
  <si>
    <t>Tendencia</t>
  </si>
  <si>
    <t>Totalmente de acuerdo</t>
  </si>
  <si>
    <t>De acuerdo</t>
  </si>
  <si>
    <t>Ni en acuerdo ni en desacuerdo</t>
  </si>
  <si>
    <t>En desacuerdo</t>
  </si>
  <si>
    <t>Totalmente en desacuerdo</t>
  </si>
  <si>
    <t>Considero que el reglamento estudiantil y las políticas académicas del programa son pertinentes y están actualizadas.</t>
  </si>
  <si>
    <t>Considero que los criterios para la concesión de estímulos académicos y apoyos socioeconómicos, son claros y justos.</t>
  </si>
  <si>
    <t>Considero que el material académico producido por los docentes es pertinente y adecuado con las necesidades y objetivos de la Maestría en Ciencias de la Información y las Comunicaciones.</t>
  </si>
  <si>
    <t>Considero que los criterios y mecanismos utilizados para la evaluación de los profesores son transparentes, accesibles y eficaces</t>
  </si>
  <si>
    <t>Considero que las estrategias de flexibilidad curricular me han permitido personalizar mi formación de acuerdo con mis objetivos profesionales y académicos.</t>
  </si>
  <si>
    <t>¿Cómo valorarías la efectividad de los énfasis en "Teleinformática" “Ingeniería de Software”, “Geomática” y "Inteligencia Artificial" en la formación integral de los estudiantes?</t>
  </si>
  <si>
    <t>Considero que las estrategias pedagógicas y escenarios de práctica utilizadas en la Maestría en Ciencias de la Información y las Comunicaciones son coherentes y efectivas para facilitar los resultados</t>
  </si>
  <si>
    <t>Considero que los sistemas de evaluación de los resultados de aprendizaje permiten una realimentación efectiva que contribuye a la mejora continua de la formación en los estudiantes.</t>
  </si>
  <si>
    <t>Considero que el proceso de evaluación y autorregulación de la Maestría en Ciencias de la Información y las Comunicaciones tiene en cuenta de manera efectiva las necesidades y expectativas de los estudiantes</t>
  </si>
  <si>
    <t>Considero que las intervenciones y el apoyo proporcionados para alertarme de forma temprana, han sido útiles para mejorar mi rendimiento académico y facilitar mi progreso hacia la graduación.</t>
  </si>
  <si>
    <t>Considero que la interacción con homólogos nacionales e internacionales ha mejorado mis competencias académicas y científicas, así como las oportunidades de desarrollo profesional.</t>
  </si>
  <si>
    <t>Considero que la Maestría en Ciencias de la Información y las Comunicaciones me proporciona una formación adecuada para la investigación, fomentando el desarrollo de un pensamiento crítico, creativo e innovador</t>
  </si>
  <si>
    <t>Considero que las políticas, programas y servicios de bienestar implementados en Maestría en Ciencias de la Información y las Comunicaciones son coherentes con las condiciones y necesidades específica</t>
  </si>
  <si>
    <t>Considero que los espacios, recurso, herramientas y equipos de apoyo ofrecidos son pertinentes y se ajustan adecuadamente a mis necesidades formativas en los diferentes contextos que requiero.</t>
  </si>
  <si>
    <t>Considero que el material bibliográfico y de información disponible en la Maestría en Ciencias de la Información y las Comunicaciones es pertinente y adecuado para apoyar el desarrollo de las distinta</t>
  </si>
  <si>
    <t>Considero que el representante estudiantil en los diferentes escenarios institucionales ha sido valorada y ha influido en las decisiones orientadas al mejoramiento de la Maestría en Ciencias de la Información</t>
  </si>
  <si>
    <t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t>
  </si>
  <si>
    <t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t>
  </si>
  <si>
    <t>Considero que los recursos informáticos disponibles, corresponden  adecuadamente con las 
necesidades tecnológicas de la Maestria de ciencias de la información y las comunicaciones y de sus miembros (profesores y 
estudiantes)</t>
  </si>
  <si>
    <t>FACTOR 2</t>
  </si>
  <si>
    <t>PONDERACIÓN</t>
  </si>
  <si>
    <t>FACTOR 3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</si>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</sst>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mi participación </a:t>
            </a:r>
          </a:p>
          <a:p>
            <a:pPr>
              <a:defRPr/>
            </a:pPr>
            <a:endParaRPr lang="es-CO"/>
          </a:p>
        </c:rich>
      </c:tx>
      <c:layout>
        <c:manualLayout>
          <c:xMode val="edge"/>
          <c:yMode val="edge"/>
          <c:x val="0.23569444444444446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18-40E1-B41A-01D71913D7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18-40E1-B41A-01D71913D7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18-40E1-B41A-01D71913D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'FACTOR2-P'!$C$3:$C$5</c:f>
              <c:numCache>
                <c:formatCode>General</c:formatCode>
                <c:ptCount val="3"/>
                <c:pt idx="0">
                  <c:v>12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18-40E1-B41A-01D71913D7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reglamento estudiantil y las política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2E-4AB0-81AB-038B697DF7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2E-4AB0-81AB-038B697DF7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2E-4AB0-81AB-038B697DF7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2E-4AB0-81AB-038B697DF7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2E-4AB0-81AB-038B697DF742}"/>
              </c:ext>
            </c:extLst>
          </c:dPt>
          <c:dLbls>
            <c:dLbl>
              <c:idx val="3"/>
              <c:layout>
                <c:manualLayout>
                  <c:x val="5.4669072615922909E-2"/>
                  <c:y val="0.13088874307378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72E-4AB0-81AB-038B697DF742}"/>
                </c:ext>
              </c:extLst>
            </c:dLbl>
            <c:dLbl>
              <c:idx val="4"/>
              <c:layout>
                <c:manualLayout>
                  <c:x val="-1.9170822397200402E-2"/>
                  <c:y val="7.710885097696117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72E-4AB0-81AB-038B697DF7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'FACTOR2-P'!$C$11:$C$15</c:f>
              <c:numCache>
                <c:formatCode>General</c:formatCode>
                <c:ptCount val="5"/>
                <c:pt idx="0">
                  <c:v>5</c:v>
                </c:pt>
                <c:pt idx="1">
                  <c:v>16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2E-4AB0-81AB-038B697DF7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criterios para la concesión de estímulos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9F-47DF-89F5-E2F03E2EF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9F-47DF-89F5-E2F03E2EF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9F-47DF-89F5-E2F03E2EF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9F-47DF-89F5-E2F03E2EF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9F-47DF-89F5-E2F03E2EF289}"/>
              </c:ext>
            </c:extLst>
          </c:dPt>
          <c:dLbls>
            <c:dLbl>
              <c:idx val="0"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9F-47DF-89F5-E2F03E2EF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'FACTOR2-P'!$A$19:$A$23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'FACTOR2-P'!$C$19:$C$23</c:f>
              <c:numCache>
                <c:formatCode>General</c:formatCode>
                <c:ptCount val="5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9F-47DF-89F5-E2F03E2EF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3- Característica 13. Producción, Pertinencia, Utilización e Impacto de Material Docente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7B-4337-BEBA-79B61D910C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7B-4337-BEBA-79B61D910C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7B-4337-BEBA-79B61D910C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'FACTOR3-P'!$C$3:$C$5</c:f>
              <c:numCache>
                <c:formatCode>General</c:formatCode>
                <c:ptCount val="3"/>
                <c:pt idx="0">
                  <c:v>9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7B-4337-BEBA-79B61D910C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3 - Característica 15. Evaluación de Profesores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9B-48AB-BF8F-52863A74BF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9B-48AB-BF8F-52863A74BF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9B-48AB-BF8F-52863A74B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'FACTOR3-P'!$A$11:$A$13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'FACTOR3-P'!$C$11:$C$13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9B-48AB-BF8F-52863A74BF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19. Flexibilidad de los aspectos curriculares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35-4712-B8AA-5B1AAC7C4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35-4712-B8AA-5B1AAC7C4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35-4712-B8AA-5B1AAC7C4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35-4712-B8AA-5B1AAC7C46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35-4712-B8AA-5B1AAC7C4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'FACTOR5-P'!$C$3:$C$7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35-4712-B8AA-5B1AAC7C4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21. Estrategias pedagógicas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1A-4D39-AB54-8F7DA32DCF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1A-4D39-AB54-8F7DA32DCF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1A-4D39-AB54-8F7DA32DCF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1A-4D39-AB54-8F7DA32DCF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1A-4D39-AB54-8F7DA32DCF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'FACTOR5-P'!$C$19:$C$23</c:f>
              <c:numCache>
                <c:formatCode>General</c:formatCode>
                <c:ptCount val="5"/>
                <c:pt idx="0">
                  <c:v>5</c:v>
                </c:pt>
                <c:pt idx="1">
                  <c:v>17</c:v>
                </c:pt>
                <c:pt idx="2">
                  <c:v>4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81A-4D39-AB54-8F7DA32DCF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5 - Caracteristica 25. Evaluación y Autorregulación del Programa Académico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A3-43EE-AF06-58410F914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A3-43EE-AF06-58410F914F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A3-43EE-AF06-58410F914F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A3-43EE-AF06-58410F914F5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A3-43EE-AF06-58410F914F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'FACTOR5-P'!$A$35:$A$39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'FACTOR5-P'!$B$35:$B$39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A3-43EE-AF06-58410F91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6 - Característica 28. Caracterización de Estudiantes y Sistema de Alertas Tempranas 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C2-4B55-896A-9BACB2C668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C2-4B55-896A-9BACB2C668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C2-4B55-896A-9BACB2C668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'FACTOR6-P'!$A$3:$A$5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'FACTOR6-P'!$C$3:$C$5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C2-4B55-896A-9BACB2C668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7 - Característica 31. Inserción del Programa en Contextos Académicos Nacionales e Internacionales 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A6-4953-9A04-B32A5CDE27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A6-4953-9A04-B32A5CDE27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A6-4953-9A04-B32A5CDE27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'FACTOR7-P 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'FACTOR7-P '!$C$3:$C$5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A6-4953-9A04-B32A5CDE27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8 - Característica 34. Formación para la Investigación, Desarrollo Tecnológico, la Innovación y la Creación.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8-43DC-A07B-D4A3F3D64F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8-43DC-A07B-D4A3F3D64F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8-43DC-A07B-D4A3F3D64F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F8-43DC-A07B-D4A3F3D64F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'FACTOR8-P'!$A$3:$A$6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'FACTOR8-P'!$C$3:$C$6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F8-43DC-A07B-D4A3F3D64F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9 - Característica 36. Programas y Servicios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EE-4851-A659-50343AD8F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EE-4851-A659-50343AD8F9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EE-4851-A659-50343AD8F9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EE-4851-A659-50343AD8F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'FACTOR9-P'!$A$3:$A$6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'FACTOR9-P'!$C$3:$C$6</c:f>
              <c:numCache>
                <c:formatCode>General</c:formatCode>
                <c:ptCount val="4"/>
                <c:pt idx="0">
                  <c:v>4</c:v>
                </c:pt>
                <c:pt idx="1">
                  <c:v>14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EE-4851-A659-50343AD8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Característica 39. Estrategias y Recursos de Apoyo a Estudiantes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49-4878-A4AC-72ECA40E9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49-4878-A4AC-72ECA40E9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49-4878-A4AC-72ECA40E96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49-4878-A4AC-72ECA40E96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'FACTOR10-P'!$A$3:$A$6</c:f>
              <c:strCache>
                <c:ptCount val="4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</c:strCache>
            </c:strRef>
          </c:cat>
          <c:val>
            <c:numRef>
              <c:f>'FACTOR10-P'!$C$3:$C$6</c:f>
              <c:numCache>
                <c:formatCode>General</c:formatCode>
                <c:ptCount val="4"/>
                <c:pt idx="0">
                  <c:v>6</c:v>
                </c:pt>
                <c:pt idx="1">
                  <c:v>15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49-4878-A4AC-72ECA40E96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10 - Característica 40. Recursos Bibliográficos y de Información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A5-4CDD-A79A-308D0AECA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A5-4CDD-A79A-308D0AECA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1A5-4CDD-A79A-308D0AECA6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'FACTOR10-P'!$A$11:$A$13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'FACTOR10-P'!$C$11:$C$13</c:f>
              <c:numCache>
                <c:formatCode>General</c:formatCode>
                <c:ptCount val="3"/>
                <c:pt idx="0">
                  <c:v>9</c:v>
                </c:pt>
                <c:pt idx="1">
                  <c:v>14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A5-4CDD-A79A-308D0AECA6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el representante estudiantil en los diferentes escenarios institucionales</a:t>
            </a:r>
          </a:p>
        </c:rich>
      </c:tx>
      <c:layout>
        <c:manualLayout>
          <c:xMode val="edge"/>
          <c:yMode val="edge"/>
          <c:x val="0.117388888888888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E3-4703-8F0D-2D001EB94A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E3-4703-8F0D-2D001EB94A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E3-4703-8F0D-2D001EB94A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E3-4703-8F0D-2D001EB94A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E3-4703-8F0D-2D001EB94A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'FACTOR11-P'!$A$3:$A$7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'FACTOR11-P'!$C$3:$C$7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E3-4703-8F0D-2D001EB94A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Creo que los procesos administrativos están orientados adecuadamente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9D-4ED5-AB02-B319EE8D66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9D-4ED5-AB02-B319EE8D66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9D-4ED5-AB02-B319EE8D66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9D-4ED5-AB02-B319EE8D66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9D-4ED5-AB02-B319EE8D66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'FACTOR11-P'!$A$11:$A$15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'FACTOR11-P'!$C$11:$C$15</c:f>
              <c:numCache>
                <c:formatCode>General</c:formatCode>
                <c:ptCount val="5"/>
                <c:pt idx="0">
                  <c:v>3</c:v>
                </c:pt>
                <c:pt idx="1">
                  <c:v>17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9D-4ED5-AB02-B319EE8D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Considero que los recursos humanos (profesores, personal administrativo, etc.)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82-4AF4-A114-9B1A121BB1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82-4AF4-A114-9B1A121BB1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82-4AF4-A114-9B1A121BB1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82-4AF4-A114-9B1A121BB1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82-4AF4-A114-9B1A121BB1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'FACTOR11-P'!$A$19:$A$23</c:f>
              <c:strCache>
                <c:ptCount val="5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  <c:pt idx="3">
                  <c:v>En desacuerdo</c:v>
                </c:pt>
                <c:pt idx="4">
                  <c:v>Totalmente en desacuerdo</c:v>
                </c:pt>
              </c:strCache>
            </c:strRef>
          </c:cat>
          <c:val>
            <c:numRef>
              <c:f>'FACTOR11-P'!$C$19:$C$23</c:f>
              <c:numCache>
                <c:formatCode>General</c:formatCode>
                <c:ptCount val="5"/>
                <c:pt idx="0">
                  <c:v>6</c:v>
                </c:pt>
                <c:pt idx="1">
                  <c:v>13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82-4AF4-A114-9B1A121BB19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12 - Característica 48. Recursos Informáticos y de Comunicación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23-4E85-8FF3-D3550E25E2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23-4E85-8FF3-D3550E25E2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23-4E85-8FF3-D3550E25E2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'FACTOR12-P'!$A$3:$A$5</c:f>
              <c:strCache>
                <c:ptCount val="3"/>
                <c:pt idx="0">
                  <c:v>Totalmente de acuerdo</c:v>
                </c:pt>
                <c:pt idx="1">
                  <c:v>De acuerdo</c:v>
                </c:pt>
                <c:pt idx="2">
                  <c:v>Ni en acuerdo ni en desacuerdo</c:v>
                </c:pt>
              </c:strCache>
            </c:strRef>
          </c:cat>
          <c:val>
            <c:numRef>
              <c:f>'FACTOR12-P'!$C$3:$C$5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23-4E85-8FF3-D3550E25E2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'Graficos-P'!$A$3:$A$5</c:f>
              <c:strCache>
                <c:ptCount val="3"/>
                <c:pt idx="0">
                  <c:v>Considero que mi participación en actividades de investigación, desarrollo tecnológico, creación artística, culturales, deportivas y de extensión ha contribuido a mi desarrollo integral como persona</c:v>
                </c:pt>
                <c:pt idx="1">
                  <c:v>Considero que el reglamento estudiantil y las políticas académicas del programa son pertinentes y están actualizadas.</c:v>
                </c:pt>
                <c:pt idx="2">
                  <c:v>Considero que los criterios para la concesión de estímulos académicos y apoyos socioeconómicos, son claros y justos.</c:v>
                </c:pt>
              </c:strCache>
            </c:strRef>
          </c:cat>
          <c:val>
            <c:numRef>
              <c:f>'Graficos-P'!$B$3:$B$5</c:f>
              <c:numCache>
                <c:formatCode>0.00%</c:formatCode>
                <c:ptCount val="3"/>
                <c:pt idx="0">
                  <c:v>0.36102236421725242</c:v>
                </c:pt>
                <c:pt idx="1">
                  <c:v>0.33226837060702874</c:v>
                </c:pt>
                <c:pt idx="2">
                  <c:v>0.30670926517571884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9-41BA-867E-968974550D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4098512"/>
        <c:axId val="654100672"/>
      </c:barChart>
      <c:catAx>
        <c:axId val="65409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100672"/>
        <c:crosses val="autoZero"/>
        <c:auto val="1"/>
        <c:lblAlgn val="ctr"/>
        <c:lblOffset val="100"/>
        <c:noMultiLvlLbl val="0"/>
      </c:catAx>
      <c:valAx>
        <c:axId val="65410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0985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1D-4E41-9C7C-FE26AE32B2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1D-4E41-9C7C-FE26AE32B2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'Graficos-P'!$A$9:$A$10</c:f>
              <c:strCache>
                <c:ptCount val="2"/>
                <c:pt idx="0">
                  <c:v>Considero que el material académico producido por los docentes es pertinente y adecuado con las necesidades y objetivos de la Maestría en Ciencias de la Información y las Comunicaciones.</c:v>
                </c:pt>
                <c:pt idx="1">
                  <c:v>Considero que los criterios y mecanismos utilizados para la evaluación de los profesores son transparentes, accesibles y eficaces</c:v>
                </c:pt>
              </c:strCache>
            </c:strRef>
          </c:cat>
          <c:val>
            <c:numRef>
              <c:f>'Graficos-P'!$B$9:$B$10</c:f>
              <c:numCache>
                <c:formatCode>0.00%</c:formatCode>
                <c:ptCount val="2"/>
                <c:pt idx="0">
                  <c:v>0.49568965517241381</c:v>
                </c:pt>
                <c:pt idx="1">
                  <c:v>0.50431034482758619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1D-4E41-9C7C-FE26AE32B2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'Graficos-P'!$A$35:$A$36</c:f>
              <c:strCache>
                <c:ptCount val="2"/>
                <c:pt idx="0">
                  <c:v>Considero que los espacios, recurso, herramientas y equipos de apoyo ofrecidos son pertinentes y se ajustan adecuadamente a mis necesidades formativas en los diferentes contextos que requiero.</c:v>
                </c:pt>
                <c:pt idx="1">
                  <c:v>Considero que el material bibliográfico y de información disponible en la Maestría en Ciencias de la Información y las Comunicaciones es pertinente y adecuado para apoyar el desarrollo de las distinta</c:v>
                </c:pt>
              </c:strCache>
            </c:strRef>
          </c:cat>
          <c:val>
            <c:numRef>
              <c:f>'Graficos-P'!$B$35:$B$36</c:f>
              <c:numCache>
                <c:formatCode>0.00%</c:formatCode>
                <c:ptCount val="2"/>
                <c:pt idx="0">
                  <c:v>0.48401826484018262</c:v>
                </c:pt>
                <c:pt idx="1">
                  <c:v>0.51598173515981738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A-4A85-BA14-722EF440D9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1881432"/>
        <c:axId val="651878552"/>
      </c:barChart>
      <c:catAx>
        <c:axId val="651881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78552"/>
        <c:crosses val="autoZero"/>
        <c:auto val="1"/>
        <c:lblAlgn val="ctr"/>
        <c:lblOffset val="100"/>
        <c:noMultiLvlLbl val="0"/>
      </c:catAx>
      <c:valAx>
        <c:axId val="651878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188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'Graficos-P'!$A$14:$A$17</c:f>
              <c:strCache>
                <c:ptCount val="4"/>
                <c:pt idx="0">
                  <c:v>Considero que las estrategias de flexibilidad curricular me han permitido personalizar mi formación de acuerdo con mis objetivos profesionales y académicos.</c:v>
                </c:pt>
                <c:pt idx="1">
                  <c:v>Considero que las estrategias pedagógicas y escenarios de práctica utilizadas en la Maestría en Ciencias de la Información y las Comunicaciones son coherentes y efectivas para facilitar los resultados</c:v>
                </c:pt>
                <c:pt idx="2">
                  <c:v>Considero que los sistemas de evaluación de los resultados de aprendizaje permiten una realimentación efectiva que contribuye a la mejora continua de la formación en los estudiantes.</c:v>
                </c:pt>
                <c:pt idx="3">
                  <c:v>Considero que el proceso de evaluación y autorregulación de la Maestría en Ciencias de la Información y las Comunicaciones tiene en cuenta de manera efectiva las necesidades y expectativas de los estudiantes</c:v>
                </c:pt>
              </c:strCache>
            </c:strRef>
          </c:cat>
          <c:val>
            <c:numRef>
              <c:f>'Graficos-P'!$B$14:$B$17</c:f>
              <c:numCache>
                <c:formatCode>0.00%</c:formatCode>
                <c:ptCount val="4"/>
                <c:pt idx="0">
                  <c:v>0.23261390887290168</c:v>
                </c:pt>
                <c:pt idx="1">
                  <c:v>0.25659472422062352</c:v>
                </c:pt>
                <c:pt idx="2">
                  <c:v>0.26858513189448441</c:v>
                </c:pt>
                <c:pt idx="3">
                  <c:v>0.2422062350119904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3-45C5-B64D-8E07CF5C50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12491928"/>
        <c:axId val="512487608"/>
      </c:barChart>
      <c:catAx>
        <c:axId val="51249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87608"/>
        <c:crosses val="autoZero"/>
        <c:auto val="1"/>
        <c:lblAlgn val="ctr"/>
        <c:lblOffset val="100"/>
        <c:noMultiLvlLbl val="0"/>
      </c:catAx>
      <c:valAx>
        <c:axId val="51248760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2491928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FACTOR</a:t>
            </a:r>
            <a:r>
              <a:rPr lang="es-CO" baseline="0"/>
              <a:t>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'Graficos-P'!$A$39:$A$41</c:f>
              <c:strCache>
                <c:ptCount val="3"/>
                <c:pt idx="0">
                  <c:v>Considero que el representante estudiantil en los diferentes escenarios institucionales ha sido valorada y ha influido en las decisiones orientadas al mejoramiento de la Maestría en Ciencias de la Información</c:v>
                </c:pt>
                <c:pt idx="1">
                  <c: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c:v>
                </c:pt>
                <c:pt idx="2">
                  <c:v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c:v>
                </c:pt>
              </c:strCache>
            </c:strRef>
          </c:cat>
          <c:val>
            <c:numRef>
              <c:f>'Graficos-P'!$B$39:$B$41</c:f>
              <c:numCache>
                <c:formatCode>0.00%</c:formatCode>
                <c:ptCount val="3"/>
                <c:pt idx="0">
                  <c:v>0.28919860627177701</c:v>
                </c:pt>
                <c:pt idx="1">
                  <c:v>0.35540069686411152</c:v>
                </c:pt>
                <c:pt idx="2">
                  <c:v>0.35540069686411152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E-4F4A-BD93-F922AA8CF8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46211752"/>
        <c:axId val="546212472"/>
      </c:barChart>
      <c:catAx>
        <c:axId val="54621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2472"/>
        <c:crosses val="autoZero"/>
        <c:auto val="1"/>
        <c:lblAlgn val="ctr"/>
        <c:lblOffset val="100"/>
        <c:noMultiLvlLbl val="0"/>
      </c:catAx>
      <c:valAx>
        <c:axId val="54621247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21175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0</xdr:row>
      <xdr:rowOff>223837</xdr:rowOff>
    </xdr:from>
    <xdr:to>
      <xdr:col>14</xdr:col>
      <xdr:colOff>142875</xdr:colOff>
      <xdr:row>14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46475E-10E7-40CC-AD66-FC782F918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15</xdr:row>
      <xdr:rowOff>14287</xdr:rowOff>
    </xdr:from>
    <xdr:to>
      <xdr:col>17</xdr:col>
      <xdr:colOff>314325</xdr:colOff>
      <xdr:row>29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308A23-4073-448C-97C5-1EEB5B282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247650</xdr:colOff>
      <xdr:row>26</xdr:row>
      <xdr:rowOff>176212</xdr:rowOff>
    </xdr:from>
    <xdr:to>
      <xdr:col>8</xdr:col>
      <xdr:colOff>600075</xdr:colOff>
      <xdr:row>41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182A7E4-F2C6-4D64-AC78-76195E919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71437</xdr:rowOff>
    </xdr:from>
    <xdr:to>
      <xdr:col>17</xdr:col>
      <xdr:colOff>438150</xdr:colOff>
      <xdr:row>13</xdr:row>
      <xdr:rowOff>157162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EF12575A-FAFA-4909-AC0E-B39B70AAF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295275</xdr:colOff>
      <xdr:row>15</xdr:row>
      <xdr:rowOff>100012</xdr:rowOff>
    </xdr:from>
    <xdr:to>
      <xdr:col>17</xdr:col>
      <xdr:colOff>600075</xdr:colOff>
      <xdr:row>29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D8778F-B799-4397-9022-C890CB2B6D86}"/>
            </a:ext>
            <a:ext uri="{147F2762-F138-4A5C-976F-8EAC2B608ADB}">
              <a16:predDERef xmlns:a16="http://schemas.microsoft.com/office/drawing/2014/main" pred="{EF12575A-FAFA-4909-AC0E-B39B70AAF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0</xdr:row>
      <xdr:rowOff>109537</xdr:rowOff>
    </xdr:from>
    <xdr:to>
      <xdr:col>17</xdr:col>
      <xdr:colOff>523875</xdr:colOff>
      <xdr:row>21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0E77507-0BA1-40E6-9263-7F5D85868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361950</xdr:colOff>
      <xdr:row>21</xdr:row>
      <xdr:rowOff>176212</xdr:rowOff>
    </xdr:from>
    <xdr:to>
      <xdr:col>18</xdr:col>
      <xdr:colOff>57150</xdr:colOff>
      <xdr:row>36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33FA6F-BA8C-4B23-B5E9-E246AF76BA38}"/>
            </a:ext>
            <a:ext uri="{147F2762-F138-4A5C-976F-8EAC2B608ADB}">
              <a16:predDERef xmlns:a16="http://schemas.microsoft.com/office/drawing/2014/main" pred="{30E77507-0BA1-40E6-9263-7F5D85868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37</xdr:row>
      <xdr:rowOff>4762</xdr:rowOff>
    </xdr:from>
    <xdr:to>
      <xdr:col>18</xdr:col>
      <xdr:colOff>76200</xdr:colOff>
      <xdr:row>51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BE6AEC-C0C7-4D1E-A294-45E0273BF92E}"/>
            </a:ext>
            <a:ext uri="{147F2762-F138-4A5C-976F-8EAC2B608ADB}">
              <a16:predDERef xmlns:a16="http://schemas.microsoft.com/office/drawing/2014/main" pred="{EA33FA6F-BA8C-4B23-B5E9-E246AF76B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</xdr:row>
      <xdr:rowOff>119062</xdr:rowOff>
    </xdr:from>
    <xdr:to>
      <xdr:col>16</xdr:col>
      <xdr:colOff>57150</xdr:colOff>
      <xdr:row>16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3FD067-4110-44B1-9CB3-26C0C5C98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1</xdr:row>
      <xdr:rowOff>90487</xdr:rowOff>
    </xdr:from>
    <xdr:to>
      <xdr:col>15</xdr:col>
      <xdr:colOff>566737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56AC09-917B-46FF-A5C6-7A617CCB9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1</xdr:row>
      <xdr:rowOff>33337</xdr:rowOff>
    </xdr:from>
    <xdr:to>
      <xdr:col>16</xdr:col>
      <xdr:colOff>309562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615692-6240-433E-BDD2-3BA4D20AB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223837</xdr:colOff>
      <xdr:row>0</xdr:row>
      <xdr:rowOff>357187</xdr:rowOff>
    </xdr:from>
    <xdr:to>
      <xdr:col>15</xdr:col>
      <xdr:colOff>347662</xdr:colOff>
      <xdr:row>15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EBD033-D1E8-4350-B94E-84FCD8998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404812</xdr:colOff>
      <xdr:row>0</xdr:row>
      <xdr:rowOff>38100</xdr:rowOff>
    </xdr:from>
    <xdr:to>
      <xdr:col>18</xdr:col>
      <xdr:colOff>100012</xdr:colOff>
      <xdr:row>13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4E897E-0FB6-498B-8202-DA738F3A1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395287</xdr:colOff>
      <xdr:row>14</xdr:row>
      <xdr:rowOff>71437</xdr:rowOff>
    </xdr:from>
    <xdr:to>
      <xdr:col>18</xdr:col>
      <xdr:colOff>90487</xdr:colOff>
      <xdr:row>28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360EAD-1BFD-40DB-B836-FD0B78C2EE38}"/>
            </a:ext>
            <a:ext uri="{147F2762-F138-4A5C-976F-8EAC2B608ADB}">
              <a16:predDERef xmlns:a16="http://schemas.microsoft.com/office/drawing/2014/main" pred="{E94E897E-0FB6-498B-8202-DA738F3A1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157162</xdr:colOff>
      <xdr:row>0</xdr:row>
      <xdr:rowOff>61912</xdr:rowOff>
    </xdr:from>
    <xdr:to>
      <xdr:col>17</xdr:col>
      <xdr:colOff>461962</xdr:colOff>
      <xdr:row>13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890ADB-5346-4C96-B69E-745A1700C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204787</xdr:colOff>
      <xdr:row>14</xdr:row>
      <xdr:rowOff>71437</xdr:rowOff>
    </xdr:from>
    <xdr:to>
      <xdr:col>17</xdr:col>
      <xdr:colOff>509587</xdr:colOff>
      <xdr:row>28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7BDFD3-B3BB-4A64-9305-7DB40CBC9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176212</xdr:colOff>
      <xdr:row>29</xdr:row>
      <xdr:rowOff>138112</xdr:rowOff>
    </xdr:from>
    <xdr:to>
      <xdr:col>17</xdr:col>
      <xdr:colOff>481012</xdr:colOff>
      <xdr:row>44</xdr:row>
      <xdr:rowOff>23812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DC80A2-8720-4B17-B1A4-4E79F83E3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</xdr:colOff>
      <xdr:row>9</xdr:row>
      <xdr:rowOff>4762</xdr:rowOff>
    </xdr:from>
    <xdr:to>
      <xdr:col>7</xdr:col>
      <xdr:colOff>471487</xdr:colOff>
      <xdr:row>23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AB5425-83AC-45EC-BBB8-ACB9E03DD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</xdr:row>
      <xdr:rowOff>80962</xdr:rowOff>
    </xdr:from>
    <xdr:to>
      <xdr:col>9</xdr:col>
      <xdr:colOff>200025</xdr:colOff>
      <xdr:row>11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04DE3F-8A94-4D32-8EDD-E40A3E1C5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438150</xdr:colOff>
      <xdr:row>12</xdr:row>
      <xdr:rowOff>61912</xdr:rowOff>
    </xdr:from>
    <xdr:to>
      <xdr:col>8</xdr:col>
      <xdr:colOff>366712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3A5171-7B84-44E0-A807-073B38011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423862</xdr:colOff>
      <xdr:row>43</xdr:row>
      <xdr:rowOff>147637</xdr:rowOff>
    </xdr:from>
    <xdr:to>
      <xdr:col>8</xdr:col>
      <xdr:colOff>423862</xdr:colOff>
      <xdr:row>58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726CCD-7521-40D6-B0D4-CDC362B73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423862</xdr:colOff>
      <xdr:row>28</xdr:row>
      <xdr:rowOff>61912</xdr:rowOff>
    </xdr:from>
    <xdr:to>
      <xdr:col>8</xdr:col>
      <xdr:colOff>485775</xdr:colOff>
      <xdr:row>42</xdr:row>
      <xdr:rowOff>161926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DC00B5-8202-43BE-B013-578087DD5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647700</xdr:colOff>
      <xdr:row>45</xdr:row>
      <xdr:rowOff>42862</xdr:rowOff>
    </xdr:from>
    <xdr:to>
      <xdr:col>1</xdr:col>
      <xdr:colOff>1219200</xdr:colOff>
      <xdr:row>59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690191B-9612-4A8E-A5B3-502C3E8F9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B296-9984-44E0-91DA-1027EA05C298}">
  <dimension ref="A1:J25"/>
  <sheetViews>
    <sheetView topLeftCell="A5" workbookViewId="0">
      <selection activeCell="J25" sqref="J25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</cols>
  <sheetData>
    <row r="1" spans="1:10" ht="29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12</v>
      </c>
      <c r="D3">
        <v>5</v>
      </c>
      <c r="E3">
        <f>C3*D3</f>
        <v>60</v>
      </c>
      <c r="F3" s="9">
        <f>SUM(E3:E7)</f>
        <v>113</v>
      </c>
      <c r="G3" s="3">
        <f>F3/$F$25</f>
        <v>0.36102236421725242</v>
      </c>
      <c r="H3" s="9">
        <f>SUM(E3:E7)/SUM(C3:C7)</f>
        <v>4.1851851851851851</v>
      </c>
    </row>
    <row r="4" spans="1:10">
      <c r="A4" t="s">
        <v>7</v>
      </c>
      <c r="B4">
        <v>4</v>
      </c>
      <c r="C4">
        <v>8</v>
      </c>
      <c r="D4">
        <v>4</v>
      </c>
      <c r="E4">
        <f>C4*D4</f>
        <v>32</v>
      </c>
      <c r="F4" s="9"/>
      <c r="G4" s="3"/>
      <c r="H4" s="9"/>
    </row>
    <row r="5" spans="1:10">
      <c r="A5" t="s">
        <v>8</v>
      </c>
      <c r="B5">
        <v>3</v>
      </c>
      <c r="C5">
        <v>7</v>
      </c>
      <c r="D5">
        <v>3</v>
      </c>
      <c r="E5">
        <f>C5*D5</f>
        <v>21</v>
      </c>
      <c r="F5" s="9"/>
      <c r="G5" s="3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A9" s="11" t="s">
        <v>11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5</v>
      </c>
      <c r="D11">
        <v>5</v>
      </c>
      <c r="E11">
        <f>C11*D11</f>
        <v>25</v>
      </c>
      <c r="F11" s="9">
        <f>SUM(E11:E15)</f>
        <v>104</v>
      </c>
      <c r="G11" s="3">
        <f>F11/$F$25</f>
        <v>0.33226837060702874</v>
      </c>
      <c r="H11" s="9">
        <f>SUM(E11:E15)/SUM(C11:C15)</f>
        <v>3.8518518518518516</v>
      </c>
    </row>
    <row r="12" spans="1:10">
      <c r="A12" t="s">
        <v>7</v>
      </c>
      <c r="B12">
        <v>4</v>
      </c>
      <c r="C12">
        <v>16</v>
      </c>
      <c r="D12">
        <v>4</v>
      </c>
      <c r="E12">
        <f>C12*D12</f>
        <v>64</v>
      </c>
      <c r="F12" s="9"/>
      <c r="G12" s="3"/>
      <c r="H12" s="9"/>
    </row>
    <row r="13" spans="1:10">
      <c r="A13" t="s">
        <v>8</v>
      </c>
      <c r="B13">
        <v>3</v>
      </c>
      <c r="C13">
        <v>4</v>
      </c>
      <c r="D13">
        <v>3</v>
      </c>
      <c r="E13">
        <f>C13*D13</f>
        <v>12</v>
      </c>
      <c r="F13" s="9"/>
      <c r="G13" s="3"/>
      <c r="H13" s="9"/>
    </row>
    <row r="14" spans="1:10">
      <c r="A14" t="s">
        <v>9</v>
      </c>
      <c r="B14">
        <v>2</v>
      </c>
      <c r="C14">
        <v>1</v>
      </c>
      <c r="D14">
        <v>2</v>
      </c>
      <c r="E14">
        <f>C14*D14</f>
        <v>2</v>
      </c>
      <c r="F14" s="9"/>
      <c r="G14" s="3"/>
      <c r="H14" s="9"/>
    </row>
    <row r="15" spans="1:10">
      <c r="A15" t="s">
        <v>10</v>
      </c>
      <c r="B15">
        <v>1</v>
      </c>
      <c r="C15">
        <v>1</v>
      </c>
      <c r="D15">
        <v>1</v>
      </c>
      <c r="E15">
        <f>C15*D15</f>
        <v>1</v>
      </c>
      <c r="F15" s="9"/>
      <c r="G15" s="3"/>
      <c r="H15" s="9"/>
    </row>
    <row r="17" spans="1:10">
      <c r="A17" s="11" t="s">
        <v>12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5</v>
      </c>
      <c r="D19">
        <v>5</v>
      </c>
      <c r="E19">
        <f>C19*D19</f>
        <v>25</v>
      </c>
      <c r="F19" s="9">
        <f>SUM(E19:E23)</f>
        <v>96</v>
      </c>
      <c r="G19" s="3">
        <f>F19/$F$25</f>
        <v>0.30670926517571884</v>
      </c>
      <c r="H19" s="9">
        <f>SUM(E19:E23)/SUM(C19:C23)</f>
        <v>3.5555555555555554</v>
      </c>
    </row>
    <row r="20" spans="1:10">
      <c r="A20" t="s">
        <v>7</v>
      </c>
      <c r="B20">
        <v>4</v>
      </c>
      <c r="C20">
        <v>9</v>
      </c>
      <c r="D20">
        <v>4</v>
      </c>
      <c r="E20">
        <f>C20*D20</f>
        <v>36</v>
      </c>
      <c r="F20" s="9"/>
      <c r="G20" s="3"/>
      <c r="H20" s="9"/>
    </row>
    <row r="21" spans="1:10">
      <c r="A21" t="s">
        <v>8</v>
      </c>
      <c r="B21">
        <v>3</v>
      </c>
      <c r="C21">
        <v>9</v>
      </c>
      <c r="D21">
        <v>3</v>
      </c>
      <c r="E21">
        <f>C21*D21</f>
        <v>27</v>
      </c>
      <c r="F21" s="9"/>
      <c r="G21" s="3"/>
      <c r="H21" s="9"/>
    </row>
    <row r="22" spans="1:10">
      <c r="A22" t="s">
        <v>9</v>
      </c>
      <c r="B22">
        <v>2</v>
      </c>
      <c r="C22">
        <v>4</v>
      </c>
      <c r="D22">
        <v>2</v>
      </c>
      <c r="E22">
        <f>C22*D22</f>
        <v>8</v>
      </c>
      <c r="F22" s="9"/>
      <c r="G22" s="3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>C23*D23</f>
        <v>0</v>
      </c>
      <c r="F23" s="9"/>
      <c r="G23" s="3"/>
      <c r="H23" s="9"/>
    </row>
    <row r="25" spans="1:10">
      <c r="F25">
        <f>F3+F11+F19</f>
        <v>313</v>
      </c>
      <c r="G25" s="1">
        <f>G3+G11+G19</f>
        <v>1</v>
      </c>
      <c r="H25">
        <f>(H3+H11+H19)/3</f>
        <v>3.8641975308641974</v>
      </c>
    </row>
  </sheetData>
  <mergeCells count="9">
    <mergeCell ref="H3:H7"/>
    <mergeCell ref="H11:H15"/>
    <mergeCell ref="H19:H23"/>
    <mergeCell ref="A1:J1"/>
    <mergeCell ref="F3:F7"/>
    <mergeCell ref="A9:J9"/>
    <mergeCell ref="F11:F15"/>
    <mergeCell ref="A17:J17"/>
    <mergeCell ref="F19:F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B36C-5C2B-4821-B3AB-CB66B09BC7C4}">
  <dimension ref="A1:J25"/>
  <sheetViews>
    <sheetView topLeftCell="A10" workbookViewId="0">
      <selection activeCell="A11" sqref="A1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9</v>
      </c>
      <c r="D3">
        <v>5</v>
      </c>
      <c r="E3">
        <f>C3*D3</f>
        <v>45</v>
      </c>
      <c r="F3" s="9">
        <f>SUM(E3:E7)</f>
        <v>115</v>
      </c>
      <c r="G3" s="3">
        <f>F3/$F$25</f>
        <v>0.49568965517241381</v>
      </c>
      <c r="H3" s="9">
        <f>SUM(E3:E7)/SUM(C3:C7)</f>
        <v>4.2592592592592595</v>
      </c>
    </row>
    <row r="4" spans="1:10">
      <c r="A4" t="s">
        <v>7</v>
      </c>
      <c r="B4">
        <v>4</v>
      </c>
      <c r="C4">
        <v>16</v>
      </c>
      <c r="D4">
        <v>4</v>
      </c>
      <c r="E4">
        <f>C4*D4</f>
        <v>64</v>
      </c>
      <c r="F4" s="9"/>
      <c r="G4" s="3"/>
      <c r="H4" s="9"/>
    </row>
    <row r="5" spans="1:10">
      <c r="A5" t="s">
        <v>8</v>
      </c>
      <c r="B5">
        <v>3</v>
      </c>
      <c r="C5">
        <v>2</v>
      </c>
      <c r="D5">
        <v>3</v>
      </c>
      <c r="E5">
        <f>C5*D5</f>
        <v>6</v>
      </c>
      <c r="F5" s="9"/>
      <c r="G5" s="3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A9" s="11" t="s">
        <v>14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11</v>
      </c>
      <c r="D11">
        <v>5</v>
      </c>
      <c r="E11">
        <f>C11*D11</f>
        <v>55</v>
      </c>
      <c r="F11" s="9">
        <f>SUM(E11:E15)</f>
        <v>117</v>
      </c>
      <c r="G11" s="3">
        <f>F11/$F$25</f>
        <v>0.50431034482758619</v>
      </c>
      <c r="H11" s="9">
        <f>SUM(E11:E15)/SUM(C11:C15)</f>
        <v>4.333333333333333</v>
      </c>
    </row>
    <row r="12" spans="1:10">
      <c r="A12" t="s">
        <v>7</v>
      </c>
      <c r="B12">
        <v>4</v>
      </c>
      <c r="C12">
        <v>14</v>
      </c>
      <c r="D12">
        <v>4</v>
      </c>
      <c r="E12">
        <f>C12*D12</f>
        <v>56</v>
      </c>
      <c r="F12" s="9"/>
      <c r="G12" s="3"/>
      <c r="H12" s="9"/>
    </row>
    <row r="13" spans="1:10">
      <c r="A13" t="s">
        <v>8</v>
      </c>
      <c r="B13">
        <v>3</v>
      </c>
      <c r="C13">
        <v>2</v>
      </c>
      <c r="D13">
        <v>3</v>
      </c>
      <c r="E13">
        <f>C13*D13</f>
        <v>6</v>
      </c>
      <c r="F13" s="9"/>
      <c r="G13" s="3"/>
      <c r="H13" s="9"/>
    </row>
    <row r="14" spans="1:10">
      <c r="A14" t="s">
        <v>9</v>
      </c>
      <c r="B14">
        <v>2</v>
      </c>
      <c r="C14">
        <v>0</v>
      </c>
      <c r="D14">
        <v>2</v>
      </c>
      <c r="E14">
        <f>C14*D14</f>
        <v>0</v>
      </c>
      <c r="F14" s="9"/>
      <c r="G14" s="3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>C15*D15</f>
        <v>0</v>
      </c>
      <c r="F15" s="9"/>
      <c r="G15" s="3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232</v>
      </c>
      <c r="G25" s="1">
        <f>G3+G11+G19</f>
        <v>1</v>
      </c>
      <c r="H25">
        <f>(H3+H11+H19)/2</f>
        <v>4.2962962962962958</v>
      </c>
      <c r="I25">
        <f>AVERAGE(H3,H11,H19)</f>
        <v>4.2962962962962958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84C4-8F27-4612-B34E-D7C6355B2301}">
  <dimension ref="A1:J41"/>
  <sheetViews>
    <sheetView topLeftCell="C17" workbookViewId="0">
      <selection activeCell="S52" sqref="S52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15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>C3*D3</f>
        <v>30</v>
      </c>
      <c r="F3" s="9">
        <f>SUM(E3:E7)</f>
        <v>97</v>
      </c>
      <c r="G3" s="3">
        <f>F3/$F$41</f>
        <v>0.23261390887290168</v>
      </c>
      <c r="H3" s="9">
        <f>SUM(E3:E7)/SUM(C3:C7)</f>
        <v>3.5925925925925926</v>
      </c>
    </row>
    <row r="4" spans="1:10">
      <c r="A4" t="s">
        <v>7</v>
      </c>
      <c r="B4">
        <v>4</v>
      </c>
      <c r="C4">
        <v>7</v>
      </c>
      <c r="D4">
        <v>4</v>
      </c>
      <c r="E4">
        <f>C4*D4</f>
        <v>28</v>
      </c>
      <c r="F4" s="9"/>
      <c r="G4" s="3"/>
      <c r="H4" s="9"/>
    </row>
    <row r="5" spans="1:10">
      <c r="A5" t="s">
        <v>8</v>
      </c>
      <c r="B5">
        <v>3</v>
      </c>
      <c r="C5">
        <v>12</v>
      </c>
      <c r="D5">
        <v>3</v>
      </c>
      <c r="E5">
        <f>C5*D5</f>
        <v>36</v>
      </c>
      <c r="F5" s="9"/>
      <c r="G5" s="3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>C6*D6</f>
        <v>2</v>
      </c>
      <c r="F6" s="9"/>
      <c r="G6" s="3"/>
      <c r="H6" s="9"/>
    </row>
    <row r="7" spans="1:10">
      <c r="A7" t="s">
        <v>10</v>
      </c>
      <c r="B7">
        <v>1</v>
      </c>
      <c r="C7">
        <v>1</v>
      </c>
      <c r="D7">
        <v>1</v>
      </c>
      <c r="E7">
        <f>C7*D7</f>
        <v>1</v>
      </c>
      <c r="F7" s="9"/>
      <c r="G7" s="3"/>
      <c r="H7" s="9"/>
    </row>
    <row r="9" spans="1:10" hidden="1">
      <c r="A9" s="11" t="s">
        <v>16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idden="1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 hidden="1">
      <c r="A11" t="s">
        <v>6</v>
      </c>
      <c r="B11">
        <v>5</v>
      </c>
      <c r="C11">
        <v>0</v>
      </c>
      <c r="D11">
        <v>5</v>
      </c>
      <c r="E11">
        <f>C11*D11</f>
        <v>0</v>
      </c>
      <c r="F11" s="9">
        <f>SUM(E11:E15)</f>
        <v>0</v>
      </c>
      <c r="G11" s="12">
        <f>F11/$F$41</f>
        <v>0</v>
      </c>
      <c r="H11" s="9" t="e">
        <f>SUM(E11:E15)/SUM(C11:C15)</f>
        <v>#DIV/0!</v>
      </c>
    </row>
    <row r="12" spans="1:10" hidden="1">
      <c r="A12" t="s">
        <v>7</v>
      </c>
      <c r="B12">
        <v>4</v>
      </c>
      <c r="C12">
        <v>0</v>
      </c>
      <c r="D12">
        <v>4</v>
      </c>
      <c r="E12">
        <f>C12*D12</f>
        <v>0</v>
      </c>
      <c r="F12" s="9"/>
      <c r="G12" s="12"/>
      <c r="H12" s="9"/>
    </row>
    <row r="13" spans="1:10" hidden="1">
      <c r="A13" t="s">
        <v>8</v>
      </c>
      <c r="B13">
        <v>3</v>
      </c>
      <c r="C13">
        <v>0</v>
      </c>
      <c r="D13">
        <v>3</v>
      </c>
      <c r="E13">
        <f>C13*D13</f>
        <v>0</v>
      </c>
      <c r="F13" s="9"/>
      <c r="G13" s="12"/>
      <c r="H13" s="9"/>
    </row>
    <row r="14" spans="1:10" hidden="1">
      <c r="A14" t="s">
        <v>9</v>
      </c>
      <c r="B14">
        <v>2</v>
      </c>
      <c r="C14">
        <v>0</v>
      </c>
      <c r="D14">
        <v>2</v>
      </c>
      <c r="E14">
        <f>C14*D14</f>
        <v>0</v>
      </c>
      <c r="F14" s="9"/>
      <c r="G14" s="12"/>
      <c r="H14" s="9"/>
    </row>
    <row r="15" spans="1:10" hidden="1">
      <c r="A15" t="s">
        <v>10</v>
      </c>
      <c r="B15">
        <v>1</v>
      </c>
      <c r="C15">
        <v>0</v>
      </c>
      <c r="D15">
        <v>1</v>
      </c>
      <c r="E15">
        <f>C15*D15</f>
        <v>0</v>
      </c>
      <c r="F15" s="9"/>
      <c r="G15" s="12"/>
      <c r="H15" s="9"/>
    </row>
    <row r="17" spans="1:10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5</v>
      </c>
      <c r="D19">
        <v>5</v>
      </c>
      <c r="E19">
        <f>C19*D19</f>
        <v>25</v>
      </c>
      <c r="F19" s="9">
        <f>SUM(E19:E23)</f>
        <v>107</v>
      </c>
      <c r="G19" s="3">
        <f>F19/$F$41</f>
        <v>0.25659472422062352</v>
      </c>
      <c r="H19" s="9">
        <f>SUM(E19:E23)/SUM(C19:C23)</f>
        <v>3.9629629629629628</v>
      </c>
    </row>
    <row r="20" spans="1:10">
      <c r="A20" t="s">
        <v>7</v>
      </c>
      <c r="B20">
        <v>4</v>
      </c>
      <c r="C20">
        <v>17</v>
      </c>
      <c r="D20">
        <v>4</v>
      </c>
      <c r="E20">
        <f>C20*D20</f>
        <v>68</v>
      </c>
      <c r="F20" s="9"/>
      <c r="G20" s="3"/>
      <c r="H20" s="9"/>
    </row>
    <row r="21" spans="1:10">
      <c r="A21" t="s">
        <v>8</v>
      </c>
      <c r="B21">
        <v>3</v>
      </c>
      <c r="C21">
        <v>4</v>
      </c>
      <c r="D21">
        <v>3</v>
      </c>
      <c r="E21">
        <f>C21*D21</f>
        <v>12</v>
      </c>
      <c r="F21" s="9"/>
      <c r="G21" s="3"/>
      <c r="H21" s="9"/>
    </row>
    <row r="22" spans="1:10">
      <c r="A22" t="s">
        <v>9</v>
      </c>
      <c r="B22">
        <v>2</v>
      </c>
      <c r="C22">
        <v>1</v>
      </c>
      <c r="D22">
        <v>2</v>
      </c>
      <c r="E22">
        <f>C22*D22</f>
        <v>2</v>
      </c>
      <c r="F22" s="9"/>
      <c r="G22" s="3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>C23*D23</f>
        <v>0</v>
      </c>
      <c r="F23" s="9"/>
      <c r="G23" s="3"/>
      <c r="H23" s="9"/>
    </row>
    <row r="25" spans="1:10">
      <c r="A25" s="11" t="s">
        <v>18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>
      <c r="A26" t="s">
        <v>1</v>
      </c>
      <c r="B26" t="s">
        <v>2</v>
      </c>
      <c r="C26" t="s">
        <v>3</v>
      </c>
      <c r="D26" t="s">
        <v>4</v>
      </c>
      <c r="H26" t="s">
        <v>5</v>
      </c>
    </row>
    <row r="27" spans="1:10">
      <c r="A27" t="s">
        <v>6</v>
      </c>
      <c r="B27">
        <v>5</v>
      </c>
      <c r="C27">
        <v>9</v>
      </c>
      <c r="D27">
        <v>5</v>
      </c>
      <c r="E27">
        <f>C27*D27</f>
        <v>45</v>
      </c>
      <c r="F27" s="9">
        <f>SUM(E27:E31)</f>
        <v>112</v>
      </c>
      <c r="G27" s="3">
        <f>F27/$F$41</f>
        <v>0.26858513189448441</v>
      </c>
      <c r="H27" s="9">
        <f>SUM(E27:E31)/SUM(C27:C31)</f>
        <v>4.1481481481481479</v>
      </c>
    </row>
    <row r="28" spans="1:10">
      <c r="A28" t="s">
        <v>7</v>
      </c>
      <c r="B28">
        <v>4</v>
      </c>
      <c r="C28">
        <v>13</v>
      </c>
      <c r="D28">
        <v>4</v>
      </c>
      <c r="E28">
        <f>C28*D28</f>
        <v>52</v>
      </c>
      <c r="F28" s="9"/>
      <c r="G28" s="3"/>
      <c r="H28" s="9"/>
    </row>
    <row r="29" spans="1:10">
      <c r="A29" t="s">
        <v>8</v>
      </c>
      <c r="B29">
        <v>3</v>
      </c>
      <c r="C29">
        <v>5</v>
      </c>
      <c r="D29">
        <v>3</v>
      </c>
      <c r="E29">
        <f>C29*D29</f>
        <v>15</v>
      </c>
      <c r="F29" s="9"/>
      <c r="G29" s="3"/>
      <c r="H29" s="9"/>
    </row>
    <row r="30" spans="1:10">
      <c r="A30" t="s">
        <v>9</v>
      </c>
      <c r="B30">
        <v>2</v>
      </c>
      <c r="C30">
        <v>0</v>
      </c>
      <c r="D30">
        <v>2</v>
      </c>
      <c r="E30">
        <f>C30*D30</f>
        <v>0</v>
      </c>
      <c r="F30" s="9"/>
      <c r="G30" s="3"/>
      <c r="H30" s="9"/>
    </row>
    <row r="31" spans="1:10">
      <c r="A31" t="s">
        <v>10</v>
      </c>
      <c r="B31">
        <v>1</v>
      </c>
      <c r="C31">
        <v>0</v>
      </c>
      <c r="D31">
        <v>1</v>
      </c>
      <c r="E31">
        <f>C31*D31</f>
        <v>0</v>
      </c>
      <c r="F31" s="9"/>
      <c r="G31" s="3"/>
      <c r="H31" s="9"/>
    </row>
    <row r="33" spans="1:10">
      <c r="A33" s="11" t="s">
        <v>19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>
      <c r="A34" t="s">
        <v>1</v>
      </c>
      <c r="B34" t="s">
        <v>2</v>
      </c>
      <c r="C34" t="s">
        <v>3</v>
      </c>
      <c r="D34" t="s">
        <v>4</v>
      </c>
      <c r="H34" t="s">
        <v>5</v>
      </c>
    </row>
    <row r="35" spans="1:10">
      <c r="A35" t="s">
        <v>6</v>
      </c>
      <c r="B35">
        <v>5</v>
      </c>
      <c r="C35">
        <v>4</v>
      </c>
      <c r="D35">
        <v>5</v>
      </c>
      <c r="E35">
        <f>C35*D35</f>
        <v>20</v>
      </c>
      <c r="F35" s="9">
        <f>SUM(E35:E39)</f>
        <v>101</v>
      </c>
      <c r="G35" s="3">
        <f>F35/$F$41</f>
        <v>0.2422062350119904</v>
      </c>
      <c r="H35" s="9">
        <f>SUM(E35:E39)/SUM(C35:C39)</f>
        <v>3.7407407407407409</v>
      </c>
    </row>
    <row r="36" spans="1:10">
      <c r="A36" t="s">
        <v>7</v>
      </c>
      <c r="B36">
        <v>4</v>
      </c>
      <c r="C36">
        <v>13</v>
      </c>
      <c r="D36">
        <v>4</v>
      </c>
      <c r="E36">
        <f>C36*D36</f>
        <v>52</v>
      </c>
      <c r="F36" s="9"/>
      <c r="G36" s="3"/>
      <c r="H36" s="9"/>
    </row>
    <row r="37" spans="1:10">
      <c r="A37" t="s">
        <v>8</v>
      </c>
      <c r="B37">
        <v>3</v>
      </c>
      <c r="C37">
        <v>9</v>
      </c>
      <c r="D37">
        <v>3</v>
      </c>
      <c r="E37">
        <f>C37*D37</f>
        <v>27</v>
      </c>
      <c r="F37" s="9"/>
      <c r="G37" s="3"/>
      <c r="H37" s="9"/>
    </row>
    <row r="38" spans="1:10">
      <c r="A38" t="s">
        <v>9</v>
      </c>
      <c r="B38">
        <v>2</v>
      </c>
      <c r="C38">
        <v>1</v>
      </c>
      <c r="D38">
        <v>2</v>
      </c>
      <c r="E38">
        <f>C38*D38</f>
        <v>2</v>
      </c>
      <c r="F38" s="9"/>
      <c r="G38" s="3"/>
      <c r="H38" s="9"/>
    </row>
    <row r="39" spans="1:10">
      <c r="A39" t="s">
        <v>10</v>
      </c>
      <c r="B39">
        <v>1</v>
      </c>
      <c r="C39">
        <v>0</v>
      </c>
      <c r="D39">
        <v>1</v>
      </c>
      <c r="E39">
        <f>C39*D39</f>
        <v>0</v>
      </c>
      <c r="F39" s="9"/>
      <c r="G39" s="3"/>
      <c r="H39" s="9"/>
    </row>
    <row r="41" spans="1:10">
      <c r="F41">
        <f>F3+F11+F19+F27+F35</f>
        <v>417</v>
      </c>
      <c r="G41" s="1">
        <f>G3+G11+G19+G27+G35</f>
        <v>1</v>
      </c>
      <c r="H41">
        <f>AVERAGE(H3,H19,H27,H35)</f>
        <v>3.8611111111111107</v>
      </c>
    </row>
  </sheetData>
  <mergeCells count="16">
    <mergeCell ref="A33:J33"/>
    <mergeCell ref="F35:F39"/>
    <mergeCell ref="H35:H39"/>
    <mergeCell ref="A17:J17"/>
    <mergeCell ref="F19:F23"/>
    <mergeCell ref="H19:H23"/>
    <mergeCell ref="A25:J25"/>
    <mergeCell ref="F27:F31"/>
    <mergeCell ref="H27:H31"/>
    <mergeCell ref="A1:J1"/>
    <mergeCell ref="F3:F7"/>
    <mergeCell ref="H3:H7"/>
    <mergeCell ref="A9:J9"/>
    <mergeCell ref="F11:F15"/>
    <mergeCell ref="G11:G15"/>
    <mergeCell ref="H11:H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E2A1-7BA8-49A7-A24F-548B8687ED6D}">
  <dimension ref="A1:J9"/>
  <sheetViews>
    <sheetView workbookViewId="0">
      <selection activeCell="A3" sqref="A3:B7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>C3*D3</f>
        <v>30</v>
      </c>
      <c r="F3" s="9">
        <f>SUM(E3:E7)</f>
        <v>109</v>
      </c>
      <c r="G3" s="3">
        <f>F3/$F$9</f>
        <v>1</v>
      </c>
      <c r="H3" s="9">
        <f>SUM(E3:E7)/SUM(C3:C7)</f>
        <v>4.0370370370370372</v>
      </c>
    </row>
    <row r="4" spans="1:10">
      <c r="A4" t="s">
        <v>7</v>
      </c>
      <c r="B4">
        <v>4</v>
      </c>
      <c r="C4">
        <v>16</v>
      </c>
      <c r="D4">
        <v>4</v>
      </c>
      <c r="E4">
        <f>C4*D4</f>
        <v>64</v>
      </c>
      <c r="F4" s="9"/>
      <c r="G4" s="3"/>
      <c r="H4" s="9"/>
    </row>
    <row r="5" spans="1:10">
      <c r="A5" t="s">
        <v>8</v>
      </c>
      <c r="B5">
        <v>3</v>
      </c>
      <c r="C5">
        <v>5</v>
      </c>
      <c r="D5">
        <v>3</v>
      </c>
      <c r="E5">
        <f>C5*D5</f>
        <v>15</v>
      </c>
      <c r="F5" s="9"/>
      <c r="G5" s="3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F9">
        <f>F3</f>
        <v>109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7BC-9485-4BC1-9D9F-ECC149A0CDA0}">
  <dimension ref="A1:J9"/>
  <sheetViews>
    <sheetView workbookViewId="0">
      <selection activeCell="O14" sqref="O14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21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>C3*D3</f>
        <v>10</v>
      </c>
      <c r="F3" s="9">
        <f>SUM(E3:E7)</f>
        <v>90</v>
      </c>
      <c r="G3" s="3">
        <f>F3/$F$9</f>
        <v>1</v>
      </c>
      <c r="H3" s="9">
        <f>SUM(E3:E7)/SUM(C3:C7)</f>
        <v>3.3333333333333335</v>
      </c>
    </row>
    <row r="4" spans="1:10">
      <c r="A4" t="s">
        <v>7</v>
      </c>
      <c r="B4">
        <v>4</v>
      </c>
      <c r="C4">
        <v>5</v>
      </c>
      <c r="D4">
        <v>4</v>
      </c>
      <c r="E4">
        <f>C4*D4</f>
        <v>20</v>
      </c>
      <c r="F4" s="9"/>
      <c r="G4" s="3"/>
      <c r="H4" s="9"/>
    </row>
    <row r="5" spans="1:10">
      <c r="A5" t="s">
        <v>8</v>
      </c>
      <c r="B5">
        <v>3</v>
      </c>
      <c r="C5">
        <v>20</v>
      </c>
      <c r="D5">
        <v>3</v>
      </c>
      <c r="E5">
        <f>C5*D5</f>
        <v>60</v>
      </c>
      <c r="F5" s="9"/>
      <c r="G5" s="3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F9">
        <f>F3</f>
        <v>90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42E5-E581-402B-91BF-4DB095418DD7}">
  <dimension ref="A1:J9"/>
  <sheetViews>
    <sheetView workbookViewId="0">
      <selection activeCell="C13" sqref="C1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10</v>
      </c>
      <c r="D3">
        <v>5</v>
      </c>
      <c r="E3">
        <f>C3*D3</f>
        <v>50</v>
      </c>
      <c r="F3" s="9">
        <f>SUM(E3:E7)</f>
        <v>115</v>
      </c>
      <c r="G3" s="3">
        <f>F3/$F$9</f>
        <v>1</v>
      </c>
      <c r="H3" s="9">
        <f>SUM(E3:E7)/SUM(C3:C7)</f>
        <v>4.2592592592592595</v>
      </c>
    </row>
    <row r="4" spans="1:10">
      <c r="A4" t="s">
        <v>7</v>
      </c>
      <c r="B4">
        <v>4</v>
      </c>
      <c r="C4">
        <v>15</v>
      </c>
      <c r="D4">
        <v>4</v>
      </c>
      <c r="E4">
        <f>C4*D4</f>
        <v>60</v>
      </c>
      <c r="F4" s="9"/>
      <c r="G4" s="3"/>
      <c r="H4" s="9"/>
    </row>
    <row r="5" spans="1:10">
      <c r="A5" t="s">
        <v>8</v>
      </c>
      <c r="B5">
        <v>3</v>
      </c>
      <c r="C5">
        <v>1</v>
      </c>
      <c r="D5">
        <v>3</v>
      </c>
      <c r="E5">
        <f>C5*D5</f>
        <v>3</v>
      </c>
      <c r="F5" s="9"/>
      <c r="G5" s="3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>C6*D6</f>
        <v>2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F9">
        <f>F3</f>
        <v>115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F0463-E43E-4B42-BBDF-7D11FBD21010}">
  <dimension ref="A1:J9"/>
  <sheetViews>
    <sheetView workbookViewId="0">
      <selection activeCell="I19" sqref="I19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4</v>
      </c>
      <c r="D3">
        <v>5</v>
      </c>
      <c r="E3">
        <f>C3*D3</f>
        <v>20</v>
      </c>
      <c r="F3" s="9">
        <f>SUM(E3:E7)</f>
        <v>102</v>
      </c>
      <c r="G3" s="3">
        <f>F3/$F$9</f>
        <v>1</v>
      </c>
      <c r="H3" s="9">
        <f>SUM(E3:E7)/SUM(C3:C7)</f>
        <v>3.7777777777777777</v>
      </c>
    </row>
    <row r="4" spans="1:10">
      <c r="A4" t="s">
        <v>7</v>
      </c>
      <c r="B4">
        <v>4</v>
      </c>
      <c r="C4">
        <v>14</v>
      </c>
      <c r="D4">
        <v>4</v>
      </c>
      <c r="E4">
        <f>C4*D4</f>
        <v>56</v>
      </c>
      <c r="F4" s="9"/>
      <c r="G4" s="3"/>
      <c r="H4" s="9"/>
    </row>
    <row r="5" spans="1:10">
      <c r="A5" t="s">
        <v>8</v>
      </c>
      <c r="B5">
        <v>3</v>
      </c>
      <c r="C5">
        <v>8</v>
      </c>
      <c r="D5">
        <v>3</v>
      </c>
      <c r="E5">
        <f>C5*D5</f>
        <v>24</v>
      </c>
      <c r="F5" s="9"/>
      <c r="G5" s="3"/>
      <c r="H5" s="9"/>
    </row>
    <row r="6" spans="1:10">
      <c r="A6" t="s">
        <v>9</v>
      </c>
      <c r="B6">
        <v>2</v>
      </c>
      <c r="C6">
        <v>1</v>
      </c>
      <c r="D6">
        <v>2</v>
      </c>
      <c r="E6">
        <f>C6*D6</f>
        <v>2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F9">
        <f>F3</f>
        <v>102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C3EE-94A4-424D-800C-11AD5CB2CCD5}">
  <dimension ref="A1:J25"/>
  <sheetViews>
    <sheetView topLeftCell="A10" workbookViewId="0">
      <selection activeCell="R33" sqref="R33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6</v>
      </c>
      <c r="D3">
        <v>5</v>
      </c>
      <c r="E3">
        <f>C3*D3</f>
        <v>30</v>
      </c>
      <c r="F3" s="9">
        <f>SUM(E3:E7)</f>
        <v>106</v>
      </c>
      <c r="G3" s="3">
        <f>F3/$F$25</f>
        <v>0.48401826484018262</v>
      </c>
      <c r="H3" s="9">
        <f>SUM(E3:E7)/SUM(C3:C7)</f>
        <v>3.925925925925926</v>
      </c>
    </row>
    <row r="4" spans="1:10">
      <c r="A4" t="s">
        <v>7</v>
      </c>
      <c r="B4">
        <v>4</v>
      </c>
      <c r="C4">
        <v>15</v>
      </c>
      <c r="D4">
        <v>4</v>
      </c>
      <c r="E4">
        <f>C4*D4</f>
        <v>60</v>
      </c>
      <c r="F4" s="9"/>
      <c r="G4" s="3"/>
      <c r="H4" s="9"/>
    </row>
    <row r="5" spans="1:10">
      <c r="A5" t="s">
        <v>8</v>
      </c>
      <c r="B5">
        <v>3</v>
      </c>
      <c r="C5">
        <v>4</v>
      </c>
      <c r="D5">
        <v>3</v>
      </c>
      <c r="E5">
        <f>C5*D5</f>
        <v>12</v>
      </c>
      <c r="F5" s="9"/>
      <c r="G5" s="3"/>
      <c r="H5" s="9"/>
    </row>
    <row r="6" spans="1:10">
      <c r="A6" t="s">
        <v>9</v>
      </c>
      <c r="B6">
        <v>2</v>
      </c>
      <c r="C6">
        <v>2</v>
      </c>
      <c r="D6">
        <v>2</v>
      </c>
      <c r="E6">
        <f>C6*D6</f>
        <v>4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A9" s="11" t="s">
        <v>25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9</v>
      </c>
      <c r="D11">
        <v>5</v>
      </c>
      <c r="E11">
        <f>C11*D11</f>
        <v>45</v>
      </c>
      <c r="F11" s="9">
        <f>SUM(E11:E15)</f>
        <v>113</v>
      </c>
      <c r="G11" s="3">
        <f>F11/$F$25</f>
        <v>0.51598173515981738</v>
      </c>
      <c r="H11" s="9">
        <f>SUM(E11:E15)/SUM(C11:C15)</f>
        <v>4.1851851851851851</v>
      </c>
    </row>
    <row r="12" spans="1:10">
      <c r="A12" t="s">
        <v>7</v>
      </c>
      <c r="B12">
        <v>4</v>
      </c>
      <c r="C12">
        <v>14</v>
      </c>
      <c r="D12">
        <v>4</v>
      </c>
      <c r="E12">
        <f>C12*D12</f>
        <v>56</v>
      </c>
      <c r="F12" s="9"/>
      <c r="G12" s="3"/>
      <c r="H12" s="9"/>
    </row>
    <row r="13" spans="1:10">
      <c r="A13" t="s">
        <v>8</v>
      </c>
      <c r="B13">
        <v>3</v>
      </c>
      <c r="C13">
        <v>4</v>
      </c>
      <c r="D13">
        <v>3</v>
      </c>
      <c r="E13">
        <f>C13*D13</f>
        <v>12</v>
      </c>
      <c r="F13" s="9"/>
      <c r="G13" s="3"/>
      <c r="H13" s="9"/>
    </row>
    <row r="14" spans="1:10">
      <c r="A14" t="s">
        <v>9</v>
      </c>
      <c r="B14">
        <v>2</v>
      </c>
      <c r="C14">
        <v>0</v>
      </c>
      <c r="D14">
        <v>2</v>
      </c>
      <c r="E14">
        <f>C14*D14</f>
        <v>0</v>
      </c>
      <c r="F14" s="9"/>
      <c r="G14" s="3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>C15*D15</f>
        <v>0</v>
      </c>
      <c r="F15" s="9"/>
      <c r="G15" s="3"/>
      <c r="H15" s="9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9" spans="1:10">
      <c r="F19" s="9"/>
      <c r="G19" s="12"/>
      <c r="H19" s="9"/>
    </row>
    <row r="20" spans="1:10">
      <c r="F20" s="9"/>
      <c r="G20" s="12"/>
      <c r="H20" s="9"/>
    </row>
    <row r="21" spans="1:10">
      <c r="F21" s="9"/>
      <c r="G21" s="12"/>
      <c r="H21" s="9"/>
    </row>
    <row r="22" spans="1:10">
      <c r="F22" s="9"/>
      <c r="G22" s="12"/>
      <c r="H22" s="9"/>
    </row>
    <row r="23" spans="1:10">
      <c r="F23" s="9"/>
      <c r="G23" s="12"/>
      <c r="H23" s="9"/>
    </row>
    <row r="25" spans="1:10">
      <c r="F25">
        <f>F3+F11+F19</f>
        <v>219</v>
      </c>
      <c r="G25" s="1">
        <f>G3+G11+G19</f>
        <v>1</v>
      </c>
      <c r="H25">
        <f>(H3+H11+H19)/2</f>
        <v>4.0555555555555554</v>
      </c>
      <c r="I25">
        <f>AVERAGE(H3,H11,H19)</f>
        <v>4.0555555555555554</v>
      </c>
    </row>
  </sheetData>
  <mergeCells count="10">
    <mergeCell ref="A17:J17"/>
    <mergeCell ref="F19:F23"/>
    <mergeCell ref="G19:G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A315-F663-4954-A412-E6EBA19960CD}">
  <dimension ref="A1:J25"/>
  <sheetViews>
    <sheetView topLeftCell="B5" workbookViewId="0">
      <selection activeCell="J25" sqref="J25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26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2</v>
      </c>
      <c r="D3">
        <v>5</v>
      </c>
      <c r="E3">
        <f>C3*D3</f>
        <v>10</v>
      </c>
      <c r="F3" s="9">
        <f>SUM(E3:E7)</f>
        <v>83</v>
      </c>
      <c r="G3" s="3">
        <f>F3/$F$25</f>
        <v>0.28919860627177701</v>
      </c>
      <c r="H3" s="9">
        <f>SUM(E3:E7)/SUM(C3:C7)</f>
        <v>3.074074074074074</v>
      </c>
    </row>
    <row r="4" spans="1:10">
      <c r="A4" t="s">
        <v>7</v>
      </c>
      <c r="B4">
        <v>4</v>
      </c>
      <c r="C4">
        <v>2</v>
      </c>
      <c r="D4">
        <v>4</v>
      </c>
      <c r="E4">
        <f>C4*D4</f>
        <v>8</v>
      </c>
      <c r="F4" s="9"/>
      <c r="G4" s="3"/>
      <c r="H4" s="9"/>
    </row>
    <row r="5" spans="1:10">
      <c r="A5" t="s">
        <v>8</v>
      </c>
      <c r="B5">
        <v>3</v>
      </c>
      <c r="C5">
        <v>20</v>
      </c>
      <c r="D5">
        <v>3</v>
      </c>
      <c r="E5">
        <f>C5*D5</f>
        <v>60</v>
      </c>
      <c r="F5" s="9"/>
      <c r="G5" s="3"/>
      <c r="H5" s="9"/>
    </row>
    <row r="6" spans="1:10">
      <c r="A6" t="s">
        <v>9</v>
      </c>
      <c r="B6">
        <v>2</v>
      </c>
      <c r="C6">
        <v>2</v>
      </c>
      <c r="D6">
        <v>2</v>
      </c>
      <c r="E6">
        <f>C6*D6</f>
        <v>4</v>
      </c>
      <c r="F6" s="9"/>
      <c r="G6" s="3"/>
      <c r="H6" s="9"/>
    </row>
    <row r="7" spans="1:10">
      <c r="A7" t="s">
        <v>10</v>
      </c>
      <c r="B7">
        <v>1</v>
      </c>
      <c r="C7">
        <v>1</v>
      </c>
      <c r="D7">
        <v>1</v>
      </c>
      <c r="E7">
        <f>C7*D7</f>
        <v>1</v>
      </c>
      <c r="F7" s="9"/>
      <c r="G7" s="3"/>
      <c r="H7" s="9"/>
    </row>
    <row r="9" spans="1:10">
      <c r="A9" s="11" t="s">
        <v>27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t="s">
        <v>1</v>
      </c>
      <c r="B10" t="s">
        <v>2</v>
      </c>
      <c r="C10" t="s">
        <v>3</v>
      </c>
      <c r="D10" t="s">
        <v>4</v>
      </c>
      <c r="H10" t="s">
        <v>5</v>
      </c>
    </row>
    <row r="11" spans="1:10">
      <c r="A11" t="s">
        <v>6</v>
      </c>
      <c r="B11">
        <v>5</v>
      </c>
      <c r="C11">
        <v>3</v>
      </c>
      <c r="D11">
        <v>5</v>
      </c>
      <c r="E11">
        <f>C11*D11</f>
        <v>15</v>
      </c>
      <c r="F11" s="9">
        <f>SUM(E11:E15)</f>
        <v>102</v>
      </c>
      <c r="G11" s="3">
        <f>F11/$F$25</f>
        <v>0.35540069686411152</v>
      </c>
      <c r="H11" s="9">
        <f>SUM(E11:E15)/SUM(C11:C15)</f>
        <v>3.7777777777777777</v>
      </c>
    </row>
    <row r="12" spans="1:10">
      <c r="A12" t="s">
        <v>7</v>
      </c>
      <c r="B12">
        <v>4</v>
      </c>
      <c r="C12">
        <v>17</v>
      </c>
      <c r="D12">
        <v>4</v>
      </c>
      <c r="E12">
        <f>C12*D12</f>
        <v>68</v>
      </c>
      <c r="F12" s="9"/>
      <c r="G12" s="3"/>
      <c r="H12" s="9"/>
    </row>
    <row r="13" spans="1:10">
      <c r="A13" t="s">
        <v>8</v>
      </c>
      <c r="B13">
        <v>3</v>
      </c>
      <c r="C13">
        <v>5</v>
      </c>
      <c r="D13">
        <v>3</v>
      </c>
      <c r="E13">
        <f>C13*D13</f>
        <v>15</v>
      </c>
      <c r="F13" s="9"/>
      <c r="G13" s="3"/>
      <c r="H13" s="9"/>
    </row>
    <row r="14" spans="1:10">
      <c r="A14" t="s">
        <v>9</v>
      </c>
      <c r="B14">
        <v>2</v>
      </c>
      <c r="C14">
        <v>2</v>
      </c>
      <c r="D14">
        <v>2</v>
      </c>
      <c r="E14">
        <f>C14*D14</f>
        <v>4</v>
      </c>
      <c r="F14" s="9"/>
      <c r="G14" s="3"/>
      <c r="H14" s="9"/>
    </row>
    <row r="15" spans="1:10">
      <c r="A15" t="s">
        <v>10</v>
      </c>
      <c r="B15">
        <v>1</v>
      </c>
      <c r="C15">
        <v>0</v>
      </c>
      <c r="D15">
        <v>1</v>
      </c>
      <c r="E15">
        <f>C15*D15</f>
        <v>0</v>
      </c>
      <c r="F15" s="9"/>
      <c r="G15" s="3"/>
      <c r="H15" s="9"/>
    </row>
    <row r="17" spans="1:10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t="s">
        <v>1</v>
      </c>
      <c r="B18" t="s">
        <v>2</v>
      </c>
      <c r="C18" t="s">
        <v>3</v>
      </c>
      <c r="D18" t="s">
        <v>4</v>
      </c>
      <c r="H18" t="s">
        <v>5</v>
      </c>
    </row>
    <row r="19" spans="1:10">
      <c r="A19" t="s">
        <v>6</v>
      </c>
      <c r="B19">
        <v>5</v>
      </c>
      <c r="C19">
        <v>6</v>
      </c>
      <c r="D19">
        <v>5</v>
      </c>
      <c r="E19">
        <f>C19*D19</f>
        <v>30</v>
      </c>
      <c r="F19" s="9">
        <f>SUM(E19:E23)</f>
        <v>102</v>
      </c>
      <c r="G19" s="3">
        <f>F19/$F$25</f>
        <v>0.35540069686411152</v>
      </c>
      <c r="H19" s="9">
        <f>SUM(E19:E23)/SUM(C19:C23)</f>
        <v>3.7777777777777777</v>
      </c>
    </row>
    <row r="20" spans="1:10">
      <c r="A20" t="s">
        <v>7</v>
      </c>
      <c r="B20">
        <v>4</v>
      </c>
      <c r="C20">
        <v>13</v>
      </c>
      <c r="D20">
        <v>4</v>
      </c>
      <c r="E20">
        <f>C20*D20</f>
        <v>52</v>
      </c>
      <c r="F20" s="9"/>
      <c r="G20" s="3"/>
      <c r="H20" s="9"/>
    </row>
    <row r="21" spans="1:10">
      <c r="A21" t="s">
        <v>8</v>
      </c>
      <c r="B21">
        <v>3</v>
      </c>
      <c r="C21">
        <v>4</v>
      </c>
      <c r="D21">
        <v>3</v>
      </c>
      <c r="E21">
        <f>C21*D21</f>
        <v>12</v>
      </c>
      <c r="F21" s="9"/>
      <c r="G21" s="3"/>
      <c r="H21" s="9"/>
    </row>
    <row r="22" spans="1:10">
      <c r="A22" t="s">
        <v>9</v>
      </c>
      <c r="B22">
        <v>2</v>
      </c>
      <c r="C22">
        <v>4</v>
      </c>
      <c r="D22">
        <v>2</v>
      </c>
      <c r="E22">
        <f>C22*D22</f>
        <v>8</v>
      </c>
      <c r="F22" s="9"/>
      <c r="G22" s="3"/>
      <c r="H22" s="9"/>
    </row>
    <row r="23" spans="1:10">
      <c r="A23" t="s">
        <v>10</v>
      </c>
      <c r="B23">
        <v>1</v>
      </c>
      <c r="C23">
        <v>0</v>
      </c>
      <c r="D23">
        <v>1</v>
      </c>
      <c r="E23">
        <f>C23*D23</f>
        <v>0</v>
      </c>
      <c r="F23" s="9"/>
      <c r="G23" s="3"/>
      <c r="H23" s="9"/>
    </row>
    <row r="25" spans="1:10">
      <c r="F25">
        <f>F3+F11+F19</f>
        <v>287</v>
      </c>
      <c r="G25" s="1">
        <f>G3+G11+G19</f>
        <v>1</v>
      </c>
      <c r="H25">
        <f>(H3+H11+H19)/3</f>
        <v>3.5432098765432101</v>
      </c>
      <c r="I25">
        <f>AVERAGE(H3,H11,H19)</f>
        <v>3.5432098765432101</v>
      </c>
    </row>
  </sheetData>
  <mergeCells count="9">
    <mergeCell ref="A17:J17"/>
    <mergeCell ref="F19:F23"/>
    <mergeCell ref="H19:H23"/>
    <mergeCell ref="A1:J1"/>
    <mergeCell ref="F3:F7"/>
    <mergeCell ref="H3:H7"/>
    <mergeCell ref="A9:J9"/>
    <mergeCell ref="F11:F15"/>
    <mergeCell ref="H11:H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AFDB-58A2-436B-9EF5-773FBA6A7427}">
  <dimension ref="A1:J9"/>
  <sheetViews>
    <sheetView tabSelected="1" workbookViewId="0">
      <selection activeCell="K11" sqref="K11"/>
    </sheetView>
  </sheetViews>
  <sheetFormatPr defaultColWidth="9.140625" defaultRowHeight="15"/>
  <cols>
    <col min="1" max="1" width="36.42578125" customWidth="1"/>
    <col min="2" max="2" width="15" bestFit="1" customWidth="1"/>
    <col min="4" max="4" width="11" bestFit="1" customWidth="1"/>
    <col min="6" max="6" width="11.85546875" bestFit="1" customWidth="1"/>
    <col min="7" max="7" width="10.140625" bestFit="1" customWidth="1"/>
    <col min="8" max="8" width="12" bestFit="1" customWidth="1"/>
    <col min="9" max="9" width="11.85546875" bestFit="1" customWidth="1"/>
  </cols>
  <sheetData>
    <row r="1" spans="1:10" ht="29.25" customHeight="1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>
      <c r="A2" t="s">
        <v>1</v>
      </c>
      <c r="B2" t="s">
        <v>2</v>
      </c>
      <c r="C2" t="s">
        <v>3</v>
      </c>
      <c r="D2" t="s">
        <v>4</v>
      </c>
      <c r="H2" t="s">
        <v>5</v>
      </c>
    </row>
    <row r="3" spans="1:10">
      <c r="A3" t="s">
        <v>6</v>
      </c>
      <c r="B3">
        <v>5</v>
      </c>
      <c r="C3">
        <v>8</v>
      </c>
      <c r="D3">
        <v>5</v>
      </c>
      <c r="E3">
        <f>C3*D3</f>
        <v>40</v>
      </c>
      <c r="F3" s="9">
        <f>SUM(E3:E7)</f>
        <v>110</v>
      </c>
      <c r="G3" s="3">
        <f>F3/$F$9</f>
        <v>1</v>
      </c>
      <c r="H3" s="9">
        <f>SUM(E3:E7)/SUM(C3:C7)</f>
        <v>4.0740740740740744</v>
      </c>
    </row>
    <row r="4" spans="1:10">
      <c r="A4" t="s">
        <v>7</v>
      </c>
      <c r="B4">
        <v>4</v>
      </c>
      <c r="C4">
        <v>13</v>
      </c>
      <c r="D4">
        <v>4</v>
      </c>
      <c r="E4">
        <f>C4*D4</f>
        <v>52</v>
      </c>
      <c r="F4" s="9"/>
      <c r="G4" s="3"/>
      <c r="H4" s="9"/>
    </row>
    <row r="5" spans="1:10">
      <c r="A5" t="s">
        <v>8</v>
      </c>
      <c r="B5">
        <v>3</v>
      </c>
      <c r="C5">
        <v>6</v>
      </c>
      <c r="D5">
        <v>3</v>
      </c>
      <c r="E5">
        <f>C5*D5</f>
        <v>18</v>
      </c>
      <c r="F5" s="9"/>
      <c r="G5" s="3"/>
      <c r="H5" s="9"/>
    </row>
    <row r="6" spans="1:10">
      <c r="A6" t="s">
        <v>9</v>
      </c>
      <c r="B6">
        <v>2</v>
      </c>
      <c r="C6">
        <v>0</v>
      </c>
      <c r="D6">
        <v>2</v>
      </c>
      <c r="E6">
        <f>C6*D6</f>
        <v>0</v>
      </c>
      <c r="F6" s="9"/>
      <c r="G6" s="3"/>
      <c r="H6" s="9"/>
    </row>
    <row r="7" spans="1:10">
      <c r="A7" t="s">
        <v>10</v>
      </c>
      <c r="B7">
        <v>1</v>
      </c>
      <c r="C7">
        <v>0</v>
      </c>
      <c r="D7">
        <v>1</v>
      </c>
      <c r="E7">
        <f>C7*D7</f>
        <v>0</v>
      </c>
      <c r="F7" s="9"/>
      <c r="G7" s="3"/>
      <c r="H7" s="9"/>
    </row>
    <row r="9" spans="1:10">
      <c r="F9">
        <f>F3</f>
        <v>110</v>
      </c>
    </row>
  </sheetData>
  <mergeCells count="3">
    <mergeCell ref="A1:J1"/>
    <mergeCell ref="F3:F7"/>
    <mergeCell ref="H3:H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DB3E-BA99-4C77-AEA9-87950FE8DBD1}">
  <dimension ref="A2:B44"/>
  <sheetViews>
    <sheetView workbookViewId="0">
      <selection activeCell="C30" sqref="C30"/>
    </sheetView>
  </sheetViews>
  <sheetFormatPr defaultColWidth="11.42578125" defaultRowHeight="15"/>
  <cols>
    <col min="1" max="1" width="60" style="4" customWidth="1"/>
    <col min="2" max="2" width="18.42578125" style="2" customWidth="1"/>
  </cols>
  <sheetData>
    <row r="2" spans="1:2">
      <c r="A2" s="8" t="s">
        <v>30</v>
      </c>
      <c r="B2" s="7" t="s">
        <v>31</v>
      </c>
    </row>
    <row r="3" spans="1:2" ht="44.25" customHeight="1">
      <c r="A3" s="6" t="str">
        <f>'FACTOR2-P'!A1:J1</f>
        <v>Considero que mi participación en actividades de investigación, desarrollo tecnológico, creación artística, culturales, deportivas y de extensión ha contribuido a mi desarrollo integral como persona</v>
      </c>
      <c r="B3" s="5">
        <f>'FACTOR2-P'!G3:G7</f>
        <v>0.36102236421725242</v>
      </c>
    </row>
    <row r="4" spans="1:2" ht="30">
      <c r="A4" s="6" t="str">
        <f>'FACTOR2-P'!A9:J9</f>
        <v>Considero que el reglamento estudiantil y las políticas académicas del programa son pertinentes y están actualizadas.</v>
      </c>
      <c r="B4" s="5">
        <f>'FACTOR2-P'!G11</f>
        <v>0.33226837060702874</v>
      </c>
    </row>
    <row r="5" spans="1:2" ht="30">
      <c r="A5" s="6" t="str">
        <f>'FACTOR2-P'!A17:J17</f>
        <v>Considero que los criterios para la concesión de estímulos académicos y apoyos socioeconómicos, son claros y justos.</v>
      </c>
      <c r="B5" s="5">
        <f>'FACTOR2-P'!G19</f>
        <v>0.30670926517571884</v>
      </c>
    </row>
    <row r="8" spans="1:2">
      <c r="A8" s="6" t="s">
        <v>32</v>
      </c>
      <c r="B8" s="7" t="s">
        <v>31</v>
      </c>
    </row>
    <row r="9" spans="1:2" ht="45">
      <c r="A9" s="6" t="str">
        <f>'FACTOR3-P'!A1:J1</f>
        <v>Considero que el material académico producido por los docentes es pertinente y adecuado con las necesidades y objetivos de la Maestría en Ciencias de la Información y las Comunicaciones.</v>
      </c>
      <c r="B9" s="5">
        <f>'FACTOR3-P'!G3</f>
        <v>0.49568965517241381</v>
      </c>
    </row>
    <row r="10" spans="1:2" ht="45">
      <c r="A10" s="6" t="str">
        <f>'FACTOR3-P'!A9:J9</f>
        <v>Considero que los criterios y mecanismos utilizados para la evaluación de los profesores son transparentes, accesibles y eficaces</v>
      </c>
      <c r="B10" s="5">
        <f>'FACTOR3-P'!G11</f>
        <v>0.50431034482758619</v>
      </c>
    </row>
    <row r="13" spans="1:2">
      <c r="A13" s="6" t="s">
        <v>33</v>
      </c>
      <c r="B13" s="7" t="s">
        <v>31</v>
      </c>
    </row>
    <row r="14" spans="1:2" ht="45">
      <c r="A14" s="6" t="str">
        <f>'FACTOR5-P'!A1:J1</f>
        <v>Considero que las estrategias de flexibilidad curricular me han permitido personalizar mi formación de acuerdo con mis objetivos profesionales y académicos.</v>
      </c>
      <c r="B14" s="5">
        <f>'FACTOR5-P'!G3</f>
        <v>0.23261390887290168</v>
      </c>
    </row>
    <row r="15" spans="1:2" ht="60">
      <c r="A15" s="6" t="str">
        <f>'FACTOR5-P'!A17:J17</f>
        <v>Considero que las estrategias pedagógicas y escenarios de práctica utilizadas en la Maestría en Ciencias de la Información y las Comunicaciones son coherentes y efectivas para facilitar los resultados</v>
      </c>
      <c r="B15" s="5">
        <f>'FACTOR5-P'!G19</f>
        <v>0.25659472422062352</v>
      </c>
    </row>
    <row r="16" spans="1:2" ht="60">
      <c r="A16" s="6" t="str">
        <f>'FACTOR5-P'!A25:J25</f>
        <v>Considero que los sistemas de evaluación de los resultados de aprendizaje permiten una realimentación efectiva que contribuye a la mejora continua de la formación en los estudiantes.</v>
      </c>
      <c r="B16" s="5">
        <f>'FACTOR5-P'!G27</f>
        <v>0.26858513189448441</v>
      </c>
    </row>
    <row r="17" spans="1:2" ht="60">
      <c r="A17" s="6" t="str">
        <f>'FACTOR5-P'!A33:J33</f>
        <v>Considero que el proceso de evaluación y autorregulación de la Maestría en Ciencias de la Información y las Comunicaciones tiene en cuenta de manera efectiva las necesidades y expectativas de los estudiantes</v>
      </c>
      <c r="B17" s="5">
        <f>'FACTOR5-P'!G35</f>
        <v>0.2422062350119904</v>
      </c>
    </row>
    <row r="20" spans="1:2">
      <c r="A20" s="6" t="s">
        <v>34</v>
      </c>
      <c r="B20" s="7" t="s">
        <v>31</v>
      </c>
    </row>
    <row r="21" spans="1:2" ht="60">
      <c r="A21" s="6" t="str">
        <f>'FACTOR6-P'!A1:J1</f>
        <v>Considero que las intervenciones y el apoyo proporcionados para alertarme de forma temprana, han sido útiles para mejorar mi rendimiento académico y facilitar mi progreso hacia la graduación.</v>
      </c>
      <c r="B21" s="5">
        <f>'FACTOR6-P'!G3</f>
        <v>1</v>
      </c>
    </row>
    <row r="23" spans="1:2">
      <c r="A23" s="6" t="s">
        <v>35</v>
      </c>
      <c r="B23" s="7" t="s">
        <v>31</v>
      </c>
    </row>
    <row r="24" spans="1:2" ht="45">
      <c r="A24" s="6" t="str">
        <f>'FACTOR7-P '!A1:J1</f>
        <v>Considero que la interacción con homólogos nacionales e internacionales ha mejorado mis competencias académicas y científicas, así como las oportunidades de desarrollo profesional.</v>
      </c>
      <c r="B24" s="5">
        <f>'FACTOR7-P '!G3</f>
        <v>1</v>
      </c>
    </row>
    <row r="27" spans="1:2">
      <c r="A27" s="6" t="s">
        <v>36</v>
      </c>
      <c r="B27" s="7" t="s">
        <v>31</v>
      </c>
    </row>
    <row r="28" spans="1:2" ht="60">
      <c r="A28" s="6" t="str">
        <f>'FACTOR8-P'!A1:J1</f>
        <v>Considero que la Maestría en Ciencias de la Información y las Comunicaciones me proporciona una formación adecuada para la investigación, fomentando el desarrollo de un pensamiento crítico, creativo e innovador</v>
      </c>
      <c r="B28" s="5">
        <f>'FACTOR8-P'!G3</f>
        <v>1</v>
      </c>
    </row>
    <row r="31" spans="1:2">
      <c r="A31" s="6" t="s">
        <v>37</v>
      </c>
      <c r="B31" s="7" t="s">
        <v>31</v>
      </c>
    </row>
    <row r="32" spans="1:2" ht="60">
      <c r="A32" s="6" t="str">
        <f>'FACTOR9-P'!A1:J1</f>
        <v>Considero que las políticas, programas y servicios de bienestar implementados en Maestría en Ciencias de la Información y las Comunicaciones son coherentes con las condiciones y necesidades específica</v>
      </c>
      <c r="B32" s="5">
        <f>'FACTOR8-P'!G3</f>
        <v>1</v>
      </c>
    </row>
    <row r="34" spans="1:2">
      <c r="A34" s="6" t="s">
        <v>38</v>
      </c>
      <c r="B34" s="7" t="s">
        <v>31</v>
      </c>
    </row>
    <row r="35" spans="1:2" ht="60">
      <c r="A35" s="6" t="str">
        <f>'FACTOR10-P'!A1:J1</f>
        <v>Considero que los espacios, recurso, herramientas y equipos de apoyo ofrecidos son pertinentes y se ajustan adecuadamente a mis necesidades formativas en los diferentes contextos que requiero.</v>
      </c>
      <c r="B35" s="5">
        <f>'FACTOR10-P'!G3</f>
        <v>0.48401826484018262</v>
      </c>
    </row>
    <row r="36" spans="1:2" ht="60">
      <c r="A36" s="6" t="str">
        <f>'FACTOR10-P'!A9:J9</f>
        <v>Considero que el material bibliográfico y de información disponible en la Maestría en Ciencias de la Información y las Comunicaciones es pertinente y adecuado para apoyar el desarrollo de las distinta</v>
      </c>
      <c r="B36" s="5">
        <f>'FACTOR10-P'!G11</f>
        <v>0.51598173515981738</v>
      </c>
    </row>
    <row r="38" spans="1:2">
      <c r="A38" s="6" t="s">
        <v>39</v>
      </c>
      <c r="B38" s="7" t="s">
        <v>31</v>
      </c>
    </row>
    <row r="39" spans="1:2" ht="60">
      <c r="A39" s="6" t="str">
        <f>'FACTOR11-P'!A1:J1</f>
        <v>Considero que el representante estudiantil en los diferentes escenarios institucionales ha sido valorada y ha influido en las decisiones orientadas al mejoramiento de la Maestría en Ciencias de la Información</v>
      </c>
      <c r="B39" s="5">
        <f>'FACTOR11-P'!G3</f>
        <v>0.28919860627177701</v>
      </c>
    </row>
    <row r="40" spans="1:2" ht="75">
      <c r="A40" s="6" t="str">
        <f>'FACTOR11-P'!A9:J9</f>
        <v>Creo que los procesos administrativos están orientados adecuadamente y son eficaces para apoyar el desarrollo integral de las labores formativas, académicas, docentes, científicas, culturales y de extensión de la maestria en ciencias de la información y las comunicaciones</v>
      </c>
      <c r="B40" s="5">
        <f>'FACTOR11-P'!G11</f>
        <v>0.35540069686411152</v>
      </c>
    </row>
    <row r="41" spans="1:2" ht="90">
      <c r="A41" s="6" t="str">
        <f>'FACTOR11-P'!A17:J17</f>
        <v xml:space="preserve">Considero que los recursos humanos (profesores, personal administrativo, etc.) disponibles en la Maestría en Ciencias de la Información y las Comunicaciones son suficientes y adecuados para atender el l número de estudiantes 
matriculados y cumplir con los objetivos del Proyecto Educativo del Programa (PEP) </v>
      </c>
      <c r="B41" s="5">
        <f>'FACTOR11-P'!G19</f>
        <v>0.35540069686411152</v>
      </c>
    </row>
    <row r="43" spans="1:2">
      <c r="A43" s="6" t="s">
        <v>40</v>
      </c>
      <c r="B43" s="7" t="s">
        <v>31</v>
      </c>
    </row>
    <row r="44" spans="1:2" ht="90">
      <c r="A44" s="6" t="str">
        <f>'FACTOR12-P'!A1:J1</f>
        <v>Considero que los recursos informáticos disponibles, corresponden  adecuadamente con las 
necesidades tecnológicas de la Maestria de ciencias de la información y las comunicaciones y de sus miembros (profesores y 
estudiantes)</v>
      </c>
      <c r="B44" s="5">
        <f>'FACTOR12-P'!G3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CAIMAN URQUIJO CAMILO ANDRES</dc:creator>
  <cp:keywords/>
  <dc:description/>
  <cp:lastModifiedBy>CAIMAN URQUIJO CAMILO ANDRES</cp:lastModifiedBy>
  <cp:revision/>
  <dcterms:created xsi:type="dcterms:W3CDTF">2025-05-12T14:45:51Z</dcterms:created>
  <dcterms:modified xsi:type="dcterms:W3CDTF">2025-05-15T14:47:24Z</dcterms:modified>
  <cp:category/>
  <cp:contentStatus/>
</cp:coreProperties>
</file>