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milo U\15avo Semestre\Monitorias\Encuesta Factores\"/>
    </mc:Choice>
  </mc:AlternateContent>
  <xr:revisionPtr revIDLastSave="0" documentId="13_ncr:1_{A8BFA49C-1C23-45FD-8455-1D59E644D584}" xr6:coauthVersionLast="47" xr6:coauthVersionMax="47" xr10:uidLastSave="{00000000-0000-0000-0000-000000000000}"/>
  <bookViews>
    <workbookView xWindow="-120" yWindow="-120" windowWidth="20730" windowHeight="11160" firstSheet="10" activeTab="10" xr2:uid="{00000000-000D-0000-FFFF-FFFF00000000}"/>
  </bookViews>
  <sheets>
    <sheet name="FACTOR4-P" sheetId="5" r:id="rId1"/>
    <sheet name="FACTOR4-I" sheetId="23" r:id="rId2"/>
    <sheet name="FACTOR5-P" sheetId="24" r:id="rId3"/>
    <sheet name="FACTOR5-I" sheetId="25" r:id="rId4"/>
    <sheet name="FACTOR7-P" sheetId="26" r:id="rId5"/>
    <sheet name="FACTOR7-I" sheetId="27" r:id="rId6"/>
    <sheet name="FACTOR11-P" sheetId="28" r:id="rId7"/>
    <sheet name="FACTOR11-I" sheetId="29" r:id="rId8"/>
    <sheet name="CARACT-P" sheetId="30" r:id="rId9"/>
    <sheet name="CARACT-I" sheetId="31" r:id="rId10"/>
    <sheet name="Graficos-P" sheetId="32" r:id="rId11"/>
  </sheets>
  <externalReferences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32" l="1"/>
  <c r="A8" i="32"/>
  <c r="A4" i="32"/>
  <c r="A3" i="32"/>
  <c r="B23" i="32"/>
  <c r="A23" i="32"/>
  <c r="B19" i="32"/>
  <c r="A19" i="32"/>
  <c r="B16" i="32"/>
  <c r="A16" i="32"/>
  <c r="E40" i="31" l="1"/>
  <c r="E39" i="31"/>
  <c r="E38" i="31"/>
  <c r="E37" i="31"/>
  <c r="E36" i="31"/>
  <c r="E24" i="31"/>
  <c r="E23" i="31"/>
  <c r="E22" i="31"/>
  <c r="E21" i="31"/>
  <c r="E20" i="31"/>
  <c r="E7" i="31"/>
  <c r="E6" i="31"/>
  <c r="E5" i="31"/>
  <c r="E4" i="31"/>
  <c r="E3" i="31"/>
  <c r="E40" i="30"/>
  <c r="E39" i="30"/>
  <c r="E38" i="30"/>
  <c r="E37" i="30"/>
  <c r="E36" i="30"/>
  <c r="E24" i="30"/>
  <c r="E23" i="30"/>
  <c r="E22" i="30"/>
  <c r="E21" i="30"/>
  <c r="E20" i="30"/>
  <c r="E7" i="30"/>
  <c r="E6" i="30"/>
  <c r="E5" i="30"/>
  <c r="E4" i="30"/>
  <c r="E3" i="30"/>
  <c r="E7" i="29"/>
  <c r="E6" i="29"/>
  <c r="E5" i="29"/>
  <c r="E4" i="29"/>
  <c r="E3" i="29"/>
  <c r="E7" i="28"/>
  <c r="E6" i="28"/>
  <c r="E5" i="28"/>
  <c r="E4" i="28"/>
  <c r="E3" i="28"/>
  <c r="E7" i="27"/>
  <c r="E6" i="27"/>
  <c r="E5" i="27"/>
  <c r="E4" i="27"/>
  <c r="E3" i="27"/>
  <c r="F36" i="31" l="1"/>
  <c r="H36" i="31"/>
  <c r="H20" i="31"/>
  <c r="H3" i="31"/>
  <c r="F3" i="31"/>
  <c r="F20" i="31"/>
  <c r="F36" i="30"/>
  <c r="F46" i="30" s="1"/>
  <c r="H36" i="30"/>
  <c r="F20" i="30"/>
  <c r="H20" i="30"/>
  <c r="F3" i="30"/>
  <c r="F13" i="30" s="1"/>
  <c r="G3" i="30" s="1"/>
  <c r="G13" i="30" s="1"/>
  <c r="H3" i="30"/>
  <c r="F3" i="29"/>
  <c r="F13" i="29" s="1"/>
  <c r="G3" i="29" s="1"/>
  <c r="G13" i="29" s="1"/>
  <c r="H3" i="29"/>
  <c r="H3" i="28"/>
  <c r="F3" i="28"/>
  <c r="F3" i="27"/>
  <c r="F13" i="27"/>
  <c r="G3" i="27" s="1"/>
  <c r="G13" i="27" s="1"/>
  <c r="H3" i="27"/>
  <c r="E7" i="26"/>
  <c r="E6" i="26"/>
  <c r="E5" i="26"/>
  <c r="E4" i="26"/>
  <c r="E3" i="26"/>
  <c r="E7" i="25"/>
  <c r="E6" i="25"/>
  <c r="E5" i="25"/>
  <c r="E4" i="25"/>
  <c r="E3" i="25"/>
  <c r="E7" i="24"/>
  <c r="E6" i="24"/>
  <c r="E5" i="24"/>
  <c r="E4" i="24"/>
  <c r="E3" i="24"/>
  <c r="E16" i="23"/>
  <c r="E15" i="23"/>
  <c r="E14" i="23"/>
  <c r="E13" i="23"/>
  <c r="E12" i="23"/>
  <c r="E7" i="23"/>
  <c r="E6" i="23"/>
  <c r="E5" i="23"/>
  <c r="E4" i="23"/>
  <c r="E3" i="23"/>
  <c r="E16" i="5"/>
  <c r="E15" i="5"/>
  <c r="E14" i="5"/>
  <c r="E13" i="5"/>
  <c r="E12" i="5"/>
  <c r="E7" i="5"/>
  <c r="E6" i="5"/>
  <c r="E5" i="5"/>
  <c r="E4" i="5"/>
  <c r="E3" i="5"/>
  <c r="F30" i="30" l="1"/>
  <c r="G20" i="30"/>
  <c r="F46" i="31"/>
  <c r="G36" i="31" s="1"/>
  <c r="G46" i="31" s="1"/>
  <c r="F13" i="31"/>
  <c r="G3" i="31" s="1"/>
  <c r="G13" i="31" s="1"/>
  <c r="F30" i="31"/>
  <c r="G20" i="31" s="1"/>
  <c r="G30" i="31" s="1"/>
  <c r="G36" i="30"/>
  <c r="G46" i="30" s="1"/>
  <c r="G30" i="30"/>
  <c r="F13" i="28"/>
  <c r="G3" i="28" s="1"/>
  <c r="G13" i="28" s="1"/>
  <c r="H3" i="26"/>
  <c r="F3" i="26"/>
  <c r="F13" i="26" s="1"/>
  <c r="G3" i="26" s="1"/>
  <c r="F3" i="25"/>
  <c r="F13" i="25" s="1"/>
  <c r="G3" i="25" s="1"/>
  <c r="G13" i="25" s="1"/>
  <c r="H3" i="25"/>
  <c r="H3" i="24"/>
  <c r="F3" i="24"/>
  <c r="F13" i="24" s="1"/>
  <c r="F3" i="23"/>
  <c r="F12" i="23"/>
  <c r="H12" i="23"/>
  <c r="H3" i="23"/>
  <c r="H12" i="5"/>
  <c r="F3" i="5"/>
  <c r="F12" i="5"/>
  <c r="H3" i="5"/>
  <c r="H20" i="5" s="1"/>
  <c r="F20" i="5" l="1"/>
  <c r="G3" i="5" s="1"/>
  <c r="G13" i="26"/>
  <c r="B12" i="32"/>
  <c r="G3" i="24"/>
  <c r="F20" i="23"/>
  <c r="G12" i="23" s="1"/>
  <c r="H20" i="23"/>
  <c r="G12" i="5"/>
  <c r="B4" i="32" s="1"/>
  <c r="G13" i="24" l="1"/>
  <c r="B8" i="32"/>
  <c r="B3" i="32"/>
  <c r="G20" i="5"/>
  <c r="G3" i="23"/>
  <c r="G20" i="23" s="1"/>
</calcChain>
</file>

<file path=xl/sharedStrings.xml><?xml version="1.0" encoding="utf-8"?>
<sst xmlns="http://schemas.openxmlformats.org/spreadsheetml/2006/main" count="188" uniqueCount="29">
  <si>
    <t>Las competencias adquiridas durante mi formación en la maestría (técnicas, investigativas, pedagógicas, etc.) han sido suficientes y relevantes para mi desarrollo profesional.</t>
  </si>
  <si>
    <t>Opción</t>
  </si>
  <si>
    <t xml:space="preserve">Valor del factor </t>
  </si>
  <si>
    <t>Recuento</t>
  </si>
  <si>
    <t>Puntuación</t>
  </si>
  <si>
    <t>Tendencia</t>
  </si>
  <si>
    <t>Totalmente de acuerdo</t>
  </si>
  <si>
    <t>De acuerdo</t>
  </si>
  <si>
    <t>Ni en acuerdo ni en desacuerdo</t>
  </si>
  <si>
    <t>En desacuerdo</t>
  </si>
  <si>
    <t>Totalmente en desacuerdo</t>
  </si>
  <si>
    <t>Considero que mi formación en la maestría ha influido positivamente en mi desarrollo profesional, así como en la mejora de oportunidades en mi campo laboral.</t>
  </si>
  <si>
    <t>Considero que las estrategias de flexibilidad curricular me permitieron personalizar mi formación de acuerdo con mis objetivos profesionales y académicos.</t>
  </si>
  <si>
    <t>Considero que la interacción con homólogos nacionales e internacionales me permitió mejorar mis competencias académicas y científicas, así como las oportunidades de desarrollo profesional.</t>
  </si>
  <si>
    <t>Considero que el representante estudiantil y de egresados en los diferentes escenarios institucionales, ha sido valorada y ha influido en las decisiones orientadas al mejoramiento de la Maestría en Ci.</t>
  </si>
  <si>
    <t>¿En qué sector se desempeña su trabajo actual?</t>
  </si>
  <si>
    <t>Sector primario (agricultura, ganadería, pesca, minería)</t>
  </si>
  <si>
    <t>Sector público (administración pública, gobierno)</t>
  </si>
  <si>
    <t>Sector terciario (comercio, servicios: educación, salud, finanzas, etc.)</t>
  </si>
  <si>
    <t>Tecnología (desarrollo de software, IA, ciberseguridad, telecomunicaciones)</t>
  </si>
  <si>
    <t>Otro</t>
  </si>
  <si>
    <t>¿El trabajo que realiza actualmente se relaciona directamente con los conocimientos adquiridos en la maestría?</t>
  </si>
  <si>
    <t>¿Siente que la maestría te ha abierto nuevas oportunidades laborales?</t>
  </si>
  <si>
    <t>FACTOR 4</t>
  </si>
  <si>
    <t>PONDERACIÓN</t>
  </si>
  <si>
    <t>FACTOR 5</t>
  </si>
  <si>
    <t>FACTOR 7</t>
  </si>
  <si>
    <t>FACTOR 11</t>
  </si>
  <si>
    <t>FACTOR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</si>
</sst>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Las competencias adquiridas durante mi formación en la maestría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4BB-4C08-A84C-DA75FC0508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D-46B1-837D-8FAFF5041D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7D-46B1-837D-8FAFF5041D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7D-46B1-837D-8FAFF5041D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7D-46B1-837D-8FAFF5041D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'FACTOR4-P'!$A$3:$A$7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'FACTOR4-P'!$C$3:$C$7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B-4C08-A84C-DA75FC0508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mi formación en la maestría ha influido positivamente en mi desarrollo profesional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68-47CE-8385-0F7084A643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68-47CE-8385-0F7084A643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68-47CE-8385-0F7084A643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68-47CE-8385-0F7084A643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68-47CE-8385-0F7084A643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'FACTOR4-P'!$A$12:$A$16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'FACTOR4-P'!$C$12:$C$16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E-48C3-86E6-61C986EF4B6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Las competencias adquiridas durante mi formación en la maestría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A8-424C-9280-748923E8A6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A8-424C-9280-748923E8A6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'FACTOR4-I'!$A$3:$A$4</c:f>
              <c:strCache>
                <c:ptCount val="2"/>
                <c:pt idx="0">
                  <c:v>Totalmente de acuerdo</c:v>
                </c:pt>
                <c:pt idx="1">
                  <c:v>De acuerdo</c:v>
                </c:pt>
              </c:strCache>
            </c:strRef>
          </c:cat>
          <c:val>
            <c:numRef>
              <c:f>'FACTOR4-I'!$C$3:$C$4</c:f>
              <c:numCache>
                <c:formatCode>General</c:formatCode>
                <c:ptCount val="2"/>
                <c:pt idx="0">
                  <c:v>11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9-47C6-ADDD-AFCDAB53B1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mi formación en la maestría ha influido positivamente en mi desarrollo profesional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50-4705-A888-78B7799A6F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50-4705-A888-78B7799A6F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50-4705-A888-78B7799A6F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'FACTOR4-I'!$A$12:$A$14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'FACTOR4-I'!$C$12:$C$14</c:f>
              <c:numCache>
                <c:formatCode>General</c:formatCode>
                <c:ptCount val="3"/>
                <c:pt idx="0">
                  <c:v>12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3-4AD5-A0C8-EB4B566165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estrategias de flexibilidad curricular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D-44F7-82D7-8338C4545D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D-44F7-82D7-8338C4545D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8D-44F7-82D7-8338C4545D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8D-44F7-82D7-8338C4545D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8D-44F7-82D7-8338C4545D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'FACTOR5-P'!$C$3:$C$7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E-4165-8AFD-9648AC490C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estrategias de flexibilidad curricular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55-417E-9F2B-15B7954799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55-417E-9F2B-15B7954799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55-417E-9F2B-15B7954799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55-417E-9F2B-15B7954799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55-417E-9F2B-15B7954799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'FACTOR5-I'!$C$3:$C$7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E-40C8-8EBD-77AE1E94B5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 interacción con homólogos nacionales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5C-4A0C-92FC-FAC7C530BB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5C-4A0C-92FC-FAC7C530BB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5C-4A0C-92FC-FAC7C530BB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5C-4A0C-92FC-FAC7C530BB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5C-4A0C-92FC-FAC7C530BB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'FACTOR7-P'!$A$3:$A$7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'FACTOR7-P'!$C$3:$C$7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8-499B-B5A8-BF881BEA71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 interacción con homólogos nacionales e internacionales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71-44BF-A903-8132ED7D25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71-44BF-A903-8132ED7D25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71-44BF-A903-8132ED7D25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71-44BF-A903-8132ED7D25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71-44BF-A903-8132ED7D25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'FACTOR7-I'!$A$3:$A$7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'FACTOR7-I'!$C$3:$C$7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0-4ACA-A599-6FAA6EC607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representante estudiantil y de egresados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DA-4C9E-A7C3-42A2BEF87D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DA-4C9E-A7C3-42A2BEF87D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DA-4C9E-A7C3-42A2BEF87D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DA-4C9E-A7C3-42A2BEF87D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DA-4C9E-A7C3-42A2BEF87D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'FACTOR11-P'!$C$3:$C$7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DA-4C9E-A7C3-42A2BEF87D1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representante estudiantil y de egresados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FF-4C0B-BACC-9F82C91635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FF-4C0B-BACC-9F82C91635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FF-4C0B-BACC-9F82C91635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FF-4C0B-BACC-9F82C91635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FF-4C0B-BACC-9F82C91635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'FACTOR11-I'!$C$3:$C$7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FF-4C0B-BACC-9F82C916359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¿En qué sector se desempeña su trabajo actual?</a:t>
            </a:r>
          </a:p>
        </c:rich>
      </c:tx>
      <c:layout>
        <c:manualLayout>
          <c:xMode val="edge"/>
          <c:yMode val="edge"/>
          <c:x val="0.11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BF-42E4-A62A-6400E86F00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BF-42E4-A62A-6400E86F00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BF-42E4-A62A-6400E86F00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BF-42E4-A62A-6400E86F00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BF-42E4-A62A-6400E86F00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'CARACT-P'!$A$3:$A$7</c:f>
              <c:strCache>
                <c:ptCount val="5"/>
                <c:pt idx="0">
                  <c:v>Sector primario (agricultura, ganadería, pesca, minería)</c:v>
                </c:pt>
                <c:pt idx="1">
                  <c:v>Sector público (administración pública, gobierno)</c:v>
                </c:pt>
                <c:pt idx="2">
                  <c:v>Sector terciario (comercio, servicios: educación, salud, finanzas, etc.)</c:v>
                </c:pt>
                <c:pt idx="3">
                  <c:v>Tecnología (desarrollo de software, IA, ciberseguridad, telecomunicaciones)</c:v>
                </c:pt>
                <c:pt idx="4">
                  <c:v>Otro</c:v>
                </c:pt>
              </c:strCache>
            </c:strRef>
          </c:cat>
          <c:val>
            <c:numRef>
              <c:f>'CARACT-P'!$C$3:$C$7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BF-42E4-A62A-6400E86F00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¿El trabajo que realiza actualmente se relaciona directamente con los conocimientos adquiridos en la maestría?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36-4176-845E-86F807565D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36-4176-845E-86F807565D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36-4176-845E-86F807565D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36-4176-845E-86F807565D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36-4176-845E-86F807565D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'CARACT-P'!$A$20:$A$24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'CARACT-P'!$C$20:$C$24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E-4C8F-885E-46C1F24A837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¿Siente que la maestría te ha abierto nuevas oportunidades laborales?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00-41C1-A890-716DBF38BD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00-41C1-A890-716DBF38BD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00-41C1-A890-716DBF38BD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00-41C1-A890-716DBF38BD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00-41C1-A890-716DBF38BD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'CARACT-P'!$A$36:$A$40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'CARACT-P'!$C$36:$C$40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F-4DB3-9A82-E1014B3F7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¿En qué sector se desempeña su trabajo actual?</a:t>
            </a:r>
          </a:p>
        </c:rich>
      </c:tx>
      <c:layout>
        <c:manualLayout>
          <c:xMode val="edge"/>
          <c:yMode val="edge"/>
          <c:x val="0.11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15-4B71-8602-A47A0DAD38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15-4B71-8602-A47A0DAD38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15-4B71-8602-A47A0DAD38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15-4B71-8602-A47A0DAD38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15-4B71-8602-A47A0DAD38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'CARACT-I'!$A$3:$A$7</c:f>
              <c:strCache>
                <c:ptCount val="5"/>
                <c:pt idx="0">
                  <c:v>Sector primario (agricultura, ganadería, pesca, minería)</c:v>
                </c:pt>
                <c:pt idx="1">
                  <c:v>Sector público (administración pública, gobierno)</c:v>
                </c:pt>
                <c:pt idx="2">
                  <c:v>Sector terciario (comercio, servicios: educación, salud, finanzas, etc.)</c:v>
                </c:pt>
                <c:pt idx="3">
                  <c:v>Tecnología (desarrollo de software, IA, ciberseguridad, telecomunicaciones)</c:v>
                </c:pt>
                <c:pt idx="4">
                  <c:v>Otro</c:v>
                </c:pt>
              </c:strCache>
            </c:strRef>
          </c:cat>
          <c:val>
            <c:numRef>
              <c:f>'CARACT-I'!$C$3:$C$7</c:f>
              <c:numCache>
                <c:formatCode>General</c:formatCode>
                <c:ptCount val="5"/>
                <c:pt idx="0">
                  <c:v>1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15-4B71-8602-A47A0DAD38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¿El trabajo que realiza actualmente se relaciona directamente con los conocimientos adquiridos en la maestría?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E6-4FAE-8867-2ABD9486C1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E6-4FAE-8867-2ABD9486C1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E6-4FAE-8867-2ABD9486C1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E6-4FAE-8867-2ABD9486C1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E6-4FAE-8867-2ABD9486C1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'CARACT-I'!$A$20:$A$24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'CARACT-I'!$C$20:$C$24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E6-4FAE-8867-2ABD9486C1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¿Siente que la maestría te ha abierto nuevas oportunidades laborales?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97-4FE4-A62D-B748EBF04F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97-4FE4-A62D-B748EBF04F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97-4FE4-A62D-B748EBF04F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97-4FE4-A62D-B748EBF04F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97-4FE4-A62D-B748EBF04F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'CARACT-I'!$A$36:$A$40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'CARACT-I'!$C$36:$C$40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97-4FE4-A62D-B748EBF04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0</xdr:row>
      <xdr:rowOff>4762</xdr:rowOff>
    </xdr:from>
    <xdr:to>
      <xdr:col>17</xdr:col>
      <xdr:colOff>542925</xdr:colOff>
      <xdr:row>13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EDD408-22B5-AE92-ED1F-2AFD9BFB5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147637</xdr:colOff>
      <xdr:row>14</xdr:row>
      <xdr:rowOff>138112</xdr:rowOff>
    </xdr:from>
    <xdr:to>
      <xdr:col>17</xdr:col>
      <xdr:colOff>452437</xdr:colOff>
      <xdr:row>29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ACD5AB-974F-2FB4-C226-49D3B0650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242887</xdr:colOff>
      <xdr:row>1</xdr:row>
      <xdr:rowOff>71437</xdr:rowOff>
    </xdr:from>
    <xdr:to>
      <xdr:col>15</xdr:col>
      <xdr:colOff>366712</xdr:colOff>
      <xdr:row>15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07F372-32BE-1F1B-3A94-FC6B76369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223837</xdr:colOff>
      <xdr:row>16</xdr:row>
      <xdr:rowOff>100012</xdr:rowOff>
    </xdr:from>
    <xdr:to>
      <xdr:col>15</xdr:col>
      <xdr:colOff>347662</xdr:colOff>
      <xdr:row>30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5A28F8-6D5D-840E-A736-0405E4847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595312</xdr:colOff>
      <xdr:row>1</xdr:row>
      <xdr:rowOff>138112</xdr:rowOff>
    </xdr:from>
    <xdr:to>
      <xdr:col>16</xdr:col>
      <xdr:colOff>109537</xdr:colOff>
      <xdr:row>16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80153B-5C9B-60F5-9D3F-74499E3DB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4</xdr:row>
      <xdr:rowOff>42862</xdr:rowOff>
    </xdr:from>
    <xdr:to>
      <xdr:col>10</xdr:col>
      <xdr:colOff>433387</xdr:colOff>
      <xdr:row>18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0B185E-77C9-2236-474C-6031BF1CD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376237</xdr:colOff>
      <xdr:row>6</xdr:row>
      <xdr:rowOff>119062</xdr:rowOff>
    </xdr:from>
    <xdr:to>
      <xdr:col>9</xdr:col>
      <xdr:colOff>547687</xdr:colOff>
      <xdr:row>21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E37F91-5544-9598-2A45-DE1797C7B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461962</xdr:colOff>
      <xdr:row>7</xdr:row>
      <xdr:rowOff>128587</xdr:rowOff>
    </xdr:from>
    <xdr:to>
      <xdr:col>9</xdr:col>
      <xdr:colOff>23812</xdr:colOff>
      <xdr:row>22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06CFD0-B53D-799A-2027-73EB3D950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376237</xdr:colOff>
      <xdr:row>6</xdr:row>
      <xdr:rowOff>119062</xdr:rowOff>
    </xdr:from>
    <xdr:to>
      <xdr:col>9</xdr:col>
      <xdr:colOff>547687</xdr:colOff>
      <xdr:row>21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78C51E-0066-4AAA-AB9F-6D94866C1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652462</xdr:colOff>
      <xdr:row>7</xdr:row>
      <xdr:rowOff>138112</xdr:rowOff>
    </xdr:from>
    <xdr:to>
      <xdr:col>10</xdr:col>
      <xdr:colOff>214312</xdr:colOff>
      <xdr:row>22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0BB751-6AC7-443F-84B4-1EBF260A4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633412</xdr:colOff>
      <xdr:row>1</xdr:row>
      <xdr:rowOff>176212</xdr:rowOff>
    </xdr:from>
    <xdr:to>
      <xdr:col>16</xdr:col>
      <xdr:colOff>147637</xdr:colOff>
      <xdr:row>16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569609-43F6-4CEA-96F2-1B507CA63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609600</xdr:colOff>
      <xdr:row>17</xdr:row>
      <xdr:rowOff>100012</xdr:rowOff>
    </xdr:from>
    <xdr:to>
      <xdr:col>16</xdr:col>
      <xdr:colOff>123825</xdr:colOff>
      <xdr:row>31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4EB8FA-944B-0310-CE2A-93FE85459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576262</xdr:colOff>
      <xdr:row>33</xdr:row>
      <xdr:rowOff>166687</xdr:rowOff>
    </xdr:from>
    <xdr:to>
      <xdr:col>16</xdr:col>
      <xdr:colOff>90487</xdr:colOff>
      <xdr:row>48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D94633-F2F5-DC14-0ACA-98A3BB849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633412</xdr:colOff>
      <xdr:row>1</xdr:row>
      <xdr:rowOff>176212</xdr:rowOff>
    </xdr:from>
    <xdr:to>
      <xdr:col>16</xdr:col>
      <xdr:colOff>147637</xdr:colOff>
      <xdr:row>16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41CABE-2B8C-422C-B6D1-66CB915FC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609600</xdr:colOff>
      <xdr:row>17</xdr:row>
      <xdr:rowOff>100012</xdr:rowOff>
    </xdr:from>
    <xdr:to>
      <xdr:col>16</xdr:col>
      <xdr:colOff>123825</xdr:colOff>
      <xdr:row>31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687278-33ED-4AF6-9029-16679FB37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576262</xdr:colOff>
      <xdr:row>33</xdr:row>
      <xdr:rowOff>166687</xdr:rowOff>
    </xdr:from>
    <xdr:to>
      <xdr:col>16</xdr:col>
      <xdr:colOff>90487</xdr:colOff>
      <xdr:row>48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2D8E94-B0D5-47FB-A725-F3091A84D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amilo%20U\15avo%20Semestre\Monitorias\Encuesta%20Factores\Factores%20Estudiantes.xlsx" TargetMode="External"/><Relationship Id="rId1" Type="http://schemas.openxmlformats.org/officeDocument/2006/relationships/externalLinkPath" Target="Factores%20Estudia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2-P"/>
      <sheetName val="FACTOR2-I"/>
      <sheetName val="FACTOR3-P"/>
      <sheetName val="FACTOR3-I"/>
      <sheetName val="FACTOR5-P"/>
      <sheetName val="FACTOR5-I"/>
      <sheetName val="FACTOR6-P"/>
      <sheetName val="FACTOR6-I"/>
      <sheetName val="FACTOR7-P "/>
      <sheetName val="FACTOR7-I"/>
      <sheetName val="FACTOR8-P"/>
      <sheetName val="FACTOR8-I"/>
      <sheetName val="FACTOR9-P"/>
      <sheetName val="FACTOR9-I"/>
      <sheetName val="FACTOR10-P"/>
      <sheetName val="FACTOR10-I"/>
      <sheetName val="FACTOR11-P"/>
      <sheetName val="FACTOR11-I"/>
      <sheetName val="FACTOR12-P"/>
      <sheetName val="FACTOR12-I"/>
      <sheetName val="Graficos-P"/>
      <sheetName val="Graficos-I"/>
    </sheetNames>
    <sheetDataSet>
      <sheetData sheetId="0">
        <row r="1">
          <cell r="A1" t="str">
            <v>Considero que mi participación en actividades de investigación, desarrollo tecnológico, creación artística, culturales, deportivas y de extensión ha contribuido a mi desarrollo integral como persona</v>
          </cell>
        </row>
      </sheetData>
      <sheetData sheetId="1">
        <row r="3">
          <cell r="G3">
            <v>0.35496183206106868</v>
          </cell>
        </row>
      </sheetData>
      <sheetData sheetId="2">
        <row r="1">
          <cell r="A1" t="str">
            <v>Considero que el material académico producido por los docentes es pertinente y adecuado con las necesidades y objetivos de la Maestría en Ciencias de la Información y las Comunicaciones.</v>
          </cell>
        </row>
      </sheetData>
      <sheetData sheetId="3">
        <row r="3">
          <cell r="G3">
            <v>0.5</v>
          </cell>
        </row>
      </sheetData>
      <sheetData sheetId="4">
        <row r="1">
          <cell r="A1" t="str">
            <v>Considero que las estrategias de flexibilidad curricular me han permitido personalizar mi formación de acuerdo con mis objetivos profesionales y académicos.</v>
          </cell>
        </row>
      </sheetData>
      <sheetData sheetId="5">
        <row r="3">
          <cell r="G3">
            <v>0.25595238095238093</v>
          </cell>
        </row>
      </sheetData>
      <sheetData sheetId="6">
        <row r="1">
          <cell r="A1" t="str">
            <v>Considero que las intervenciones y el apoyo proporcionados para alertarme de forma temprana, han sido útiles para mejorar mi rendimiento académico y facilitar mi progreso hacia la graduación.</v>
          </cell>
        </row>
        <row r="3">
          <cell r="G3">
            <v>1</v>
          </cell>
        </row>
      </sheetData>
      <sheetData sheetId="7" refreshError="1"/>
      <sheetData sheetId="8">
        <row r="1">
          <cell r="A1" t="str">
            <v>Considero que la interacción con homólogos nacionales e internacionales ha mejorado mis competencias académicas y científicas, así como las oportunidades de desarrollo profesional.</v>
          </cell>
        </row>
        <row r="3">
          <cell r="G3">
            <v>1</v>
          </cell>
        </row>
      </sheetData>
      <sheetData sheetId="9" refreshError="1"/>
      <sheetData sheetId="10">
        <row r="1">
          <cell r="A1" t="str">
            <v>Considero que la Maestría en Ciencias de la Información y las Comunicaciones me proporciona una formación adecuada para la investigación, fomentando el desarrollo de un pensamiento crítico, creativo e innovador</v>
          </cell>
        </row>
        <row r="3">
          <cell r="G3">
            <v>1</v>
          </cell>
        </row>
      </sheetData>
      <sheetData sheetId="11" refreshError="1"/>
      <sheetData sheetId="12">
        <row r="1">
          <cell r="A1" t="str">
            <v>Considero que las políticas, programas y servicios de bienestar implementados en Maestría en Ciencias de la Información y las Comunicaciones son coherentes con las condiciones y necesidades específica</v>
          </cell>
        </row>
      </sheetData>
      <sheetData sheetId="13" refreshError="1"/>
      <sheetData sheetId="14">
        <row r="1">
          <cell r="A1" t="str">
            <v>Considero que los espacios, recurso, herramientas y equipos de apoyo ofrecidos son pertinentes y se ajustan adecuadamente a mis necesidades formativas en los diferentes contextos que requiero.</v>
          </cell>
        </row>
      </sheetData>
      <sheetData sheetId="15">
        <row r="3">
          <cell r="G3">
            <v>0.5</v>
          </cell>
        </row>
      </sheetData>
      <sheetData sheetId="16">
        <row r="1">
          <cell r="A1" t="str">
            <v>Considero que el representante estudiantil en los diferentes escenarios institucionales ha sido valorada y ha influido en las decisiones orientadas al mejoramiento de la Maestría en Ciencias de la Información</v>
          </cell>
        </row>
      </sheetData>
      <sheetData sheetId="17">
        <row r="3">
          <cell r="G3">
            <v>0.28870292887029286</v>
          </cell>
        </row>
      </sheetData>
      <sheetData sheetId="18">
        <row r="1">
          <cell r="A1" t="str">
            <v>Considero que los recursos informáticos disponibles, corresponden  adecuadamente con las 
necesidades tecnológicas de la Maestria de ciencias de la información y las comunicaciones y de sus miembros (profesores y 
estudiantes)</v>
          </cell>
        </row>
      </sheetData>
      <sheetData sheetId="19" refreshError="1"/>
      <sheetData sheetId="20" refreshError="1"/>
      <sheetData sheetId="21">
        <row r="3">
          <cell r="A3" t="str">
            <v>Considero que mi participación en actividades de investigación, desarrollo tecnológico, creación artística, culturales, deportivas y de extensión ha contribuido a mi desarrollo integral como persona</v>
          </cell>
          <cell r="B3">
            <v>0.35496183206106868</v>
          </cell>
        </row>
        <row r="4">
          <cell r="A4" t="str">
            <v>Considero que el reglamento estudiantil y las políticas académicas del programa son pertinentes y están actualizadas.</v>
          </cell>
          <cell r="B4">
            <v>0.30916030534351147</v>
          </cell>
        </row>
        <row r="5">
          <cell r="A5" t="str">
            <v>Considero que los criterios para la concesión de estímulos académicos y apoyos socioeconómicos, son claros y justos.</v>
          </cell>
          <cell r="B5">
            <v>0.33587786259541985</v>
          </cell>
        </row>
        <row r="9">
          <cell r="A9" t="str">
            <v>Considero que el material académico producido por los docentes es pertinente y adecuado con las necesidades y objetivos de la Maestría en Ciencias de la Información y las Comunicaciones.</v>
          </cell>
          <cell r="B9">
            <v>0.5</v>
          </cell>
        </row>
        <row r="10">
          <cell r="A10" t="str">
            <v>Considero que los criterios y mecanismos utilizados para la evaluación de los profesores son transparentes, accesibles y eficaces</v>
          </cell>
          <cell r="B10">
            <v>0.5</v>
          </cell>
        </row>
        <row r="14">
          <cell r="A14" t="str">
            <v>Considero que las estrategias de flexibilidad curricular me han permitido personalizar mi formación de acuerdo con mis objetivos profesionales y académicos.</v>
          </cell>
          <cell r="B14">
            <v>0.25595238095238093</v>
          </cell>
        </row>
        <row r="15">
          <cell r="A15" t="str">
            <v>Considero que las estrategias pedagógicas y escenarios de práctica utilizadas en la Maestría en Ciencias de la Información y las Comunicaciones son coherentes y efectivas para facilitar los resultados</v>
          </cell>
          <cell r="B15">
            <v>0.25297619047619047</v>
          </cell>
        </row>
        <row r="16">
          <cell r="A16" t="str">
            <v>Considero que los sistemas de evaluación de los resultados de aprendizaje permiten una realimentación efectiva que contribuye a la mejora continua de la formación en los estudiantes.</v>
          </cell>
          <cell r="B16">
            <v>0.25</v>
          </cell>
        </row>
        <row r="17">
          <cell r="A17" t="str">
            <v>Considero que el proceso de evaluación y autorregulación de la Maestría en Ciencias de la Información y las Comunicaciones tiene en cuenta de manera efectiva las necesidades y expectativas de los estudiantes</v>
          </cell>
          <cell r="B17">
            <v>0.24107142857142858</v>
          </cell>
        </row>
        <row r="35">
          <cell r="A35" t="str">
            <v>Considero que los espacios, recurso, herramientas y equipos de apoyo ofrecidos son pertinentes y se ajustan adecuadamente a mis necesidades formativas en los diferentes contextos que requiero.</v>
          </cell>
          <cell r="B35">
            <v>0.5</v>
          </cell>
        </row>
        <row r="36">
          <cell r="A36" t="str">
            <v>Considero que el material bibliográfico y de información disponible en la Maestría en Ciencias de la Información y las Comunicaciones es pertinente y adecuado para apoyar el desarrollo de las distinta</v>
          </cell>
          <cell r="B36">
            <v>0.5</v>
          </cell>
        </row>
        <row r="39">
          <cell r="A39" t="str">
            <v>Considero que el representante estudiantil en los diferentes escenarios institucionales ha sido valorada y ha influido en las decisiones orientadas al mejoramiento de la Maestría en Ciencias de la Información</v>
          </cell>
          <cell r="B39">
            <v>0.28870292887029286</v>
          </cell>
        </row>
        <row r="40">
          <cell r="A40" t="str">
            <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v>
          </cell>
          <cell r="B40">
            <v>0.33891213389121339</v>
          </cell>
        </row>
        <row r="41">
          <cell r="A41" t="str">
            <v xml:space="preserve"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v>
          </cell>
          <cell r="B41">
            <v>0.3723849372384937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A436-233E-4870-9F31-717BBF657265}">
  <dimension ref="A1:J20"/>
  <sheetViews>
    <sheetView workbookViewId="0">
      <selection activeCell="A10" sqref="A10:J10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2</v>
      </c>
      <c r="D3">
        <v>5</v>
      </c>
      <c r="E3">
        <f t="shared" ref="E3:E7" si="0">C3*D3</f>
        <v>10</v>
      </c>
      <c r="F3" s="10">
        <f>SUM(E3:E7)</f>
        <v>18</v>
      </c>
      <c r="G3" s="2">
        <f>F3/$F$20</f>
        <v>0.48648648648648651</v>
      </c>
      <c r="H3" s="10">
        <f>SUM(E3:E7)/SUM(C3:C7)</f>
        <v>3.6</v>
      </c>
    </row>
    <row r="4" spans="1:10">
      <c r="A4" t="s">
        <v>7</v>
      </c>
      <c r="B4">
        <v>4</v>
      </c>
      <c r="C4">
        <v>1</v>
      </c>
      <c r="D4">
        <v>4</v>
      </c>
      <c r="E4">
        <f t="shared" si="0"/>
        <v>4</v>
      </c>
      <c r="F4" s="10"/>
      <c r="G4" s="2"/>
      <c r="H4" s="10"/>
    </row>
    <row r="5" spans="1:10">
      <c r="A5" t="s">
        <v>8</v>
      </c>
      <c r="B5">
        <v>3</v>
      </c>
      <c r="C5">
        <v>0</v>
      </c>
      <c r="D5">
        <v>3</v>
      </c>
      <c r="E5">
        <f t="shared" si="0"/>
        <v>0</v>
      </c>
      <c r="F5" s="10"/>
      <c r="G5" s="2"/>
      <c r="H5" s="10"/>
    </row>
    <row r="6" spans="1:10">
      <c r="A6" t="s">
        <v>9</v>
      </c>
      <c r="B6">
        <v>2</v>
      </c>
      <c r="C6">
        <v>2</v>
      </c>
      <c r="D6">
        <v>2</v>
      </c>
      <c r="E6">
        <f t="shared" si="0"/>
        <v>4</v>
      </c>
      <c r="F6" s="10"/>
      <c r="G6" s="2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2"/>
      <c r="H7" s="10"/>
    </row>
    <row r="10" spans="1:10">
      <c r="A10" s="11" t="s">
        <v>11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t="s">
        <v>1</v>
      </c>
      <c r="B11" t="s">
        <v>2</v>
      </c>
      <c r="C11" t="s">
        <v>3</v>
      </c>
      <c r="D11" t="s">
        <v>4</v>
      </c>
      <c r="H11" t="s">
        <v>5</v>
      </c>
    </row>
    <row r="12" spans="1:10">
      <c r="A12" t="s">
        <v>6</v>
      </c>
      <c r="B12">
        <v>5</v>
      </c>
      <c r="C12">
        <v>1</v>
      </c>
      <c r="D12">
        <v>5</v>
      </c>
      <c r="E12">
        <f>C12*D12</f>
        <v>5</v>
      </c>
      <c r="F12" s="10">
        <f>SUM(E12:E16)</f>
        <v>19</v>
      </c>
      <c r="G12" s="2">
        <f>F12/$F$20</f>
        <v>0.51351351351351349</v>
      </c>
      <c r="H12" s="10">
        <f>SUM(E12:E16)/SUM(C12:C16)</f>
        <v>3.8</v>
      </c>
    </row>
    <row r="13" spans="1:10">
      <c r="A13" t="s">
        <v>7</v>
      </c>
      <c r="B13">
        <v>4</v>
      </c>
      <c r="C13">
        <v>3</v>
      </c>
      <c r="D13">
        <v>4</v>
      </c>
      <c r="E13">
        <f t="shared" ref="E13:E16" si="1">C13*D13</f>
        <v>12</v>
      </c>
      <c r="F13" s="10"/>
      <c r="G13" s="2"/>
      <c r="H13" s="10"/>
    </row>
    <row r="14" spans="1:10">
      <c r="A14" t="s">
        <v>8</v>
      </c>
      <c r="B14">
        <v>3</v>
      </c>
      <c r="C14">
        <v>0</v>
      </c>
      <c r="D14">
        <v>3</v>
      </c>
      <c r="E14">
        <f t="shared" si="1"/>
        <v>0</v>
      </c>
      <c r="F14" s="10"/>
      <c r="G14" s="2"/>
      <c r="H14" s="10"/>
    </row>
    <row r="15" spans="1:10">
      <c r="A15" t="s">
        <v>9</v>
      </c>
      <c r="B15">
        <v>2</v>
      </c>
      <c r="C15">
        <v>1</v>
      </c>
      <c r="D15">
        <v>2</v>
      </c>
      <c r="E15">
        <f t="shared" si="1"/>
        <v>2</v>
      </c>
      <c r="F15" s="10"/>
      <c r="G15" s="2"/>
      <c r="H15" s="10"/>
    </row>
    <row r="16" spans="1:10">
      <c r="A16" t="s">
        <v>10</v>
      </c>
      <c r="B16">
        <v>1</v>
      </c>
      <c r="C16">
        <v>0</v>
      </c>
      <c r="D16">
        <v>1</v>
      </c>
      <c r="E16">
        <f t="shared" si="1"/>
        <v>0</v>
      </c>
      <c r="F16" s="10"/>
      <c r="G16" s="2"/>
      <c r="H16" s="10"/>
    </row>
    <row r="20" spans="6:8">
      <c r="F20">
        <f>F3+F12</f>
        <v>37</v>
      </c>
      <c r="G20" s="1">
        <f>G3+G12</f>
        <v>1</v>
      </c>
      <c r="H20">
        <f>AVERAGE(H3,H12)</f>
        <v>3.7</v>
      </c>
    </row>
  </sheetData>
  <mergeCells count="6">
    <mergeCell ref="A1:J1"/>
    <mergeCell ref="F3:F7"/>
    <mergeCell ref="H3:H7"/>
    <mergeCell ref="A10:J10"/>
    <mergeCell ref="F12:F16"/>
    <mergeCell ref="H12:H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B293-2061-4237-976F-991C3F08EA94}">
  <dimension ref="A1:J20"/>
  <sheetViews>
    <sheetView topLeftCell="C4" workbookViewId="0">
      <selection activeCell="A12" sqref="A12:B16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11</v>
      </c>
      <c r="D3">
        <v>5</v>
      </c>
      <c r="E3">
        <f t="shared" ref="E3:E7" si="0">C3*D3</f>
        <v>55</v>
      </c>
      <c r="F3" s="10">
        <f>SUM(E3:E7)</f>
        <v>79</v>
      </c>
      <c r="G3" s="2">
        <f>F3/$F$20</f>
        <v>0.5</v>
      </c>
      <c r="H3" s="10">
        <f>SUM(E3:E7)/SUM(C3:C7)</f>
        <v>4.6470588235294121</v>
      </c>
    </row>
    <row r="4" spans="1:10">
      <c r="A4" t="s">
        <v>7</v>
      </c>
      <c r="B4">
        <v>4</v>
      </c>
      <c r="C4">
        <v>6</v>
      </c>
      <c r="D4">
        <v>4</v>
      </c>
      <c r="E4">
        <f t="shared" si="0"/>
        <v>24</v>
      </c>
      <c r="F4" s="10"/>
      <c r="G4" s="2"/>
      <c r="H4" s="10"/>
    </row>
    <row r="5" spans="1:10">
      <c r="A5" t="s">
        <v>8</v>
      </c>
      <c r="B5">
        <v>3</v>
      </c>
      <c r="C5">
        <v>0</v>
      </c>
      <c r="D5">
        <v>3</v>
      </c>
      <c r="E5">
        <f t="shared" si="0"/>
        <v>0</v>
      </c>
      <c r="F5" s="10"/>
      <c r="G5" s="2"/>
      <c r="H5" s="10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10"/>
      <c r="G6" s="2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2"/>
      <c r="H7" s="10"/>
    </row>
    <row r="10" spans="1:10">
      <c r="A10" s="11" t="s">
        <v>11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t="s">
        <v>1</v>
      </c>
      <c r="B11" t="s">
        <v>2</v>
      </c>
      <c r="C11" t="s">
        <v>3</v>
      </c>
      <c r="D11" t="s">
        <v>4</v>
      </c>
      <c r="H11" t="s">
        <v>5</v>
      </c>
    </row>
    <row r="12" spans="1:10">
      <c r="A12" t="s">
        <v>6</v>
      </c>
      <c r="B12">
        <v>5</v>
      </c>
      <c r="C12">
        <v>12</v>
      </c>
      <c r="D12">
        <v>5</v>
      </c>
      <c r="E12">
        <f>C12*D12</f>
        <v>60</v>
      </c>
      <c r="F12" s="10">
        <f>SUM(E12:E16)</f>
        <v>79</v>
      </c>
      <c r="G12" s="2">
        <f>F12/$F$20</f>
        <v>0.5</v>
      </c>
      <c r="H12" s="10">
        <f>SUM(E12:E16)/SUM(C12:C16)</f>
        <v>4.6470588235294121</v>
      </c>
    </row>
    <row r="13" spans="1:10">
      <c r="A13" t="s">
        <v>7</v>
      </c>
      <c r="B13">
        <v>4</v>
      </c>
      <c r="C13">
        <v>4</v>
      </c>
      <c r="D13">
        <v>4</v>
      </c>
      <c r="E13">
        <f t="shared" ref="E13:E16" si="1">C13*D13</f>
        <v>16</v>
      </c>
      <c r="F13" s="10"/>
      <c r="G13" s="2"/>
      <c r="H13" s="10"/>
    </row>
    <row r="14" spans="1:10">
      <c r="A14" t="s">
        <v>8</v>
      </c>
      <c r="B14">
        <v>3</v>
      </c>
      <c r="C14">
        <v>1</v>
      </c>
      <c r="D14">
        <v>3</v>
      </c>
      <c r="E14">
        <f t="shared" si="1"/>
        <v>3</v>
      </c>
      <c r="F14" s="10"/>
      <c r="G14" s="2"/>
      <c r="H14" s="10"/>
    </row>
    <row r="15" spans="1:10">
      <c r="A15" t="s">
        <v>9</v>
      </c>
      <c r="B15">
        <v>2</v>
      </c>
      <c r="C15">
        <v>0</v>
      </c>
      <c r="D15">
        <v>2</v>
      </c>
      <c r="E15">
        <f t="shared" si="1"/>
        <v>0</v>
      </c>
      <c r="F15" s="10"/>
      <c r="G15" s="2"/>
      <c r="H15" s="10"/>
    </row>
    <row r="16" spans="1:10">
      <c r="A16" t="s">
        <v>10</v>
      </c>
      <c r="B16">
        <v>1</v>
      </c>
      <c r="C16">
        <v>0</v>
      </c>
      <c r="D16">
        <v>1</v>
      </c>
      <c r="E16">
        <f t="shared" si="1"/>
        <v>0</v>
      </c>
      <c r="F16" s="10"/>
      <c r="G16" s="2"/>
      <c r="H16" s="10"/>
    </row>
    <row r="20" spans="6:8">
      <c r="F20">
        <f>F3+F12</f>
        <v>158</v>
      </c>
      <c r="G20" s="1">
        <f>G3+G12</f>
        <v>1</v>
      </c>
      <c r="H20">
        <f>AVERAGE(H3,H12)</f>
        <v>4.6470588235294121</v>
      </c>
    </row>
  </sheetData>
  <mergeCells count="6">
    <mergeCell ref="A1:J1"/>
    <mergeCell ref="F3:F7"/>
    <mergeCell ref="H3:H7"/>
    <mergeCell ref="A10:J10"/>
    <mergeCell ref="F12:F16"/>
    <mergeCell ref="H12:H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6441-C1A8-4039-A2C2-01505ED7A607}">
  <dimension ref="A1:J13"/>
  <sheetViews>
    <sheetView workbookViewId="0">
      <selection activeCell="A3" sqref="A3:B7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2</v>
      </c>
      <c r="D3">
        <v>5</v>
      </c>
      <c r="E3">
        <f t="shared" ref="E3:E7" si="0">C3*D3</f>
        <v>10</v>
      </c>
      <c r="F3" s="10">
        <f>SUM(E3:E7)</f>
        <v>20</v>
      </c>
      <c r="G3" s="2">
        <f>F3/$F$13</f>
        <v>1</v>
      </c>
      <c r="H3" s="10">
        <f>SUM(E3:E7)/SUM(C3:C7)</f>
        <v>4</v>
      </c>
    </row>
    <row r="4" spans="1:10">
      <c r="A4" t="s">
        <v>7</v>
      </c>
      <c r="B4">
        <v>4</v>
      </c>
      <c r="C4">
        <v>2</v>
      </c>
      <c r="D4">
        <v>4</v>
      </c>
      <c r="E4">
        <f t="shared" si="0"/>
        <v>8</v>
      </c>
      <c r="F4" s="10"/>
      <c r="G4" s="2"/>
      <c r="H4" s="10"/>
    </row>
    <row r="5" spans="1:10">
      <c r="A5" t="s">
        <v>8</v>
      </c>
      <c r="B5">
        <v>3</v>
      </c>
      <c r="C5">
        <v>0</v>
      </c>
      <c r="D5">
        <v>3</v>
      </c>
      <c r="E5">
        <f t="shared" si="0"/>
        <v>0</v>
      </c>
      <c r="F5" s="10"/>
      <c r="G5" s="2"/>
      <c r="H5" s="10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10"/>
      <c r="G6" s="2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2"/>
      <c r="H7" s="10"/>
    </row>
    <row r="13" spans="1:10">
      <c r="F13">
        <f>F3</f>
        <v>20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0380-EB6D-4026-B37D-5D793C590139}">
  <dimension ref="A1:J13"/>
  <sheetViews>
    <sheetView workbookViewId="0">
      <selection activeCell="A3" sqref="A3:B7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9</v>
      </c>
      <c r="D3">
        <v>5</v>
      </c>
      <c r="E3">
        <f t="shared" ref="E3:E7" si="0">C3*D3</f>
        <v>45</v>
      </c>
      <c r="F3" s="10">
        <f>SUM(E3:E7)</f>
        <v>73</v>
      </c>
      <c r="G3" s="2">
        <f>F3/$F$13</f>
        <v>1</v>
      </c>
      <c r="H3" s="10">
        <f>SUM(E3:E7)/SUM(C3:C7)</f>
        <v>4.2941176470588234</v>
      </c>
    </row>
    <row r="4" spans="1:10">
      <c r="A4" t="s">
        <v>7</v>
      </c>
      <c r="B4">
        <v>4</v>
      </c>
      <c r="C4">
        <v>5</v>
      </c>
      <c r="D4">
        <v>4</v>
      </c>
      <c r="E4">
        <f t="shared" si="0"/>
        <v>20</v>
      </c>
      <c r="F4" s="10"/>
      <c r="G4" s="2"/>
      <c r="H4" s="10"/>
    </row>
    <row r="5" spans="1:10">
      <c r="A5" t="s">
        <v>8</v>
      </c>
      <c r="B5">
        <v>3</v>
      </c>
      <c r="C5">
        <v>2</v>
      </c>
      <c r="D5">
        <v>3</v>
      </c>
      <c r="E5">
        <f t="shared" si="0"/>
        <v>6</v>
      </c>
      <c r="F5" s="10"/>
      <c r="G5" s="2"/>
      <c r="H5" s="10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10"/>
      <c r="G6" s="2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2"/>
      <c r="H7" s="10"/>
    </row>
    <row r="13" spans="1:10">
      <c r="F13">
        <f>F3</f>
        <v>73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F7CE-B1BB-420E-9FA7-581C906A7D69}">
  <dimension ref="A1:J13"/>
  <sheetViews>
    <sheetView workbookViewId="0">
      <selection sqref="A1:J1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0</v>
      </c>
      <c r="D3">
        <v>5</v>
      </c>
      <c r="E3">
        <f t="shared" ref="E3:E7" si="0">C3*D3</f>
        <v>0</v>
      </c>
      <c r="F3" s="10">
        <f>SUM(E3:E7)</f>
        <v>15</v>
      </c>
      <c r="G3" s="2">
        <f>F3/$F$13</f>
        <v>1</v>
      </c>
      <c r="H3" s="10">
        <f>SUM(E3:E7)/SUM(C3:C7)</f>
        <v>3</v>
      </c>
    </row>
    <row r="4" spans="1:10">
      <c r="A4" t="s">
        <v>7</v>
      </c>
      <c r="B4">
        <v>4</v>
      </c>
      <c r="C4">
        <v>1</v>
      </c>
      <c r="D4">
        <v>4</v>
      </c>
      <c r="E4">
        <f t="shared" si="0"/>
        <v>4</v>
      </c>
      <c r="F4" s="10"/>
      <c r="G4" s="2"/>
      <c r="H4" s="10"/>
    </row>
    <row r="5" spans="1:10">
      <c r="A5" t="s">
        <v>8</v>
      </c>
      <c r="B5">
        <v>3</v>
      </c>
      <c r="C5">
        <v>3</v>
      </c>
      <c r="D5">
        <v>3</v>
      </c>
      <c r="E5">
        <f t="shared" si="0"/>
        <v>9</v>
      </c>
      <c r="F5" s="10"/>
      <c r="G5" s="2"/>
      <c r="H5" s="10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10"/>
      <c r="G6" s="2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2"/>
      <c r="H7" s="10"/>
    </row>
    <row r="13" spans="1:10">
      <c r="F13">
        <f>F3</f>
        <v>15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311C-9452-459C-B6CD-6FDE4FCF4DDE}">
  <dimension ref="A1:J13"/>
  <sheetViews>
    <sheetView workbookViewId="0">
      <selection activeCell="C3" sqref="C3:C8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7</v>
      </c>
      <c r="D3">
        <v>5</v>
      </c>
      <c r="E3">
        <f t="shared" ref="E3:E7" si="0">C3*D3</f>
        <v>35</v>
      </c>
      <c r="F3" s="10">
        <f>SUM(E3:E7)</f>
        <v>73</v>
      </c>
      <c r="G3" s="2">
        <f>F3/$F$13</f>
        <v>1</v>
      </c>
      <c r="H3" s="10">
        <f>SUM(E3:E7)/SUM(C3:C7)</f>
        <v>4.2941176470588234</v>
      </c>
    </row>
    <row r="4" spans="1:10">
      <c r="A4" t="s">
        <v>7</v>
      </c>
      <c r="B4">
        <v>4</v>
      </c>
      <c r="C4">
        <v>8</v>
      </c>
      <c r="D4">
        <v>4</v>
      </c>
      <c r="E4">
        <f t="shared" si="0"/>
        <v>32</v>
      </c>
      <c r="F4" s="10"/>
      <c r="G4" s="2"/>
      <c r="H4" s="10"/>
    </row>
    <row r="5" spans="1:10">
      <c r="A5" t="s">
        <v>8</v>
      </c>
      <c r="B5">
        <v>3</v>
      </c>
      <c r="C5">
        <v>2</v>
      </c>
      <c r="D5">
        <v>3</v>
      </c>
      <c r="E5">
        <f t="shared" si="0"/>
        <v>6</v>
      </c>
      <c r="F5" s="10"/>
      <c r="G5" s="2"/>
      <c r="H5" s="10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10"/>
      <c r="G6" s="2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2"/>
      <c r="H7" s="10"/>
    </row>
    <row r="13" spans="1:10">
      <c r="F13">
        <f>F3</f>
        <v>73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55A6-0BBD-4FF3-A75A-38E855269EB4}">
  <dimension ref="A1:J13"/>
  <sheetViews>
    <sheetView topLeftCell="A7" workbookViewId="0">
      <selection sqref="A1:J1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0</v>
      </c>
      <c r="D3">
        <v>5</v>
      </c>
      <c r="E3">
        <f t="shared" ref="E3:E7" si="0">C3*D3</f>
        <v>0</v>
      </c>
      <c r="F3" s="10">
        <f>SUM(E3:E7)</f>
        <v>12</v>
      </c>
      <c r="G3" s="2">
        <f>F3/$F$13</f>
        <v>1</v>
      </c>
      <c r="H3" s="10">
        <f>SUM(E3:E7)/SUM(C3:C7)</f>
        <v>2.4</v>
      </c>
    </row>
    <row r="4" spans="1:10">
      <c r="A4" t="s">
        <v>7</v>
      </c>
      <c r="B4">
        <v>4</v>
      </c>
      <c r="C4">
        <v>1</v>
      </c>
      <c r="D4">
        <v>4</v>
      </c>
      <c r="E4">
        <f t="shared" si="0"/>
        <v>4</v>
      </c>
      <c r="F4" s="10"/>
      <c r="G4" s="2"/>
      <c r="H4" s="10"/>
    </row>
    <row r="5" spans="1:10">
      <c r="A5" t="s">
        <v>8</v>
      </c>
      <c r="B5">
        <v>3</v>
      </c>
      <c r="C5">
        <v>2</v>
      </c>
      <c r="D5">
        <v>3</v>
      </c>
      <c r="E5">
        <f t="shared" si="0"/>
        <v>6</v>
      </c>
      <c r="F5" s="10"/>
      <c r="G5" s="2"/>
      <c r="H5" s="10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10"/>
      <c r="G6" s="2"/>
      <c r="H6" s="10"/>
    </row>
    <row r="7" spans="1:10">
      <c r="A7" t="s">
        <v>10</v>
      </c>
      <c r="B7">
        <v>1</v>
      </c>
      <c r="C7">
        <v>2</v>
      </c>
      <c r="D7">
        <v>1</v>
      </c>
      <c r="E7">
        <f t="shared" si="0"/>
        <v>2</v>
      </c>
      <c r="F7" s="10"/>
      <c r="G7" s="2"/>
      <c r="H7" s="10"/>
    </row>
    <row r="13" spans="1:10">
      <c r="F13">
        <f>F3</f>
        <v>12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6842-7C67-44CD-92FA-6490B1F8C543}">
  <dimension ref="A1:J13"/>
  <sheetViews>
    <sheetView workbookViewId="0">
      <selection activeCell="B12" sqref="B12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4</v>
      </c>
      <c r="D3">
        <v>5</v>
      </c>
      <c r="E3">
        <f t="shared" ref="E3:E7" si="0">C3*D3</f>
        <v>20</v>
      </c>
      <c r="F3" s="10">
        <f>SUM(E3:E7)</f>
        <v>61</v>
      </c>
      <c r="G3" s="2">
        <f>F3/$F$13</f>
        <v>1</v>
      </c>
      <c r="H3" s="10">
        <f>SUM(E3:E7)/SUM(C3:C7)</f>
        <v>3.5882352941176472</v>
      </c>
    </row>
    <row r="4" spans="1:10">
      <c r="A4" t="s">
        <v>7</v>
      </c>
      <c r="B4">
        <v>4</v>
      </c>
      <c r="C4">
        <v>4</v>
      </c>
      <c r="D4">
        <v>4</v>
      </c>
      <c r="E4">
        <f t="shared" si="0"/>
        <v>16</v>
      </c>
      <c r="F4" s="10"/>
      <c r="G4" s="2"/>
      <c r="H4" s="10"/>
    </row>
    <row r="5" spans="1:10">
      <c r="A5" t="s">
        <v>8</v>
      </c>
      <c r="B5">
        <v>3</v>
      </c>
      <c r="C5">
        <v>7</v>
      </c>
      <c r="D5">
        <v>3</v>
      </c>
      <c r="E5">
        <f t="shared" si="0"/>
        <v>21</v>
      </c>
      <c r="F5" s="10"/>
      <c r="G5" s="2"/>
      <c r="H5" s="10"/>
    </row>
    <row r="6" spans="1:10">
      <c r="A6" t="s">
        <v>9</v>
      </c>
      <c r="B6">
        <v>2</v>
      </c>
      <c r="C6">
        <v>2</v>
      </c>
      <c r="D6">
        <v>2</v>
      </c>
      <c r="E6">
        <f t="shared" si="0"/>
        <v>4</v>
      </c>
      <c r="F6" s="10"/>
      <c r="G6" s="2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2"/>
      <c r="H7" s="10"/>
    </row>
    <row r="13" spans="1:10">
      <c r="F13">
        <f>F3</f>
        <v>61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AB49-F724-4574-9748-A78338A80EA5}">
  <dimension ref="A1:J46"/>
  <sheetViews>
    <sheetView topLeftCell="B1" workbookViewId="0">
      <selection activeCell="C47" sqref="C47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16</v>
      </c>
      <c r="B3">
        <v>5</v>
      </c>
      <c r="C3">
        <v>0</v>
      </c>
      <c r="D3">
        <v>5</v>
      </c>
      <c r="E3">
        <f t="shared" ref="E3:E7" si="0">C3*D3</f>
        <v>0</v>
      </c>
      <c r="F3" s="10">
        <f>SUM(E3:E7)</f>
        <v>11</v>
      </c>
      <c r="G3" s="2">
        <f>F3/$F$13</f>
        <v>1</v>
      </c>
      <c r="H3" s="10">
        <f>SUM(E3:E7)/SUM(C3:C7)</f>
        <v>2.2000000000000002</v>
      </c>
    </row>
    <row r="4" spans="1:10">
      <c r="A4" t="s">
        <v>17</v>
      </c>
      <c r="B4">
        <v>4</v>
      </c>
      <c r="C4">
        <v>0</v>
      </c>
      <c r="D4">
        <v>4</v>
      </c>
      <c r="E4">
        <f t="shared" si="0"/>
        <v>0</v>
      </c>
      <c r="F4" s="10"/>
      <c r="G4" s="2"/>
      <c r="H4" s="10"/>
    </row>
    <row r="5" spans="1:10">
      <c r="A5" t="s">
        <v>18</v>
      </c>
      <c r="B5">
        <v>3</v>
      </c>
      <c r="C5">
        <v>1</v>
      </c>
      <c r="D5">
        <v>3</v>
      </c>
      <c r="E5">
        <f t="shared" si="0"/>
        <v>3</v>
      </c>
      <c r="F5" s="10"/>
      <c r="G5" s="2"/>
      <c r="H5" s="10"/>
    </row>
    <row r="6" spans="1:10">
      <c r="A6" t="s">
        <v>19</v>
      </c>
      <c r="B6">
        <v>2</v>
      </c>
      <c r="C6">
        <v>4</v>
      </c>
      <c r="D6">
        <v>2</v>
      </c>
      <c r="E6">
        <f t="shared" si="0"/>
        <v>8</v>
      </c>
      <c r="F6" s="10"/>
      <c r="G6" s="2"/>
      <c r="H6" s="10"/>
    </row>
    <row r="7" spans="1:10">
      <c r="A7" t="s">
        <v>20</v>
      </c>
      <c r="B7">
        <v>1</v>
      </c>
      <c r="C7">
        <v>0</v>
      </c>
      <c r="D7">
        <v>1</v>
      </c>
      <c r="E7">
        <f t="shared" si="0"/>
        <v>0</v>
      </c>
      <c r="F7" s="10"/>
      <c r="G7" s="2"/>
      <c r="H7" s="10"/>
    </row>
    <row r="13" spans="1:10">
      <c r="F13">
        <f>F3</f>
        <v>11</v>
      </c>
      <c r="G13" s="1">
        <f>G3</f>
        <v>1</v>
      </c>
    </row>
    <row r="18" spans="1:10">
      <c r="A18" s="9" t="s">
        <v>21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t="s">
        <v>1</v>
      </c>
      <c r="B19" t="s">
        <v>2</v>
      </c>
      <c r="C19" t="s">
        <v>3</v>
      </c>
      <c r="D19" t="s">
        <v>4</v>
      </c>
      <c r="H19" t="s">
        <v>5</v>
      </c>
    </row>
    <row r="20" spans="1:10">
      <c r="A20" t="s">
        <v>6</v>
      </c>
      <c r="B20">
        <v>5</v>
      </c>
      <c r="C20">
        <v>1</v>
      </c>
      <c r="D20">
        <v>5</v>
      </c>
      <c r="E20">
        <f t="shared" ref="E20:E24" si="1">C20*D20</f>
        <v>5</v>
      </c>
      <c r="F20" s="10">
        <f>SUM(E20:E24)</f>
        <v>20</v>
      </c>
      <c r="G20" s="2">
        <f>F20/$F$30</f>
        <v>1</v>
      </c>
      <c r="H20" s="10">
        <f>SUM(E20:E24)/SUM(C20:C24)</f>
        <v>4</v>
      </c>
    </row>
    <row r="21" spans="1:10">
      <c r="A21" t="s">
        <v>7</v>
      </c>
      <c r="B21">
        <v>4</v>
      </c>
      <c r="C21">
        <v>3</v>
      </c>
      <c r="D21">
        <v>4</v>
      </c>
      <c r="E21">
        <f t="shared" si="1"/>
        <v>12</v>
      </c>
      <c r="F21" s="10"/>
      <c r="G21" s="2"/>
      <c r="H21" s="10"/>
    </row>
    <row r="22" spans="1:10">
      <c r="A22" t="s">
        <v>8</v>
      </c>
      <c r="B22">
        <v>3</v>
      </c>
      <c r="C22">
        <v>1</v>
      </c>
      <c r="D22">
        <v>3</v>
      </c>
      <c r="E22">
        <f t="shared" si="1"/>
        <v>3</v>
      </c>
      <c r="F22" s="10"/>
      <c r="G22" s="2"/>
      <c r="H22" s="10"/>
    </row>
    <row r="23" spans="1:10">
      <c r="A23" t="s">
        <v>9</v>
      </c>
      <c r="B23">
        <v>2</v>
      </c>
      <c r="C23">
        <v>0</v>
      </c>
      <c r="D23">
        <v>2</v>
      </c>
      <c r="E23">
        <f t="shared" si="1"/>
        <v>0</v>
      </c>
      <c r="F23" s="10"/>
      <c r="G23" s="2"/>
      <c r="H23" s="10"/>
    </row>
    <row r="24" spans="1:10">
      <c r="A24" t="s">
        <v>10</v>
      </c>
      <c r="B24">
        <v>1</v>
      </c>
      <c r="C24">
        <v>0</v>
      </c>
      <c r="D24">
        <v>1</v>
      </c>
      <c r="E24">
        <f t="shared" si="1"/>
        <v>0</v>
      </c>
      <c r="F24" s="10"/>
      <c r="G24" s="2"/>
      <c r="H24" s="10"/>
    </row>
    <row r="30" spans="1:10">
      <c r="F30">
        <f>F20</f>
        <v>20</v>
      </c>
      <c r="G30" s="1">
        <f>G20</f>
        <v>1</v>
      </c>
    </row>
    <row r="34" spans="1:10">
      <c r="A34" s="9" t="s">
        <v>22</v>
      </c>
      <c r="B34" s="9"/>
      <c r="C34" s="9"/>
      <c r="D34" s="9"/>
      <c r="E34" s="9"/>
      <c r="F34" s="9"/>
      <c r="G34" s="9"/>
      <c r="H34" s="9"/>
      <c r="I34" s="9"/>
      <c r="J34" s="9"/>
    </row>
    <row r="35" spans="1:10">
      <c r="A35" t="s">
        <v>1</v>
      </c>
      <c r="B35" t="s">
        <v>2</v>
      </c>
      <c r="C35" t="s">
        <v>3</v>
      </c>
      <c r="D35" t="s">
        <v>4</v>
      </c>
      <c r="H35" t="s">
        <v>5</v>
      </c>
    </row>
    <row r="36" spans="1:10">
      <c r="A36" t="s">
        <v>6</v>
      </c>
      <c r="B36">
        <v>5</v>
      </c>
      <c r="C36">
        <v>0</v>
      </c>
      <c r="D36">
        <v>5</v>
      </c>
      <c r="E36">
        <f t="shared" ref="E36:E40" si="2">C36*D36</f>
        <v>0</v>
      </c>
      <c r="F36" s="10">
        <f>SUM(E36:E40)</f>
        <v>17</v>
      </c>
      <c r="G36" s="2">
        <f>F36/$F$46</f>
        <v>1</v>
      </c>
      <c r="H36" s="10">
        <f>SUM(E36:E40)/SUM(C36:C40)</f>
        <v>3.4</v>
      </c>
    </row>
    <row r="37" spans="1:10">
      <c r="A37" t="s">
        <v>7</v>
      </c>
      <c r="B37">
        <v>4</v>
      </c>
      <c r="C37">
        <v>3</v>
      </c>
      <c r="D37">
        <v>4</v>
      </c>
      <c r="E37">
        <f t="shared" si="2"/>
        <v>12</v>
      </c>
      <c r="F37" s="10"/>
      <c r="G37" s="2"/>
      <c r="H37" s="10"/>
    </row>
    <row r="38" spans="1:10">
      <c r="A38" t="s">
        <v>8</v>
      </c>
      <c r="B38">
        <v>3</v>
      </c>
      <c r="C38">
        <v>1</v>
      </c>
      <c r="D38">
        <v>3</v>
      </c>
      <c r="E38">
        <f t="shared" si="2"/>
        <v>3</v>
      </c>
      <c r="F38" s="10"/>
      <c r="G38" s="2"/>
      <c r="H38" s="10"/>
    </row>
    <row r="39" spans="1:10">
      <c r="A39" t="s">
        <v>9</v>
      </c>
      <c r="B39">
        <v>2</v>
      </c>
      <c r="C39">
        <v>1</v>
      </c>
      <c r="D39">
        <v>2</v>
      </c>
      <c r="E39">
        <f t="shared" si="2"/>
        <v>2</v>
      </c>
      <c r="F39" s="10"/>
      <c r="G39" s="2"/>
      <c r="H39" s="10"/>
    </row>
    <row r="40" spans="1:10">
      <c r="A40" t="s">
        <v>10</v>
      </c>
      <c r="B40">
        <v>1</v>
      </c>
      <c r="C40">
        <v>0</v>
      </c>
      <c r="D40">
        <v>1</v>
      </c>
      <c r="E40">
        <f t="shared" si="2"/>
        <v>0</v>
      </c>
      <c r="F40" s="10"/>
      <c r="G40" s="2"/>
      <c r="H40" s="10"/>
    </row>
    <row r="46" spans="1:10">
      <c r="F46">
        <f>F36</f>
        <v>17</v>
      </c>
      <c r="G46" s="1">
        <f>G36</f>
        <v>1</v>
      </c>
    </row>
  </sheetData>
  <mergeCells count="9">
    <mergeCell ref="A34:J34"/>
    <mergeCell ref="F36:F40"/>
    <mergeCell ref="H36:H40"/>
    <mergeCell ref="A1:J1"/>
    <mergeCell ref="F3:F7"/>
    <mergeCell ref="H3:H7"/>
    <mergeCell ref="A18:J18"/>
    <mergeCell ref="F20:F24"/>
    <mergeCell ref="H20:H2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2BCC-D1D4-45D3-9CBA-9F5C0C6392A4}">
  <dimension ref="A1:J46"/>
  <sheetViews>
    <sheetView workbookViewId="0">
      <selection activeCell="C20" sqref="C20:C24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16</v>
      </c>
      <c r="B3">
        <v>5</v>
      </c>
      <c r="C3">
        <v>1</v>
      </c>
      <c r="D3">
        <v>5</v>
      </c>
      <c r="E3">
        <f t="shared" ref="E3:E7" si="0">C3*D3</f>
        <v>5</v>
      </c>
      <c r="F3" s="10">
        <f>SUM(E3:E7)</f>
        <v>53</v>
      </c>
      <c r="G3" s="2">
        <f>F3/$F$13</f>
        <v>1</v>
      </c>
      <c r="H3" s="10">
        <f>SUM(E3:E7)/SUM(C3:C7)</f>
        <v>3.1176470588235294</v>
      </c>
    </row>
    <row r="4" spans="1:10">
      <c r="A4" t="s">
        <v>17</v>
      </c>
      <c r="B4">
        <v>4</v>
      </c>
      <c r="C4">
        <v>7</v>
      </c>
      <c r="D4">
        <v>4</v>
      </c>
      <c r="E4">
        <f t="shared" si="0"/>
        <v>28</v>
      </c>
      <c r="F4" s="10"/>
      <c r="G4" s="2"/>
      <c r="H4" s="10"/>
    </row>
    <row r="5" spans="1:10">
      <c r="A5" t="s">
        <v>18</v>
      </c>
      <c r="B5">
        <v>3</v>
      </c>
      <c r="C5">
        <v>3</v>
      </c>
      <c r="D5">
        <v>3</v>
      </c>
      <c r="E5">
        <f t="shared" si="0"/>
        <v>9</v>
      </c>
      <c r="F5" s="10"/>
      <c r="G5" s="2"/>
      <c r="H5" s="10"/>
    </row>
    <row r="6" spans="1:10">
      <c r="A6" t="s">
        <v>19</v>
      </c>
      <c r="B6">
        <v>2</v>
      </c>
      <c r="C6">
        <v>5</v>
      </c>
      <c r="D6">
        <v>2</v>
      </c>
      <c r="E6">
        <f t="shared" si="0"/>
        <v>10</v>
      </c>
      <c r="F6" s="10"/>
      <c r="G6" s="2"/>
      <c r="H6" s="10"/>
    </row>
    <row r="7" spans="1:10">
      <c r="A7" t="s">
        <v>20</v>
      </c>
      <c r="B7">
        <v>1</v>
      </c>
      <c r="C7">
        <v>1</v>
      </c>
      <c r="D7">
        <v>1</v>
      </c>
      <c r="E7">
        <f t="shared" si="0"/>
        <v>1</v>
      </c>
      <c r="F7" s="10"/>
      <c r="G7" s="2"/>
      <c r="H7" s="10"/>
    </row>
    <row r="13" spans="1:10">
      <c r="F13">
        <f>F3</f>
        <v>53</v>
      </c>
      <c r="G13" s="1">
        <f>G3</f>
        <v>1</v>
      </c>
    </row>
    <row r="18" spans="1:10">
      <c r="A18" s="9" t="s">
        <v>21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t="s">
        <v>1</v>
      </c>
      <c r="B19" t="s">
        <v>2</v>
      </c>
      <c r="C19" t="s">
        <v>3</v>
      </c>
      <c r="D19" t="s">
        <v>4</v>
      </c>
      <c r="H19" t="s">
        <v>5</v>
      </c>
    </row>
    <row r="20" spans="1:10">
      <c r="A20" t="s">
        <v>6</v>
      </c>
      <c r="B20">
        <v>5</v>
      </c>
      <c r="C20">
        <v>9</v>
      </c>
      <c r="D20">
        <v>5</v>
      </c>
      <c r="E20">
        <f t="shared" ref="E20:E24" si="1">C20*D20</f>
        <v>45</v>
      </c>
      <c r="F20" s="10">
        <f>SUM(E20:E24)</f>
        <v>75</v>
      </c>
      <c r="G20" s="2">
        <f>F20/$F$30</f>
        <v>1</v>
      </c>
      <c r="H20" s="10">
        <f>SUM(E20:E24)/SUM(C20:C24)</f>
        <v>4.4117647058823533</v>
      </c>
    </row>
    <row r="21" spans="1:10">
      <c r="A21" t="s">
        <v>7</v>
      </c>
      <c r="B21">
        <v>4</v>
      </c>
      <c r="C21">
        <v>6</v>
      </c>
      <c r="D21">
        <v>4</v>
      </c>
      <c r="E21">
        <f t="shared" si="1"/>
        <v>24</v>
      </c>
      <c r="F21" s="10"/>
      <c r="G21" s="2"/>
      <c r="H21" s="10"/>
    </row>
    <row r="22" spans="1:10">
      <c r="A22" t="s">
        <v>8</v>
      </c>
      <c r="B22">
        <v>3</v>
      </c>
      <c r="C22">
        <v>2</v>
      </c>
      <c r="D22">
        <v>3</v>
      </c>
      <c r="E22">
        <f t="shared" si="1"/>
        <v>6</v>
      </c>
      <c r="F22" s="10"/>
      <c r="G22" s="2"/>
      <c r="H22" s="10"/>
    </row>
    <row r="23" spans="1:10">
      <c r="A23" t="s">
        <v>9</v>
      </c>
      <c r="B23">
        <v>2</v>
      </c>
      <c r="C23">
        <v>0</v>
      </c>
      <c r="D23">
        <v>2</v>
      </c>
      <c r="E23">
        <f t="shared" si="1"/>
        <v>0</v>
      </c>
      <c r="F23" s="10"/>
      <c r="G23" s="2"/>
      <c r="H23" s="10"/>
    </row>
    <row r="24" spans="1:10">
      <c r="A24" t="s">
        <v>10</v>
      </c>
      <c r="B24">
        <v>1</v>
      </c>
      <c r="C24">
        <v>0</v>
      </c>
      <c r="D24">
        <v>1</v>
      </c>
      <c r="E24">
        <f t="shared" si="1"/>
        <v>0</v>
      </c>
      <c r="F24" s="10"/>
      <c r="G24" s="2"/>
      <c r="H24" s="10"/>
    </row>
    <row r="30" spans="1:10">
      <c r="F30">
        <f>F20</f>
        <v>75</v>
      </c>
      <c r="G30" s="1">
        <f>G20</f>
        <v>1</v>
      </c>
    </row>
    <row r="34" spans="1:10">
      <c r="A34" s="9" t="s">
        <v>22</v>
      </c>
      <c r="B34" s="9"/>
      <c r="C34" s="9"/>
      <c r="D34" s="9"/>
      <c r="E34" s="9"/>
      <c r="F34" s="9"/>
      <c r="G34" s="9"/>
      <c r="H34" s="9"/>
      <c r="I34" s="9"/>
      <c r="J34" s="9"/>
    </row>
    <row r="35" spans="1:10">
      <c r="A35" t="s">
        <v>1</v>
      </c>
      <c r="B35" t="s">
        <v>2</v>
      </c>
      <c r="C35" t="s">
        <v>3</v>
      </c>
      <c r="D35" t="s">
        <v>4</v>
      </c>
      <c r="H35" t="s">
        <v>5</v>
      </c>
    </row>
    <row r="36" spans="1:10">
      <c r="A36" t="s">
        <v>6</v>
      </c>
      <c r="B36">
        <v>5</v>
      </c>
      <c r="C36">
        <v>7</v>
      </c>
      <c r="D36">
        <v>5</v>
      </c>
      <c r="E36">
        <f t="shared" ref="E36:E40" si="2">C36*D36</f>
        <v>35</v>
      </c>
      <c r="F36" s="10">
        <f>SUM(E36:E40)</f>
        <v>70</v>
      </c>
      <c r="G36" s="2">
        <f>F36/$F$46</f>
        <v>1</v>
      </c>
      <c r="H36" s="10">
        <f>SUM(E36:E40)/SUM(C36:C40)</f>
        <v>4.117647058823529</v>
      </c>
    </row>
    <row r="37" spans="1:10">
      <c r="A37" t="s">
        <v>7</v>
      </c>
      <c r="B37">
        <v>4</v>
      </c>
      <c r="C37">
        <v>5</v>
      </c>
      <c r="D37">
        <v>4</v>
      </c>
      <c r="E37">
        <f t="shared" si="2"/>
        <v>20</v>
      </c>
      <c r="F37" s="10"/>
      <c r="G37" s="2"/>
      <c r="H37" s="10"/>
    </row>
    <row r="38" spans="1:10">
      <c r="A38" t="s">
        <v>8</v>
      </c>
      <c r="B38">
        <v>3</v>
      </c>
      <c r="C38">
        <v>5</v>
      </c>
      <c r="D38">
        <v>3</v>
      </c>
      <c r="E38">
        <f t="shared" si="2"/>
        <v>15</v>
      </c>
      <c r="F38" s="10"/>
      <c r="G38" s="2"/>
      <c r="H38" s="10"/>
    </row>
    <row r="39" spans="1:10">
      <c r="A39" t="s">
        <v>9</v>
      </c>
      <c r="B39">
        <v>2</v>
      </c>
      <c r="C39">
        <v>0</v>
      </c>
      <c r="D39">
        <v>2</v>
      </c>
      <c r="E39">
        <f t="shared" si="2"/>
        <v>0</v>
      </c>
      <c r="F39" s="10"/>
      <c r="G39" s="2"/>
      <c r="H39" s="10"/>
    </row>
    <row r="40" spans="1:10">
      <c r="A40" t="s">
        <v>10</v>
      </c>
      <c r="B40">
        <v>1</v>
      </c>
      <c r="C40">
        <v>0</v>
      </c>
      <c r="D40">
        <v>1</v>
      </c>
      <c r="E40">
        <f t="shared" si="2"/>
        <v>0</v>
      </c>
      <c r="F40" s="10"/>
      <c r="G40" s="2"/>
      <c r="H40" s="10"/>
    </row>
    <row r="46" spans="1:10">
      <c r="F46">
        <f>F36</f>
        <v>70</v>
      </c>
      <c r="G46" s="1">
        <f>G36</f>
        <v>1</v>
      </c>
    </row>
  </sheetData>
  <mergeCells count="9">
    <mergeCell ref="A34:J34"/>
    <mergeCell ref="F36:F40"/>
    <mergeCell ref="H36:H40"/>
    <mergeCell ref="A1:J1"/>
    <mergeCell ref="F3:F7"/>
    <mergeCell ref="H3:H7"/>
    <mergeCell ref="A18:J18"/>
    <mergeCell ref="F20:F24"/>
    <mergeCell ref="H20:H2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C86E-DD45-4778-BA92-6F792ECC33D0}">
  <dimension ref="A2:B23"/>
  <sheetViews>
    <sheetView tabSelected="1" topLeftCell="A2" workbookViewId="0">
      <selection activeCell="A22" sqref="A22"/>
    </sheetView>
  </sheetViews>
  <sheetFormatPr defaultColWidth="11.42578125" defaultRowHeight="15"/>
  <cols>
    <col min="1" max="1" width="60" style="8" customWidth="1"/>
    <col min="2" max="2" width="18.42578125" style="3" customWidth="1"/>
  </cols>
  <sheetData>
    <row r="2" spans="1:2">
      <c r="A2" s="4" t="s">
        <v>23</v>
      </c>
      <c r="B2" s="5" t="s">
        <v>24</v>
      </c>
    </row>
    <row r="3" spans="1:2" ht="44.25" customHeight="1">
      <c r="A3" s="6" t="str">
        <f>'FACTOR4-P'!$A$1:$J$1</f>
        <v>Las competencias adquiridas durante mi formación en la maestría (técnicas, investigativas, pedagógicas, etc.) han sido suficientes y relevantes para mi desarrollo profesional.</v>
      </c>
      <c r="B3" s="7">
        <f>'FACTOR4-P'!$G$3</f>
        <v>0.48648648648648651</v>
      </c>
    </row>
    <row r="4" spans="1:2">
      <c r="A4" s="6" t="str">
        <f>'FACTOR4-P'!$A$10:$J$10</f>
        <v>Considero que mi formación en la maestría ha influido positivamente en mi desarrollo profesional, así como en la mejora de oportunidades en mi campo laboral.</v>
      </c>
      <c r="B4" s="7">
        <f>'FACTOR4-P'!$G$12</f>
        <v>0.51351351351351349</v>
      </c>
    </row>
    <row r="7" spans="1:2">
      <c r="A7" s="6" t="s">
        <v>25</v>
      </c>
      <c r="B7" s="5" t="s">
        <v>24</v>
      </c>
    </row>
    <row r="8" spans="1:2" ht="45">
      <c r="A8" s="6" t="str">
        <f>'FACTOR5-P'!$A$1:$J$1</f>
        <v>Considero que las estrategias de flexibilidad curricular me permitieron personalizar mi formación de acuerdo con mis objetivos profesionales y académicos.</v>
      </c>
      <c r="B8" s="7">
        <f>'FACTOR5-P'!$G$3</f>
        <v>1</v>
      </c>
    </row>
    <row r="11" spans="1:2">
      <c r="A11" s="6" t="s">
        <v>26</v>
      </c>
      <c r="B11" s="5" t="s">
        <v>24</v>
      </c>
    </row>
    <row r="12" spans="1:2" ht="45">
      <c r="A12" s="6" t="str">
        <f>'FACTOR7-P'!A1:J1</f>
        <v>Considero que la interacción con homólogos nacionales e internacionales me permitió mejorar mis competencias académicas y científicas, así como las oportunidades de desarrollo profesional.</v>
      </c>
      <c r="B12" s="7">
        <f>'FACTOR7-P'!G3</f>
        <v>1</v>
      </c>
    </row>
    <row r="15" spans="1:2">
      <c r="A15" s="6" t="s">
        <v>27</v>
      </c>
      <c r="B15" s="5" t="s">
        <v>24</v>
      </c>
    </row>
    <row r="16" spans="1:2" ht="60">
      <c r="A16" s="6" t="str">
        <f>'[1]FACTOR6-P'!A1:J1</f>
        <v>Considero que las intervenciones y el apoyo proporcionados para alertarme de forma temprana, han sido útiles para mejorar mi rendimiento académico y facilitar mi progreso hacia la graduación.</v>
      </c>
      <c r="B16" s="7">
        <f>'[1]FACTOR6-P'!G3</f>
        <v>1</v>
      </c>
    </row>
    <row r="18" spans="1:2">
      <c r="A18" s="6" t="s">
        <v>26</v>
      </c>
      <c r="B18" s="5" t="s">
        <v>24</v>
      </c>
    </row>
    <row r="19" spans="1:2" ht="45">
      <c r="A19" s="6" t="str">
        <f>'[1]FACTOR7-P '!A1:J1</f>
        <v>Considero que la interacción con homólogos nacionales e internacionales ha mejorado mis competencias académicas y científicas, así como las oportunidades de desarrollo profesional.</v>
      </c>
      <c r="B19" s="7">
        <f>'[1]FACTOR7-P '!G3</f>
        <v>1</v>
      </c>
    </row>
    <row r="22" spans="1:2">
      <c r="A22" s="6" t="s">
        <v>28</v>
      </c>
      <c r="B22" s="5" t="s">
        <v>24</v>
      </c>
    </row>
    <row r="23" spans="1:2" ht="60">
      <c r="A23" s="6" t="str">
        <f>'[1]FACTOR8-P'!A1:J1</f>
        <v>Considero que la Maestría en Ciencias de la Información y las Comunicaciones me proporciona una formación adecuada para la investigación, fomentando el desarrollo de un pensamiento crítico, creativo e innovador</v>
      </c>
      <c r="B23" s="7">
        <f>'[1]FACTOR8-P'!G3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CAIMAN URQUIJO CAMILO ANDRES</cp:lastModifiedBy>
  <cp:revision/>
  <dcterms:created xsi:type="dcterms:W3CDTF">2025-04-30T00:30:48Z</dcterms:created>
  <dcterms:modified xsi:type="dcterms:W3CDTF">2025-05-08T15:31:38Z</dcterms:modified>
  <cp:category/>
  <cp:contentStatus/>
</cp:coreProperties>
</file>