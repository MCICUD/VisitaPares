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166925"/>
  <mc:AlternateContent xmlns:mc="http://schemas.openxmlformats.org/markup-compatibility/2006">
    <mc:Choice Requires="x15">
      <x15ac:absPath xmlns:x15ac="http://schemas.microsoft.com/office/spreadsheetml/2010/11/ac" url="D:\Camilo U\15avo Semestre\Monitorias\Encuestas\"/>
    </mc:Choice>
  </mc:AlternateContent>
  <xr:revisionPtr revIDLastSave="63" documentId="13_ncr:1_{3C44B9E0-2031-4BFB-8FB8-88B55586CDF2}" xr6:coauthVersionLast="47" xr6:coauthVersionMax="47" xr10:uidLastSave="{61CB6F42-7F6E-4EC6-BEBF-23A17AAACAF5}"/>
  <bookViews>
    <workbookView xWindow="-120" yWindow="-120" windowWidth="20730" windowHeight="11160" xr2:uid="{1FCFF4C8-E802-4932-A2A8-848253ACF59E}"/>
  </bookViews>
  <sheets>
    <sheet name="Proceso de autoevaluación 2025 " sheetId="1" r:id="rId1"/>
  </sheets>
  <definedNames>
    <definedName name="_xlnm._FilterDatabase" localSheetId="0" hidden="1">'Proceso de autoevaluación 2025 '!$A$1:$EG$53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7" i="1" l="1"/>
  <c r="AC59" i="1"/>
  <c r="AC58" i="1"/>
  <c r="DZ61" i="1"/>
  <c r="DZ60" i="1"/>
  <c r="DZ59" i="1"/>
  <c r="DZ58" i="1"/>
  <c r="DZ57" i="1"/>
  <c r="DZ63" i="1" s="1"/>
  <c r="DY56" i="1"/>
  <c r="DW61" i="1"/>
  <c r="DW60" i="1"/>
  <c r="DW59" i="1"/>
  <c r="DW58" i="1"/>
  <c r="DW57" i="1"/>
  <c r="DW63" i="1" s="1"/>
  <c r="DV56" i="1"/>
  <c r="DS56" i="1"/>
  <c r="DT57" i="1"/>
  <c r="DT58" i="1"/>
  <c r="DT59" i="1"/>
  <c r="DT60" i="1"/>
  <c r="DT61" i="1"/>
  <c r="DT62" i="1"/>
  <c r="DQ61" i="1"/>
  <c r="DQ60" i="1"/>
  <c r="DQ59" i="1"/>
  <c r="DQ58" i="1"/>
  <c r="DQ57" i="1"/>
  <c r="DQ63" i="1" s="1"/>
  <c r="DP56" i="1"/>
  <c r="DN61" i="1"/>
  <c r="DN60" i="1"/>
  <c r="DN59" i="1"/>
  <c r="DN58" i="1"/>
  <c r="DN57" i="1"/>
  <c r="DN63" i="1" s="1"/>
  <c r="DM56" i="1"/>
  <c r="DK61" i="1"/>
  <c r="DK60" i="1"/>
  <c r="DK59" i="1"/>
  <c r="DK58" i="1"/>
  <c r="DK57" i="1"/>
  <c r="DK63" i="1" s="1"/>
  <c r="DJ56" i="1"/>
  <c r="DH61" i="1"/>
  <c r="DH60" i="1"/>
  <c r="DH59" i="1"/>
  <c r="DH58" i="1"/>
  <c r="DH57" i="1"/>
  <c r="DH63" i="1" s="1"/>
  <c r="DG56" i="1"/>
  <c r="DE61" i="1"/>
  <c r="DE60" i="1"/>
  <c r="DE59" i="1"/>
  <c r="DE58" i="1"/>
  <c r="DE57" i="1"/>
  <c r="DE63" i="1" s="1"/>
  <c r="DD56" i="1"/>
  <c r="CY61" i="1"/>
  <c r="CY60" i="1"/>
  <c r="CY59" i="1"/>
  <c r="CY58" i="1"/>
  <c r="CY57" i="1"/>
  <c r="CY63" i="1" s="1"/>
  <c r="CX56" i="1"/>
  <c r="CV61" i="1"/>
  <c r="CV60" i="1"/>
  <c r="CV59" i="1"/>
  <c r="CV58" i="1"/>
  <c r="CV57" i="1"/>
  <c r="CV63" i="1" s="1"/>
  <c r="CU56" i="1"/>
  <c r="CS61" i="1"/>
  <c r="CS60" i="1"/>
  <c r="CS59" i="1"/>
  <c r="CS58" i="1"/>
  <c r="CS57" i="1"/>
  <c r="CS63" i="1" s="1"/>
  <c r="CR56" i="1"/>
  <c r="CM61" i="1"/>
  <c r="CM60" i="1"/>
  <c r="CM59" i="1"/>
  <c r="CM58" i="1"/>
  <c r="CM57" i="1"/>
  <c r="CM63" i="1" s="1"/>
  <c r="CL56" i="1"/>
  <c r="CG61" i="1"/>
  <c r="CG60" i="1"/>
  <c r="CG59" i="1"/>
  <c r="CG58" i="1"/>
  <c r="CG57" i="1"/>
  <c r="CG63" i="1" s="1"/>
  <c r="CF56" i="1"/>
  <c r="CA61" i="1"/>
  <c r="CA60" i="1"/>
  <c r="CA59" i="1"/>
  <c r="CA58" i="1"/>
  <c r="CA57" i="1"/>
  <c r="CA63" i="1" s="1"/>
  <c r="BZ56" i="1"/>
  <c r="BX61" i="1"/>
  <c r="BX60" i="1"/>
  <c r="BX59" i="1"/>
  <c r="BX58" i="1"/>
  <c r="BX57" i="1"/>
  <c r="BX63" i="1" s="1"/>
  <c r="BW56" i="1"/>
  <c r="CD61" i="1"/>
  <c r="CD60" i="1"/>
  <c r="CD59" i="1"/>
  <c r="CD58" i="1"/>
  <c r="CD57" i="1"/>
  <c r="CC56" i="1"/>
  <c r="BT56" i="1"/>
  <c r="BK56" i="1"/>
  <c r="BH56" i="1"/>
  <c r="BE56" i="1"/>
  <c r="AY56" i="1"/>
  <c r="AS56" i="1"/>
  <c r="AM56" i="1"/>
  <c r="P60" i="1"/>
  <c r="P61" i="1"/>
  <c r="P62" i="1"/>
  <c r="P59" i="1"/>
  <c r="O58" i="1"/>
  <c r="DA56" i="1"/>
  <c r="DB61" i="1"/>
  <c r="DB60" i="1"/>
  <c r="DB59" i="1"/>
  <c r="DB58" i="1"/>
  <c r="DB57" i="1"/>
  <c r="BU61" i="1"/>
  <c r="BU60" i="1"/>
  <c r="BU59" i="1"/>
  <c r="BU58" i="1"/>
  <c r="BU57" i="1"/>
  <c r="BL61" i="1"/>
  <c r="BL60" i="1"/>
  <c r="BL59" i="1"/>
  <c r="BL58" i="1"/>
  <c r="BL57" i="1"/>
  <c r="BI61" i="1"/>
  <c r="BI60" i="1"/>
  <c r="BI59" i="1"/>
  <c r="BI58" i="1"/>
  <c r="BI57" i="1"/>
  <c r="BF61" i="1"/>
  <c r="BF60" i="1"/>
  <c r="BF59" i="1"/>
  <c r="BF58" i="1"/>
  <c r="BF57" i="1"/>
  <c r="BF63" i="1" s="1"/>
  <c r="AZ61" i="1"/>
  <c r="AZ60" i="1"/>
  <c r="AZ59" i="1"/>
  <c r="AZ58" i="1"/>
  <c r="AZ57" i="1"/>
  <c r="AT61" i="1"/>
  <c r="AT60" i="1"/>
  <c r="AT59" i="1"/>
  <c r="AT58" i="1"/>
  <c r="AT57" i="1"/>
  <c r="AN58" i="1"/>
  <c r="AN59" i="1"/>
  <c r="AN60" i="1"/>
  <c r="AN61" i="1"/>
  <c r="AN57" i="1"/>
  <c r="AH59" i="1"/>
  <c r="AH58" i="1"/>
  <c r="AG57" i="1"/>
  <c r="AB59" i="1"/>
  <c r="AB60" i="1"/>
  <c r="AB61" i="1"/>
  <c r="AB58" i="1"/>
  <c r="V65" i="1"/>
  <c r="V64" i="1"/>
  <c r="V63" i="1"/>
  <c r="V62" i="1"/>
  <c r="U57" i="1"/>
  <c r="X57" i="1"/>
  <c r="V61" i="1"/>
  <c r="V60" i="1"/>
  <c r="V59" i="1"/>
  <c r="V58" i="1"/>
  <c r="Y59" i="1"/>
  <c r="Y60" i="1"/>
  <c r="Y61" i="1"/>
  <c r="Y58" i="1"/>
  <c r="BU63" i="1" l="1"/>
  <c r="BL63" i="1"/>
  <c r="BI63" i="1"/>
  <c r="CD63" i="1"/>
  <c r="P63" i="1"/>
  <c r="DT64" i="1"/>
  <c r="DB63" i="1"/>
  <c r="AZ63" i="1"/>
  <c r="V67" i="1"/>
  <c r="AH61" i="1"/>
  <c r="AT63" i="1"/>
  <c r="AN63" i="1"/>
  <c r="AB62" i="1"/>
  <c r="Y62" i="1"/>
</calcChain>
</file>

<file path=xl/sharedStrings.xml><?xml version="1.0" encoding="utf-8"?>
<sst xmlns="http://schemas.openxmlformats.org/spreadsheetml/2006/main" count="2451" uniqueCount="806">
  <si>
    <t>Id</t>
  </si>
  <si>
    <t>Hora de inicio</t>
  </si>
  <si>
    <t>Hora de finalización</t>
  </si>
  <si>
    <t>Correo electrónico</t>
  </si>
  <si>
    <t>Nombre</t>
  </si>
  <si>
    <t>Total de puntos</t>
  </si>
  <si>
    <t>Comentarios del cuestionario</t>
  </si>
  <si>
    <t>Hora de publicación de la calificación</t>
  </si>
  <si>
    <t>¿Cuales es su nombre?</t>
  </si>
  <si>
    <t>Puntos: ¿Cuales es su nombre?</t>
  </si>
  <si>
    <t>Comentarios: ¿Cuales es su nombre?</t>
  </si>
  <si>
    <t>Digite su número de cedula</t>
  </si>
  <si>
    <t>Puntos: Digite su número de cedula</t>
  </si>
  <si>
    <t>Comentarios: Digite su número de cedula</t>
  </si>
  <si>
    <t>¿En que rango de edad se encuentra?</t>
  </si>
  <si>
    <t>Puntos: ¿En que rango de edad se encuentra?</t>
  </si>
  <si>
    <t>Comentarios: ¿En que rango de edad se encuentra?</t>
  </si>
  <si>
    <t>Por favor actualice su número de contacto telefónico</t>
  </si>
  <si>
    <t>Puntos: Por favor actualice su número de contacto telefónico</t>
  </si>
  <si>
    <t>Comentarios: Por favor actualice su número de contacto telefónico</t>
  </si>
  <si>
    <t>¿En qué año ingreso a la Maestría en Ciencias de la Información y las Comunicaciones?</t>
  </si>
  <si>
    <t>Puntos: ¿En qué año ingreso a la Maestría en Ciencias de la Información y las Comunicaciones?</t>
  </si>
  <si>
    <t>Comentarios: ¿En qué año ingreso a la Maestría en Ciencias de la Información y las Comunicaciones?</t>
  </si>
  <si>
    <t>¿En qué énfasis se encuentra inscrito?</t>
  </si>
  <si>
    <t>Puntos: ¿En qué énfasis se encuentra inscrito?</t>
  </si>
  <si>
    <t>Comentarios: ¿En qué énfasis se encuentra inscrito?</t>
  </si>
  <si>
    <t>¿En qué Modalidad o Metodología se encuentra inscrito?</t>
  </si>
  <si>
    <t>Puntos: ¿En qué Modalidad o Metodología se encuentra inscrito?</t>
  </si>
  <si>
    <t>Comentarios: ¿En qué Modalidad o Metodología se encuentra inscrito?</t>
  </si>
  <si>
    <t>¿Cuáles son sus áreas de investigación?</t>
  </si>
  <si>
    <t>Puntos: ¿Cuáles son sus áreas de investigación?</t>
  </si>
  <si>
    <t>Comentarios: ¿Cuáles son sus áreas de investigación?</t>
  </si>
  <si>
    <t>Si se ofreciera una asignatura impartida en un 50% en inglés el próximo semestre, ¿se inscribiría?</t>
  </si>
  <si>
    <t>Puntos: Si se ofreciera una asignatura impartida en un 50% en inglés el próximo semestre, ¿se inscribiría?</t>
  </si>
  <si>
    <t>Comentarios: Si se ofreciera una asignatura impartida en un 50% en inglés el próximo semestre, ¿se inscribiría?</t>
  </si>
  <si>
    <t>¿Cómo cree que una asignatura en inglés podría mejorar sus oportunidades futuras?</t>
  </si>
  <si>
    <t>Puntos: ¿Cómo cree que una asignatura en inglés podría mejorar sus oportunidades futuras?</t>
  </si>
  <si>
    <t>Comentarios: ¿Cómo cree que una asignatura en inglés podría mejorar sus oportunidades futuras?</t>
  </si>
  <si>
    <t xml:space="preserve">Considero que mi participación en actividades de investigación, desarrollo tecnológico, creación artística, culturales, deportivas y de extensión ha contribuido a mi desarrollo integral como persona, </t>
  </si>
  <si>
    <t xml:space="preserve">Puntos: Considero que mi participación en actividades de investigación, desarrollo tecnológico, creación artística, culturales, deportivas y de extensión ha contribuido a mi desarrollo integral como persona, </t>
  </si>
  <si>
    <t xml:space="preserve">Comentarios: Considero que mi participación en actividades de investigación, desarrollo tecnológico, creación artística, culturales, deportivas y de extensión ha contribuido a mi desarrollo integral como persona, </t>
  </si>
  <si>
    <t>Por favor, proporciona ejemplos específicos de actividades de investigación en las que has participado y cómo han impactado en tu formación integral:</t>
  </si>
  <si>
    <t>Puntos: Por favor, proporciona ejemplos específicos de actividades de investigación en las que has participado y cómo han impactado en tu formación integral:</t>
  </si>
  <si>
    <t>Comentarios: Por favor, proporciona ejemplos específicos de actividades de investigación en las que has participado y cómo han impactado en tu formación integral:</t>
  </si>
  <si>
    <t>Considero que el reglamento estudiantil y las políticas académicas del programa son pertinentes y están actualizadas.</t>
  </si>
  <si>
    <t>Puntos: Considero que el reglamento estudiantil y las políticas académicas del programa son pertinentes y están actualizadas.</t>
  </si>
  <si>
    <t>Comentarios: Considero que el reglamento estudiantil y las políticas académicas del programa son pertinentes y están actualizadas.</t>
  </si>
  <si>
    <t>¿Tienes sugerencias para mejorar la divulgación y comprensión del reglamento estudiantil y las políticas académicas?</t>
  </si>
  <si>
    <t>Puntos: ¿Tienes sugerencias para mejorar la divulgación y comprensión del reglamento estudiantil y las políticas académicas?</t>
  </si>
  <si>
    <t>Comentarios: ¿Tienes sugerencias para mejorar la divulgación y comprensión del reglamento estudiantil y las políticas académicas?</t>
  </si>
  <si>
    <t>Considero que los criterios para la concesión de estímulos académicos y apoyos socioeconómicos, son claros y justos.</t>
  </si>
  <si>
    <t>Puntos: Considero que los criterios para la concesión de estímulos académicos y apoyos socioeconómicos, son claros y justos.</t>
  </si>
  <si>
    <t>Comentarios: Considero que los criterios para la concesión de estímulos académicos y apoyos socioeconómicos, son claros y justos.</t>
  </si>
  <si>
    <t>¿Qué acciones crees que la institución debería emprender para mejorar la aplicación de los estímulos académicos y apoyos socioeconómicos?</t>
  </si>
  <si>
    <t>Puntos: ¿Qué acciones crees que la institución debería emprender para mejorar la aplicación de los estímulos académicos y apoyos socioeconómicos?</t>
  </si>
  <si>
    <t>Comentarios: ¿Qué acciones crees que la institución debería emprender para mejorar la aplicación de los estímulos académicos y apoyos socioeconómicos?</t>
  </si>
  <si>
    <t>Considero que el material académico producido por los docentes es pertinente y adecuado con las necesidades y objetivos de la Maestría en Ciencias de la Información y las Comunicaciones.</t>
  </si>
  <si>
    <t>Puntos: Considero que el material académico producido por los docentes es pertinente y adecuado con las necesidades y objetivos de la Maestría en Ciencias de la Información y las Comunicaciones.</t>
  </si>
  <si>
    <t>Comentarios: Considero que el material académico producido por los docentes es pertinente y adecuado con las necesidades y objetivos de la Maestría en Ciencias de la Información y las Comunicaciones.</t>
  </si>
  <si>
    <t>Considero que los criterios y mecanismos utilizados para la evaluación de los profesores son transparentes, accesibles y eficaces</t>
  </si>
  <si>
    <t>Puntos: Considero que los criterios y mecanismos utilizados para la evaluación de los profesores son transparentes, accesibles y eficaces</t>
  </si>
  <si>
    <t>Comentarios: Considero que los criterios y mecanismos utilizados para la evaluación de los profesores son transparentes, accesibles y eficaces</t>
  </si>
  <si>
    <t>Considero que las estrategias de flexibilidad curricular me han permitido personalizar mi formación de acuerdo con mis objetivos profesionales y académicos.</t>
  </si>
  <si>
    <t>Puntos: Considero que las estrategias de flexibilidad curricular me han permitido personalizar mi formación de acuerdo con mis objetivos profesionales y académicos.</t>
  </si>
  <si>
    <t>Comentarios: Considero que las estrategias de flexibilidad curricular me han permitido personalizar mi formación de acuerdo con mis objetivos profesionales y académicos.</t>
  </si>
  <si>
    <t>¿Podrías proporcionar ejemplos específicos de cómo las rutas de formación alternativas te han beneficiado para tu desarrollo académico y profesional?</t>
  </si>
  <si>
    <t>Puntos: ¿Podrías proporcionar ejemplos específicos de cómo las rutas de formación alternativas te han beneficiado para tu desarrollo académico y profesional?</t>
  </si>
  <si>
    <t>Comentarios: ¿Podrías proporcionar ejemplos específicos de cómo las rutas de formación alternativas te han beneficiado para tu desarrollo académico y profesional?</t>
  </si>
  <si>
    <t>¿Cómo valorarías la efectividad de los énfasis en "Teleinformática" “Ingeniería de Software”, “Geomática” y "Inteligencia Artificial" en la formación integral de los estudiantes?</t>
  </si>
  <si>
    <t>Puntos: ¿Cómo valorarías la efectividad de los énfasis en "Teleinformática" “Ingeniería de Software”, “Geomática” y "Inteligencia Artificial" en la formación integral de los estudiantes?</t>
  </si>
  <si>
    <t>Comentarios: ¿Cómo valorarías la efectividad de los énfasis en "Teleinformática" “Ingeniería de Software”, “Geomática” y "Inteligencia Artificial" en la formación integral de los estudiantes?</t>
  </si>
  <si>
    <t>Considero que las estrategias pedagógicas y escenarios de práctica utilizadas en la Maestría en Ciencias de la Información y las Comunicaciones son coherentes y efectivas para facilitar los resultados</t>
  </si>
  <si>
    <t>Puntos: Considero que las estrategias pedagógicas y escenarios de práctica utilizadas en la Maestría en Ciencias de la Información y las Comunicaciones son coherentes y efectivas para facilitar los resultados</t>
  </si>
  <si>
    <t>Comentarios: Considero que las estrategias pedagógicas y escenarios de práctica utilizadas en la Maestría en Ciencias de la Información y las Comunicaciones son coherentes y efectivas para facilitar los resultados</t>
  </si>
  <si>
    <t>Considero que los sistemas de evaluación de los resultados de aprendizaje permiten una realimentación efectiva que contribuye a la mejora continua de la formación en los estudiantes.</t>
  </si>
  <si>
    <t>Puntos: Considero que los sistemas de evaluación de los resultados de aprendizaje permiten una realimentación efectiva que contribuye a la mejora continua de la formación en los estudiantes.</t>
  </si>
  <si>
    <t>Comentarios: Considero que los sistemas de evaluación de los resultados de aprendizaje permiten una realimentación efectiva que contribuye a la mejora continua de la formación en los estudiantes.</t>
  </si>
  <si>
    <t>Considero que el proceso de evaluación y autorregulación de la Maestría en Ciencias de la Información y las Comunicaciones tiene en cuenta de manera efectiva las necesidades y expectativas de los estu</t>
  </si>
  <si>
    <t>Puntos: Considero que el proceso de evaluación y autorregulación de la Maestría en Ciencias de la Información y las Comunicaciones tiene en cuenta de manera efectiva las necesidades y expectativas de los estu</t>
  </si>
  <si>
    <t>Comentarios: Considero que el proceso de evaluación y autorregulación de la Maestría en Ciencias de la Información y las Comunicaciones tiene en cuenta de manera efectiva las necesidades y expectativas de los estu</t>
  </si>
  <si>
    <t>Considero que las intervenciones y el apoyo proporcionados para alertarme de forma temprana, han sido útiles para mejorar mi rendimiento académico y facilitar mi progreso hacia la graduación.</t>
  </si>
  <si>
    <t>Puntos: Considero que las intervenciones y el apoyo proporcionados para alertarme de forma temprana, han sido útiles para mejorar mi rendimiento académico y facilitar mi progreso hacia la graduación.</t>
  </si>
  <si>
    <t>Comentarios: Considero que las intervenciones y el apoyo proporcionados para alertarme de forma temprana, han sido útiles para mejorar mi rendimiento académico y facilitar mi progreso hacia la graduación.</t>
  </si>
  <si>
    <t>Considero que la interacción con homólogos nacionales e internacionales ha mejorado mis competencias académicas y científicas, así como las oportunidades de desarrollo profesional.</t>
  </si>
  <si>
    <t>Puntos: Considero que la interacción con homólogos nacionales e internacionales ha mejorado mis competencias académicas y científicas, así como las oportunidades de desarrollo profesional.</t>
  </si>
  <si>
    <t>Comentarios: Considero que la interacción con homólogos nacionales e internacionales ha mejorado mis competencias académicas y científicas, así como las oportunidades de desarrollo profesional.</t>
  </si>
  <si>
    <t>¿Podrías proporcionar ejemplos específicos de proyectos, investigaciones o colaboraciones exitosas que hayan resultado de la cooperación académica y científica promovida por la Maestría en Ciencias de</t>
  </si>
  <si>
    <t>Puntos: ¿Podrías proporcionar ejemplos específicos de proyectos, investigaciones o colaboraciones exitosas que hayan resultado de la cooperación académica y científica promovida por la Maestría en Ciencias de</t>
  </si>
  <si>
    <t>Comentarios: ¿Podrías proporcionar ejemplos específicos de proyectos, investigaciones o colaboraciones exitosas que hayan resultado de la cooperación académica y científica promovida por la Maestría en Ciencias de</t>
  </si>
  <si>
    <t>Considero que la Maestría en Ciencias de la Información y las Comunicaciones me proporciona una formación adecuada para la investigación, fomentando el desarrollo de un pensamiento crítico, creativo e</t>
  </si>
  <si>
    <t>Puntos: Considero que la Maestría en Ciencias de la Información y las Comunicaciones me proporciona una formación adecuada para la investigación, fomentando el desarrollo de un pensamiento crítico, creativo e</t>
  </si>
  <si>
    <t>Comentarios: Considero que la Maestría en Ciencias de la Información y las Comunicaciones me proporciona una formación adecuada para la investigación, fomentando el desarrollo de un pensamiento crítico, creativo e</t>
  </si>
  <si>
    <t>¿Podrías proporcionar ejemplos específicos de proyectos o experiencias en los que hayas participado y que hayan contribuido significativamente a tu formación en investigación y desarrollo tecnológico,</t>
  </si>
  <si>
    <t>Puntos: ¿Podrías proporcionar ejemplos específicos de proyectos o experiencias en los que hayas participado y que hayan contribuido significativamente a tu formación en investigación y desarrollo tecnológico,</t>
  </si>
  <si>
    <t>Comentarios: ¿Podrías proporcionar ejemplos específicos de proyectos o experiencias en los que hayas participado y que hayan contribuido significativamente a tu formación en investigación y desarrollo tecnológico,</t>
  </si>
  <si>
    <t>Considero que las políticas, programas y servicios de bienestar implementados en Maestría en Ciencias de la Información y las Comunicaciones son coherentes con las condiciones y necesidades específica</t>
  </si>
  <si>
    <t>Puntos: Considero que las políticas, programas y servicios de bienestar implementados en Maestría en Ciencias de la Información y las Comunicaciones son coherentes con las condiciones y necesidades específica</t>
  </si>
  <si>
    <t>Comentarios: Considero que las políticas, programas y servicios de bienestar implementados en Maestría en Ciencias de la Información y las Comunicaciones son coherentes con las condiciones y necesidades específica</t>
  </si>
  <si>
    <t>Considero que el acompañamiento proporcionado en la Maestría en Ciencias de la Información y las Comunicaciones facilita una comunicación efectiva y una interacción constructiva entre profesores y est</t>
  </si>
  <si>
    <t>Puntos: Considero que el acompañamiento proporcionado en la Maestría en Ciencias de la Información y las Comunicaciones facilita una comunicación efectiva y una interacción constructiva entre profesores y est</t>
  </si>
  <si>
    <t>Comentarios: Considero que el acompañamiento proporcionado en la Maestría en Ciencias de la Información y las Comunicaciones facilita una comunicación efectiva y una interacción constructiva entre profesores y est</t>
  </si>
  <si>
    <t>Considero que los espacios, recurso, herramientas y equipos de apoyo ofrecidos son pertinentes y se ajustan adecuadamente a mis necesidades formativas en los diferentes contextos que requiero.</t>
  </si>
  <si>
    <t>Puntos: Considero que los espacios, recurso, herramientas y equipos de apoyo ofrecidos son pertinentes y se ajustan adecuadamente a mis necesidades formativas en los diferentes contextos que requiero.</t>
  </si>
  <si>
    <t>Comentarios: Considero que los espacios, recurso, herramientas y equipos de apoyo ofrecidos son pertinentes y se ajustan adecuadamente a mis necesidades formativas en los diferentes contextos que requiero.</t>
  </si>
  <si>
    <t>¿Has notado alguna mejora en las estrategias y recursos de apoyo como resultado de retroalimentaciones previas?</t>
  </si>
  <si>
    <t>Puntos: ¿Has notado alguna mejora en las estrategias y recursos de apoyo como resultado de retroalimentaciones previas?</t>
  </si>
  <si>
    <t>Comentarios: ¿Has notado alguna mejora en las estrategias y recursos de apoyo como resultado de retroalimentaciones previas?</t>
  </si>
  <si>
    <t>Considero que el material bibliográfico y de información disponible en la Maestría en Ciencias de la Información y las Comunicaciones es pertinente y adecuado para apoyar el desarrollo de las distinta</t>
  </si>
  <si>
    <t>Puntos: Considero que el material bibliográfico y de información disponible en la Maestría en Ciencias de la Información y las Comunicaciones es pertinente y adecuado para apoyar el desarrollo de las distinta</t>
  </si>
  <si>
    <t>Comentarios: Considero que el material bibliográfico y de información disponible en la Maestría en Ciencias de la Información y las Comunicaciones es pertinente y adecuado para apoyar el desarrollo de las distinta</t>
  </si>
  <si>
    <t>Considero que el representante estudiantil en los diferentes escenarios institucionales ha sido valorada y ha influido en las decisiones orientadas al mejoramiento de la Maestría en Ciencias de la Inf</t>
  </si>
  <si>
    <t>Puntos: Considero que el representante estudiantil en los diferentes escenarios institucionales ha sido valorada y ha influido en las decisiones orientadas al mejoramiento de la Maestría en Ciencias de la Inf</t>
  </si>
  <si>
    <t>Comentarios: Considero que el representante estudiantil en los diferentes escenarios institucionales ha sido valorada y ha influido en las decisiones orientadas al mejoramiento de la Maestría en Ciencias de la Inf</t>
  </si>
  <si>
    <t>Creo que los procesos administrativos están orientados adecuadamente y son eficaces para apoyar el desarrollo integral de las labores formativas, académicas, docentes, científicas, culturales y de ext</t>
  </si>
  <si>
    <t>Puntos: Creo que los procesos administrativos están orientados adecuadamente y son eficaces para apoyar el desarrollo integral de las labores formativas, académicas, docentes, científicas, culturales y de ext</t>
  </si>
  <si>
    <t>Comentarios: Creo que los procesos administrativos están orientados adecuadamente y son eficaces para apoyar el desarrollo integral de las labores formativas, académicas, docentes, científicas, culturales y de ext</t>
  </si>
  <si>
    <t>Considero que los recursos humanos (profesores, personal administrativo, etc.) disponibles en la Maestría en Ciencias de la Información y las Comunicaciones son suficientes y adecuados para atender el</t>
  </si>
  <si>
    <t>Puntos: Considero que los recursos humanos (profesores, personal administrativo, etc.) disponibles en la Maestría en Ciencias de la Información y las Comunicaciones son suficientes y adecuados para atender el</t>
  </si>
  <si>
    <t>Comentarios: Considero que los recursos humanos (profesores, personal administrativo, etc.) disponibles en la Maestría en Ciencias de la Información y las Comunicaciones son suficientes y adecuados para atender el</t>
  </si>
  <si>
    <t>Considero que los recursos informáticos disponibles, corresponden adecuadamente con las
necesidades tecnológicas de la Maestría en Ciencias de la Información y las Comunicaciones y de sus miembros (pr</t>
  </si>
  <si>
    <t>Puntos: Considero que los recursos informáticos disponibles, corresponden adecuadamente con las
necesidades tecnológicas de la Maestría en Ciencias de la Información y las Comunicaciones y de sus miembros (pr</t>
  </si>
  <si>
    <t>Comentarios: Considero que los recursos informáticos disponibles, corresponden adecuadamente con las
necesidades tecnológicas de la Maestría en Ciencias de la Información y las Comunicaciones y de sus miembros (pr</t>
  </si>
  <si>
    <t>¿En qué sector se desempeña su trabajo actual?</t>
  </si>
  <si>
    <t>Puntos: ¿En qué sector se desempeña su trabajo actual?</t>
  </si>
  <si>
    <t>Comentarios: ¿En qué sector se desempeña su trabajo actual?</t>
  </si>
  <si>
    <t>¿El trabajo que realiza actualmente se relaciona directamente con los conocimientos adquiridos en la maestría?</t>
  </si>
  <si>
    <t>Puntos: ¿El trabajo que realiza actualmente se relaciona directamente con los conocimientos adquiridos en la maestría?</t>
  </si>
  <si>
    <t>Comentarios: ¿El trabajo que realiza actualmente se relaciona directamente con los conocimientos adquiridos en la maestría?</t>
  </si>
  <si>
    <t>¿Siente que la maestría te ha abierto nuevas oportunidades laborales?</t>
  </si>
  <si>
    <t>Puntos: ¿Siente que la maestría te ha abierto nuevas oportunidades laborales?</t>
  </si>
  <si>
    <t>Comentarios: ¿Siente que la maestría te ha abierto nuevas oportunidades laborales?</t>
  </si>
  <si>
    <t>¿Podría indicar el nombre de la empresa/compañía con la que labora actualmente?</t>
  </si>
  <si>
    <t>Puntos: ¿Podría indicar el nombre de la empresa/compañía con la que labora actualmente?</t>
  </si>
  <si>
    <t>Comentarios: ¿Podría indicar el nombre de la empresa/compañía con la que labora actualmente?</t>
  </si>
  <si>
    <t>Como parte del proceso de autoevaluación y Acreditación de Alta Calidad, la Universidad requiere contactar a los empleadores de nuestros estudiantes. 
Por lo tanto, le solicitamos de ser posible, prop</t>
  </si>
  <si>
    <t>Puntos: Como parte del proceso de autoevaluación y Acreditación de Alta Calidad, la Universidad requiere contactar a los empleadores de nuestros estudiantes. 
Por lo tanto, le solicitamos de ser posible, prop</t>
  </si>
  <si>
    <t>Comentarios: Como parte del proceso de autoevaluación y Acreditación de Alta Calidad, la Universidad requiere contactar a los empleadores de nuestros estudiantes. 
Por lo tanto, le solicitamos de ser posible, prop</t>
  </si>
  <si>
    <t>anfpulidoc@udistrital.edu.co</t>
  </si>
  <si>
    <t>ANDRES FELIPE PULIDO CASTRO</t>
  </si>
  <si>
    <t>Andrés\ Felipe\ Pulido\ Castro</t>
  </si>
  <si>
    <t>25 a 30</t>
  </si>
  <si>
    <t>Geomtatica</t>
  </si>
  <si>
    <t>Profundización</t>
  </si>
  <si>
    <t>Catastro</t>
  </si>
  <si>
    <t>Si</t>
  </si>
  <si>
    <t>es\ funcional</t>
  </si>
  <si>
    <t>Totalmente de acuerdo.</t>
  </si>
  <si>
    <t>.</t>
  </si>
  <si>
    <t>No</t>
  </si>
  <si>
    <t xml:space="preserve">Ninguna </t>
  </si>
  <si>
    <t xml:space="preserve">Muy eficiente </t>
  </si>
  <si>
    <t>Sí.</t>
  </si>
  <si>
    <t>Tecnología (desarrollo de software, IA, ciberseguridad, telecomunicaciones)</t>
  </si>
  <si>
    <t>IGAC</t>
  </si>
  <si>
    <t>clalapea@udistrital.edu.co</t>
  </si>
  <si>
    <t>CRISTIAN LEONARDO ALAPE AVILA ALAPE AVILA</t>
  </si>
  <si>
    <t>Cristian\ Leonardo\ Alape\ Avila</t>
  </si>
  <si>
    <t>31 a 40</t>
  </si>
  <si>
    <t>Ingeniería de Software</t>
  </si>
  <si>
    <t>Investigación</t>
  </si>
  <si>
    <t xml:space="preserve">Inteligencia artificial, ingeniería de software </t>
  </si>
  <si>
    <t xml:space="preserve">Es\ cierto\ que\ la\ mayoria\ de\ referentes\ del\ estado\ del\ arte\ de\ la\ tesis\ es\tan\ en\ ingles,\ pero\ esto\ no\ es\ \inf luyente\ en\ el\ ejercicio\ academico\ de\ impartir\ una\ clase\ </t>
  </si>
  <si>
    <t>Seminarios, asistencia a ponencias y congresos en computación como por ejemplo CICOM</t>
  </si>
  <si>
    <t>Ni en acuerdo, ni en desacuerdo.</t>
  </si>
  <si>
    <t>Tener públicos los criterios y resultados de de admisión</t>
  </si>
  <si>
    <t xml:space="preserve"> De acuerdo.</t>
  </si>
  <si>
    <t xml:space="preserve">Reducir la burocracia en estos tramites. </t>
  </si>
  <si>
    <t xml:space="preserve">No conozco rutas de formación alternativas </t>
  </si>
  <si>
    <t>Claramente ofrecen la capacidad de especializarse en áreas de conocimiento profundas por medio de las asignaturas y el área de conocimiento a fin en la tesis</t>
  </si>
  <si>
    <t xml:space="preserve">unos docentes de planta recientemente contratados en la planta de la ud, hicieron su tesis doctoral en continuación de su tesis de maestría y de la misma forma esta ultima en continuación de su proyecto de grado en pregrado </t>
  </si>
  <si>
    <t xml:space="preserve">Escribir y publicar artículos con rigor investigativo en bases de datos académicas </t>
  </si>
  <si>
    <t xml:space="preserve">Universidad Distrital Francisco Jose de Caldas </t>
  </si>
  <si>
    <t>Alejandro Daza</t>
  </si>
  <si>
    <t>wfpinedar@udistrital.edu.co</t>
  </si>
  <si>
    <t>WILMAR FERNANDO PINEDA ROJAS</t>
  </si>
  <si>
    <t>Wilmar\ Fernando\ Pineda\ Rojas</t>
  </si>
  <si>
    <t>Redes complejas y sistemas de radar</t>
  </si>
  <si>
    <t>Si.</t>
  </si>
  <si>
    <t>escritura de articulos, esto contribuye a extender el entendimiento de la ciencia en las areas del conocimiento en la cual me desempeño laboralmente.</t>
  </si>
  <si>
    <t>de momento no.</t>
  </si>
  <si>
    <t xml:space="preserve">Una estrategia clara acerca de los mismos, que evite el proceso infructuoso y desgastante de los procesos para acceder a dichos estimulos que no estan debidamente reglamentados. </t>
  </si>
  <si>
    <t xml:space="preserve">Por que me permiten acceder a la formación enfocada en mis objetivos. </t>
  </si>
  <si>
    <t>Estos abarcan grandes areas del conocimiento aplicable en le quehacer profesional.</t>
  </si>
  <si>
    <t xml:space="preserve">De momento no tengo ninguno en la mente. </t>
  </si>
  <si>
    <t xml:space="preserve">La lectura y desarrollo de multiples articuos y proyectos enfocados en areas del conocimiento que son diversas me ha contribuido a mejorar mi forma de investigación. </t>
  </si>
  <si>
    <t>No sabe/ No responde.</t>
  </si>
  <si>
    <t>Imagemaker</t>
  </si>
  <si>
    <t>Actualmente no tengo jefe directo.</t>
  </si>
  <si>
    <t>lpgarciam@udistrital.edu.co</t>
  </si>
  <si>
    <t>LINA PAOLA GARCIA MALAGON</t>
  </si>
  <si>
    <t>Lina\ Paola\ García\ Malagón</t>
  </si>
  <si>
    <t>Análisis espacial - Geomática - Gestión del Riesgo</t>
  </si>
  <si>
    <t>La\ incorporación\ de\ este\ idioma\ en\ una\ asignatura\ sería\ impor\tan te\ porque\ promoveria\ la\ práctica\ de\ este\ idioma\ que\ aportaría\ a\ que\ en\ la\ vida\ academica\ y\ profesional\ se\ tenga\ mejor\ manejo\ de\ este\ como\ segundo\ idioma</t>
  </si>
  <si>
    <t>Participe en  el Seminario en IA y Machine Learning - Posgrado Fac. Ingeniería U. Distrital y aporto bastante a mi curso de big data y al entendimiento de la inteligencia artificial y su importancia, también participe en el reto de desarrolladores el cual tuvo un nivel alto y se pudieron aplicar diversos conocimientos obtenidos a lo largo de la Maestría para brindar una solución.</t>
  </si>
  <si>
    <t xml:space="preserve">Tal vez enviarlos por medio como el Grupo de Whatsapp  en formatos como infografías </t>
  </si>
  <si>
    <t>Me parece que la aplicación de estímulos  y apoyos socioeconómicos que maneja son adecuados y de conocimiento para todo aquel que quiera optar por realizar la MCIC</t>
  </si>
  <si>
    <t>Opte por elegir como electiva Big data en donde vimos temas de inteligencia artifical que actualmente es un tema de ínteres en el mundo al igual que en la vida profesional esta asignatura me permitió entender de una mejor manera los conceptos que muchas veces son aplicado en mi trabajo.</t>
  </si>
  <si>
    <t>Adecuada y pertinente</t>
  </si>
  <si>
    <t>Tengo conocimiento que actualmente se esta manejando algunos proyectos con el IGAC, para una colaboración interinstitucional.</t>
  </si>
  <si>
    <t>El reto de desarrolladores de Esri.</t>
  </si>
  <si>
    <t>Totalmente en desacuerdo.</t>
  </si>
  <si>
    <t>Sector público (administración pública, gobierno)</t>
  </si>
  <si>
    <t>Instituto Geográfico Agustín Codazzi</t>
  </si>
  <si>
    <t>Johan Andres Avendaño Arias - johan.avendano@igac.gov.co</t>
  </si>
  <si>
    <t>jgonzalezs@udistrital.edu.co</t>
  </si>
  <si>
    <t>JHONATAN GONZALEZ SALGUERO</t>
  </si>
  <si>
    <t>JHONATAN\ GONZALEZ\ SALGUERO</t>
  </si>
  <si>
    <t>Machine learning</t>
  </si>
  <si>
    <t>Al\ ser\ una\ materia\ impratida\ en\ inglés,\ se\ podría\ aprender\ mucho\ vocabulario\ técnico\ acorde\ a\ la\ carrea,\ a\lg o\ que\ no\ se\ ve\ en\ cursos\ normales\ de\ inglés</t>
  </si>
  <si>
    <t>Ninguna</t>
  </si>
  <si>
    <t>Podría ser en la materia de seminario de investigación dedicarle una clase inicial a reforzar esto</t>
  </si>
  <si>
    <t>Una mayor divulgación de los mismos de manera frecuente</t>
  </si>
  <si>
    <t>Muy buena</t>
  </si>
  <si>
    <t>No tengo ningún ejemplo</t>
  </si>
  <si>
    <t>Conferencias sobre inteligencia artificial hechas en la universidad</t>
  </si>
  <si>
    <t>No.</t>
  </si>
  <si>
    <t xml:space="preserve"> En desacuerdo.</t>
  </si>
  <si>
    <t>UT CATASTRO MULTIPROPOSITO</t>
  </si>
  <si>
    <t>CARLOS ARTURO CASTELLANOS CASTILLO - 3002324325</t>
  </si>
  <si>
    <t>fzubietac@udistrital.edu.co</t>
  </si>
  <si>
    <t>FERNANDO ZUBIETA CORTES</t>
  </si>
  <si>
    <t xml:space="preserve">Fernando Zubieta </t>
  </si>
  <si>
    <t>Geomática, Economía, SIG</t>
  </si>
  <si>
    <t>Ayuda a mejorar la práctica y la dialéctica del idioma</t>
  </si>
  <si>
    <t xml:space="preserve">No he participado en el momento </t>
  </si>
  <si>
    <t xml:space="preserve">Mejorar los canales de comunicación del programa </t>
  </si>
  <si>
    <t xml:space="preserve">Analizar los datos sociodemográficos de los aspirantes para generar matrículas más justas y acordes con la realidad económica de la población, ésto aumentaría el nivel de cobertura en posgrado </t>
  </si>
  <si>
    <t xml:space="preserve">No conozco rutas de formación alternativas del programa </t>
  </si>
  <si>
    <t xml:space="preserve">Acorde con la estructura tecnológica del mercado laboral </t>
  </si>
  <si>
    <t xml:space="preserve">No conozco éste tipo de cooperaciones </t>
  </si>
  <si>
    <t>Innovación del conocimiento</t>
  </si>
  <si>
    <t xml:space="preserve">Simón Movilidad </t>
  </si>
  <si>
    <t xml:space="preserve">No puedo dar esa información </t>
  </si>
  <si>
    <t>jecaicedon@udistrital.edu.co</t>
  </si>
  <si>
    <t>EDUARDO NAVARRO JOAQUIN</t>
  </si>
  <si>
    <t>Joaquin\ Eduardo\ Caicedo\ Navarro</t>
  </si>
  <si>
    <t>Calidad de potencia, Inteligencia Artificial</t>
  </si>
  <si>
    <t>Mejor\ prepararacion\ para\ trabajar\ en\ empresas\ extranjeras</t>
  </si>
  <si>
    <t>Preparación y publicación de artículos científicos. Me ha formado como investigador</t>
  </si>
  <si>
    <t>Mayor divulgación de los posibles beneficios</t>
  </si>
  <si>
    <t>He podido participar en materias diversas, como por ejemplo, en diferentes áreas de inteligencia artificial</t>
  </si>
  <si>
    <t>Los énfasis son efectivos</t>
  </si>
  <si>
    <t xml:space="preserve">Convocatorias de la ODI para llevar a cabo participación en conferencias académicas </t>
  </si>
  <si>
    <t xml:space="preserve">Desarrollo de artículos de investigación como parte de la evaluación en materias como Bases de Datos, Inteligencia Computacional, Minería de datos, etc. Proyectos integradores como en las materias Tendencias en ingeniería de software y Computación en la nube </t>
  </si>
  <si>
    <t>Sector secundario (industria manufacturera, construcción, energía)</t>
  </si>
  <si>
    <t>Empresa de Energía de San Andrés</t>
  </si>
  <si>
    <t>Wilmar Moreno (Supervisor de contrato). Email: consultenergy2021@gmail.com</t>
  </si>
  <si>
    <t>juamgarzong@udistrital.edu.co</t>
  </si>
  <si>
    <t>JUAN MANUEL GARZON GIL</t>
  </si>
  <si>
    <t>Juan\ Manuel\ Garzón\ Gil</t>
  </si>
  <si>
    <t>Calidad del aire, imágenes satelitales, vegetación urbana, ordenamiento territorial</t>
  </si>
  <si>
    <t>Abre\ as\ purts\ a\ un\ comercio\ internacional,\ también\ mejora\ el\ acceso\ a\ ayor\ \inf ormación\ ya\ que\ la\ comundad\ y\ los\ recursos\ es\tan\ en\ ese\ idioma</t>
  </si>
  <si>
    <t xml:space="preserve">Trabaje en mi proyecto de grado en la modalidad de investigación e innovación, esta fue patrocinada por minciencias, me ayudo en procesos de redacción, manejo de datos, sustentación de hallazgos, adquisición de conocimiento en un área especifica. </t>
  </si>
  <si>
    <t>Mejorar la divulgación y que los tiempos para aplicar sean coherentes con dicha divulgación</t>
  </si>
  <si>
    <t>No tengo mayor conocimiento sobre este tema</t>
  </si>
  <si>
    <t>Considero que son adecuados.</t>
  </si>
  <si>
    <t>Al momento no</t>
  </si>
  <si>
    <t>Hasta el momento solo en clases, donde la forma de exponer los temas e interactuar con los estudiantes, fomenta un pensamiento diferente sobre los temas que se ven y permiten el pensar variables para los métodos expuestos</t>
  </si>
  <si>
    <t>ETB</t>
  </si>
  <si>
    <t>No me es posible</t>
  </si>
  <si>
    <t>sforeroz@udistrital.edu.co</t>
  </si>
  <si>
    <t>SEBASTIAN FORERO ZAPATA</t>
  </si>
  <si>
    <t xml:space="preserve">INTELIGENCIA ARTIFICIAL </t>
  </si>
  <si>
    <t>MEJORAR IDIOMA Y ACCEDER A MEJORES OPORTUNIDADES</t>
  </si>
  <si>
    <t>CHARLAS, HACKATONES, WEBINAR. AYUDAN A MEJORAR HABILIDADES TEORICAS Y TECNICAS</t>
  </si>
  <si>
    <t>NO</t>
  </si>
  <si>
    <t>INCENTIVO PERMANENCIA O APOYO</t>
  </si>
  <si>
    <t>DANDO MAS OPCIONES DE MEJORA ACADEMICA</t>
  </si>
  <si>
    <t>DE ACUERDO CON LAS NECESIDADES DEL MERCADO ACTUALMENTE</t>
  </si>
  <si>
    <t>NINGUNA</t>
  </si>
  <si>
    <t>PARTICIPACION EN TALLERES CHARLAS</t>
  </si>
  <si>
    <t>ESRI COLOMBIA</t>
  </si>
  <si>
    <t>DEIRO GONZALEZ</t>
  </si>
  <si>
    <t>jeahernandezn@udistrital.edu.co</t>
  </si>
  <si>
    <t>ANDRES NAVARRETE JEISSON</t>
  </si>
  <si>
    <t>JEISSON\ ANDRES\ HERNANDEZ\ NAVARRETE</t>
  </si>
  <si>
    <t>Procesamiento digital de imágenes, análisis espacial, series de tiempo</t>
  </si>
  <si>
    <t>Una\ asignatura\ en\ inglés\ puede\ ayudar\ a\ reforzar\ la\ comprensión\ y\ producción\ de\ conocimiento\ científico\ y\ preparar\ para\ posibles\ estudios\ posteriores.</t>
  </si>
  <si>
    <t>El desarrollo del proyecto de grado como actividad transversal al desarrollo de la maestría permite tomar los temas impartidos en las asignaturas desde un punto de vista mas crítico y enriquecedor por el lado de la investigación propia</t>
  </si>
  <si>
    <t>NA</t>
  </si>
  <si>
    <t>La posibilidad de tomar asignaturas electivas de otro énfasis permite ampliar el horizonte de conocimientos e intentar aplicar metodologías diferentes para el análisis de información laboral y académica</t>
  </si>
  <si>
    <t>Desde el énfasis de geomática se obtienen conocimientos que aplican para el desarrollo de proyectos por fuera del contexto académico</t>
  </si>
  <si>
    <t>La participación en el reto de desarrolladores de ESRI</t>
  </si>
  <si>
    <t>El desarrollo del proyecto de grado de la maestría</t>
  </si>
  <si>
    <t>Sector terciario (comercio, servicios: educación, salud, finanzas, etc.)</t>
  </si>
  <si>
    <t>GEOS SAS</t>
  </si>
  <si>
    <t>cisancheza@udistrital.edu.co</t>
  </si>
  <si>
    <t>CARLOS IVAN SANCHEZ ARIZA</t>
  </si>
  <si>
    <t xml:space="preserve">Carlos Ivan Sanchez Ariza </t>
  </si>
  <si>
    <t>Geomatica</t>
  </si>
  <si>
    <t xml:space="preserve">Familiarizacion con el idioma </t>
  </si>
  <si>
    <t>En impacto ambiental</t>
  </si>
  <si>
    <t xml:space="preserve">No se entiende la pregunta </t>
  </si>
  <si>
    <t>Acertada</t>
  </si>
  <si>
    <t xml:space="preserve">modelo dinámico para analizar los factores ambientales y antropogenicos en el páramo de chingaza </t>
  </si>
  <si>
    <t xml:space="preserve">En mi proyecto de grado: modelo dinámico para analizar los factores ambientales y antropogenicos en el páramo de chingaza </t>
  </si>
  <si>
    <t>Otro</t>
  </si>
  <si>
    <t xml:space="preserve">Recién entré entonces no tengo contacto con la persona encargada </t>
  </si>
  <si>
    <t>rvcastroa@udistrital.edu.co</t>
  </si>
  <si>
    <t>RUSBY VANESSA CASTRO ALFEREZ</t>
  </si>
  <si>
    <t>Rusby\ Vanessa\ Castro\ Alferez</t>
  </si>
  <si>
    <t xml:space="preserve">estadística, econometría </t>
  </si>
  <si>
    <t>podria\ afianzar\ mis\ conocimientos\ en\ el\ idioma</t>
  </si>
  <si>
    <t>La realización de artículos de investigación en cada una de las asignaturas de la maestría con el fin de reforzar y crear conocimientos en el estudiante.</t>
  </si>
  <si>
    <t>teniendo un canal de difusión actualizado</t>
  </si>
  <si>
    <t>No poner un limite en las notas de los estudiantes ya que muchos no cuentan con los recursos y tienen que desertar la carrera por ello</t>
  </si>
  <si>
    <t>Quizás faltan oferta de espacios académicos de acuerdo a los énfasis de cada estudiante.</t>
  </si>
  <si>
    <t xml:space="preserve">Ayuda a enfocar al estudiante en un área de interés, sin embargo es bueno que se oferten mas electivas de acuerdo al énfasis escogido </t>
  </si>
  <si>
    <t>No he evidenciado estos ejemplos</t>
  </si>
  <si>
    <t>La realización de papers y artículos científicos en cada una de las asignaturas</t>
  </si>
  <si>
    <t>No cuento con empleo actualmente</t>
  </si>
  <si>
    <t>knnuneza@udistrital.edu.co</t>
  </si>
  <si>
    <t>KAREN NATHALIA NUNEZ AYURE</t>
  </si>
  <si>
    <t>Karen\ Nathalia\ Nuñez\ Ayure</t>
  </si>
  <si>
    <t>Análisis de imágenes satelitales</t>
  </si>
  <si>
    <t>Ayudaria\ a\ mejorar\ mi\ comprensión\ del\ ididoma,\ y\ complementaria\ mis\ conocimientos\ espécificpos\ en\ ingles</t>
  </si>
  <si>
    <t>Generación de artículos investigativos en cada una de las asignaturas como producto del conocimiento adquirido, relacionados con el trabajo de grado propuesto al inicial de la maestría.</t>
  </si>
  <si>
    <t>Mantener actualizado los reglamentos en la pagina web de la maestria.</t>
  </si>
  <si>
    <t>En la pagina web de la maestría seria muy bueno que se especificaran todos los estímulos académicos y apoyos socioeconómicos.</t>
  </si>
  <si>
    <t xml:space="preserve">Considero que para el énfasis de geomática es limitada las oferta de electivas relacionadas, y limitan la posibilidad de profundizar el conocimiento en este énfasis. </t>
  </si>
  <si>
    <t>Las asignaturas obligatorias de cada énfasis son pertinentes, sin embargo es limitada la oferta de electivas del énfasis de geomatica.</t>
  </si>
  <si>
    <t xml:space="preserve">No estoy al tanto de proyectos específicos que resulten de la cooperación académica. </t>
  </si>
  <si>
    <t xml:space="preserve">Durante la maestría el proyecto de investigación ha sido fundamental en mi desarrollo a nivel investigativo, ya que en varias asignaturas a sido el eje central para la formulación de artículos. </t>
  </si>
  <si>
    <t xml:space="preserve">Departamento Administrativo Nacional de Estadísticas. </t>
  </si>
  <si>
    <t>Debo preguntar si puedo suministrar la información.</t>
  </si>
  <si>
    <t>xanoboac@udistrital.edu.co</t>
  </si>
  <si>
    <t>XAVIER ALBERTO NOBOA CALDERON</t>
  </si>
  <si>
    <t>XAVIER\ ALBERTO\ NOBOA</t>
  </si>
  <si>
    <t>51 o más</t>
  </si>
  <si>
    <t>Bases de Datos, Ingeniería de Datos, Ingeniería de Software</t>
  </si>
  <si>
    <t>ES\ UNA\ BUENA\ OPCIÓN</t>
  </si>
  <si>
    <t>N/A</t>
  </si>
  <si>
    <t>En Ingeniería de Software hace más materias de profundización como son Pruebas</t>
  </si>
  <si>
    <t>GRUPO KERALTY</t>
  </si>
  <si>
    <t>bsoviedoy@udistrital.edu.co</t>
  </si>
  <si>
    <t>BRAYAN STIVEN OVIEDO YATE</t>
  </si>
  <si>
    <t>Brayan\ Stiven\ Oviedo\ Yate</t>
  </si>
  <si>
    <t>Procesamiento de Lenguaje Natural, Inteligencia Artificial, Sistemas de Información Geográfica</t>
  </si>
  <si>
    <t>Mantener la practica constante del ingles conversacional y profesional es una  gran ventaja a la hora de presentar examenes internacionales con enfasis profesional como el IETLS,por tanto, eso puede ayudar bastante a reforzar esos terminos tecnicos que, de otra manera, no podrian ser adquiridos en un entorno de aprendizaje de otro tipo. Tener la posibilidad de hablar un ingles tecnico constantemente fortaleceria esas competencias y proyectaria la maestria en terminos de internacionalizacion</t>
  </si>
  <si>
    <t>Junto con el grupo de investigacion NIDE se han realizado acercamientos a otros grupos de investigacion de colombia, asi como ha entidades para facilitar ciertos procesos investigativos puntuales como el procesamiento de datos en la realizacion de mi tesis de maestria. En ese sentido, considero  que el trabajo realizado de la mano de la linea de investigacion ha contribuido en general a entender problematicas desde distintas opticas y aumentar el trabajo interdisciplinar. De otra parte, se ha realizado la presentacion de una parte de mi tesis de maestria en un congreso internacional, y el apoyo de la investigacion de la UD fue fundamental para conocer mas puntos de vista, conocer investigaciones extranjeras y tener feedback de otras partes del mundo, asi como el enriquecimiento cultural de compartir con otras culturas.</t>
  </si>
  <si>
    <t>El uso de los flyers ha hecho que ciertos procesos sean mas claros, pero creo que se podria fortalecer la parte grafica para explicar tramites especificos que se complejizan: ejemplo: solicitar un apoyo para internacionalizacion,  pasos y fechas para graduacion</t>
  </si>
  <si>
    <t>Seria bueno tener apoyos al merito academico en posgrado. En mi caso particular, soy externo a la UD en pregrado, por tanto, no tengo ningun apoyo economico (aparte del electoral), que pueda ayudarme en la consecucion de la maestria. Si bien entiendo que es justo, si considero que el excelente rendimiento academico podria premiarse en posgrado, exclusivamente dependiendo de esto, con algun estimulo de porcentaje de descuento. De otra parte,  la posibilidad de apoyar desde posgrado con actividades investigativas o docentes (como pasa en otras universidades como la universidad nacional), podria ayudar tanto a los estudiantes de posgrado,  como al mejoramiento en investigacion y docencia de la universidad en general.</t>
  </si>
  <si>
    <t>Es flexible en terminos de oferta, por lo cual se pueden elegir varias opciones para fomentra distintas areas del  perfil profesional</t>
  </si>
  <si>
    <t>Son actuales, y son pertinentes dentro de las necesidades investigativas de Colombia, asi como las necesidades de mi formacion particular.</t>
  </si>
  <si>
    <t>Realice una presentacion de ponencia en Alemania el semestre pasado apoyado por el grupo NIDE y la universidad, asi como el desarrollo de mi tesis que se ha realizado en conjunto con una entidad del sector cultura (Instituto caro y cuervo)</t>
  </si>
  <si>
    <t>El desarrollo del proyecto de grado han hecho que haya profundizado en areas que no conocia, asi como algunas materias que me han despertado enfoques investigativos y tecnologicos que podrian ser aplicados en mi area de estudio</t>
  </si>
  <si>
    <t>Instituto Caro y cuervo</t>
  </si>
  <si>
    <t>Johnatan Bonilla - johnatan.bonilla@caroycuervo.gov.co</t>
  </si>
  <si>
    <t>dkpulidov@udistrital.edu.co</t>
  </si>
  <si>
    <t>DEYSA KATHERINE PULIDO VALENZUELA</t>
  </si>
  <si>
    <t>deysa\ katherine\ pulido\ valenzuela</t>
  </si>
  <si>
    <t>geomatica</t>
  </si>
  <si>
    <t>ayudaría\ a\ la\ comprensión\ de\ los\ temas</t>
  </si>
  <si>
    <t>Proyecto Fit For Porpused</t>
  </si>
  <si>
    <t>sería oportuno empezar a hablar temas de relevancia correspondientes al reglamento estudiantil y las políticas académicas en el grupo de whatsapp.</t>
  </si>
  <si>
    <t>Pienso que los estimulos actuales son positivos para la permanencia de la maestría.</t>
  </si>
  <si>
    <t>las asignaturas correspondientes a servicios web, analisis espacial, bases de datos espaciales han servido a ejercer mucho mejor mi trabajo dentro de la entidad</t>
  </si>
  <si>
    <t>El plan de estudios áctual para el énfasis de Geomática debería añadir temas de inteligencia artificial dentro del contenido, ya que es un tema relevante en la actualidad.</t>
  </si>
  <si>
    <t>el proyecto de Fit For Porpused fue un proyecto de colaboración internacional donde una estudiante de la Maestría realizó una tesis referente a su adopción en Colombia.</t>
  </si>
  <si>
    <t>Departamento Administrativo de La Defensoría Del Espacio Público</t>
  </si>
  <si>
    <t>no puedo proporcionar actualmente esa información</t>
  </si>
  <si>
    <t>esguevarav@udistrital.edu.co</t>
  </si>
  <si>
    <t>Edwin Steven Guevara Valencia</t>
  </si>
  <si>
    <t>Edwin\ Guevara</t>
  </si>
  <si>
    <t>Redes Neuronales, Inteligencia Computacional</t>
  </si>
  <si>
    <t>La\ \inf ormacion\ mas\ reciente\ en\ la\ gran\ mayoria\ de\ campos\ de\ investigacion\ se\ encuentra\ en\ ingles,\ ademas\ de\ mejorar\ una\ habilida\ de\ lenguaje\ que\ puede\ impactar\ no\ solo\ la\ academia\ si\ no\ el\ ambito\ laboral</t>
  </si>
  <si>
    <t>Divulgacion via email y momentos de socializacion al inicio del semestre</t>
  </si>
  <si>
    <t>mas divulgacion, creo que hay desconocimiento en los procesos y los sitios web no suelen estar actualizados en muchos escenarios</t>
  </si>
  <si>
    <t>Creo que la efectividad es alta, pero me gustaria que estuvieran mas cohesionadas las materias siendo impartidas, o que fuese mas flexible la disposicion de los espacios</t>
  </si>
  <si>
    <t>Los proyectos de curso fomentan el uso de pensamiento critico para establecer estrategias de solucion</t>
  </si>
  <si>
    <t>Trajectory inc</t>
  </si>
  <si>
    <t>cygalindoc@udistrital.edu.co</t>
  </si>
  <si>
    <t>CHRISTIAN YESID GALINDO CANO</t>
  </si>
  <si>
    <t>Christian Yesid Galindo Cano</t>
  </si>
  <si>
    <t>Modelos 3D del territorio y Estadística Espacio-Temporal</t>
  </si>
  <si>
    <t>Como desarrollador, las mejores oportunidades laborales requieren un nivel de inglés alto, por lo que serviría como práctica previa al mundo laboral</t>
  </si>
  <si>
    <t>Participación en el congreso LoHacemosxTIC como ponente, me ha ayudó a mejorar mis habilidades blandas al exponer un artículo científico frente a un público interesado en el tema</t>
  </si>
  <si>
    <t>Las acciones actuales me parecen pertinentes</t>
  </si>
  <si>
    <t>Los horarios de estudio en la noche me han permitido continuar laborando sin ningún inconveniente</t>
  </si>
  <si>
    <t>Los énfasis en Teleinformática, Ingeniería de Software, Geomática e Inteligencia Artificial son efectivos porque, al trabajar en conjunto, permiten a los estudiantes desarrollar soluciones tecnológicas completas: desde la conectividad y el análisis de datos geoespaciales hasta la creación de software y la implementación de inteligencia artificial, abordando de manera integral los desafíos del mundo digital y tecnológico actual.</t>
  </si>
  <si>
    <t>No tengo conocimiento</t>
  </si>
  <si>
    <t>Durante el desarrollo de mi tesis he tenido la oportunidad de formarme en tecnologías relacionadas con los sistemas de información geográfica</t>
  </si>
  <si>
    <t>Esri Colombia</t>
  </si>
  <si>
    <t xml:space="preserve">Andrés López - 3043041327 </t>
  </si>
  <si>
    <t>bfortizc@udistrital.edu.co</t>
  </si>
  <si>
    <t>BRAYAN FERNANDO ORTIZ CAICEDO</t>
  </si>
  <si>
    <t>Brayan\ Fernando\ Ortiz\ Caicedo</t>
  </si>
  <si>
    <t>Desarrollo de Software, rehabilitacion</t>
  </si>
  <si>
    <t>Creo\ que\ el\ conocimiento\ se\ arraiga\ mejor\ en\ mi\ lengua\ natal.</t>
  </si>
  <si>
    <t>Congresos tecnologicos, en mi trabajo y escuchando las investigaciones de mis compañeros</t>
  </si>
  <si>
    <t>Para mejorar la divulgación no.</t>
  </si>
  <si>
    <t>No se deberia perder el descuento de egresado, por tener una nota inferior a 4 en alguna asignatura.</t>
  </si>
  <si>
    <t>algunas clases de manera virtual me parece una flexibilidad adecuada para algunas asignaturas.</t>
  </si>
  <si>
    <t>Creo que es muy buena.</t>
  </si>
  <si>
    <t>Las materias que se enfocan en el desarrollo de mi proyecto de grado</t>
  </si>
  <si>
    <t>Aeronautica Civil de Colombia</t>
  </si>
  <si>
    <t>3209468983 Diego Giraldo Coordinador de Grupo Direccion de Telecomunicaciones</t>
  </si>
  <si>
    <t>hjortizm@udistrital.edu.co</t>
  </si>
  <si>
    <t>JOAN MONCADA HAESSLER</t>
  </si>
  <si>
    <t>Haessler\ Joan\ Ortiz\ Moncada</t>
  </si>
  <si>
    <t>Deep Learning aplicado al analisis de imágenes</t>
  </si>
  <si>
    <t>En la facilidad para estudiar en el exterior o laborar en empresas del exterior.</t>
  </si>
  <si>
    <t>Econometria espacial aplicada al analisis del valor del terreno: Me permitió un acercamiento con la forma en que se debe adelantar una investigación, especialmente en la rigurosidad requerida.</t>
  </si>
  <si>
    <t>No creo que sea el área en que deba mejorar, tal vez podrían mejorar en la cooperación interinstitucional con otras entidades.</t>
  </si>
  <si>
    <t>No estoy enterado del concepto "Rutas de formación alternativa"</t>
  </si>
  <si>
    <t>No considero necesario dividir los énfasis, creo que deberían haber núcleos comunes y el estudiante debería elegir las materias que le permitirían llevar a cabo si proyecto.</t>
  </si>
  <si>
    <t>Mi proyecto de grado en el programa de Ingeniería Catastral y Geodesia. El título fue: 'Analisis del valor de terreno en el marco de la construcción de la Avenida 9 entre calles 127 y 153 mediante la GWR.</t>
  </si>
  <si>
    <t>INVIAS</t>
  </si>
  <si>
    <t>Wilmer Ballena 3002154127</t>
  </si>
  <si>
    <t>jpmoralesr@udistrital.edu.co</t>
  </si>
  <si>
    <t>JUAN PABLO MORALES RIVERA</t>
  </si>
  <si>
    <t>Juan Pablo Morales</t>
  </si>
  <si>
    <t>Teleinformatica</t>
  </si>
  <si>
    <t>Ciberseguridad industrial, protocolos de comunicación industrial, arquitectura de sistemas de control y protecciones electrónicas.</t>
  </si>
  <si>
    <t xml:space="preserve">Adquirir conocimientos y vocabulario técnico en otro idioma </t>
  </si>
  <si>
    <t xml:space="preserve">Mejora de la seguridad de los sistemas eléctricos en los que he trabajado </t>
  </si>
  <si>
    <t xml:space="preserve">No conozco las acciones que se realizan </t>
  </si>
  <si>
    <t xml:space="preserve">El análisis de datos, </t>
  </si>
  <si>
    <t xml:space="preserve">En las publicaciones academias y científicas, en la trayectoria profesional </t>
  </si>
  <si>
    <t>Isa</t>
  </si>
  <si>
    <t>Nelson Mesa njmesa@ISA.com.co</t>
  </si>
  <si>
    <t>sdlopezp@udistrital.edu.co</t>
  </si>
  <si>
    <t>SERGIO DANIEL LOPEZ PINZON</t>
  </si>
  <si>
    <t>Sergio Daniel López Pinzón</t>
  </si>
  <si>
    <t xml:space="preserve">LiDAR, redes neuronales artificiales, Gestión de Activos Infraestructura Vial. </t>
  </si>
  <si>
    <t xml:space="preserve">Afianzaría mi habilidad para el inglés, que es el idioma "natural" de la ciencia y la investigación. </t>
  </si>
  <si>
    <t>Escritura de documentos científicos como tesis y artículos para revistas especializadas. La escritura clara y ordenada (científica) es una actividad primordial en la construcción de sociedades modernas: permite transmitir ideas complejas de forma estructurada y comprensible para la consiguiente implementación de las mismas a diferentes escalas. Haber practicado esta habilidad en la maestría, ha impactado en mi formación integral, permitiéndome utilizarla con suficiencia en mi vida profesional.</t>
  </si>
  <si>
    <t xml:space="preserve">Divulgación en las redes sociales del programa, principalmente WhatsApp. </t>
  </si>
  <si>
    <t>No comprendo qué son las rutas de formación alternativas</t>
  </si>
  <si>
    <t xml:space="preserve">Me parecen énfasis pertinentes. Considero que son las disciplinas más importantes de las Ciencias de la Información y las Comunicaciones. </t>
  </si>
  <si>
    <t>No tengo ejemplos</t>
  </si>
  <si>
    <t>Proyecto de Desarrollo de un Sistema de Mapeo Móvil para la Gestión de Infraestructura Vial. Grupo de investigación en infraestructura sostenible de la facultad de Medio Ambiente de la UDFJC.</t>
  </si>
  <si>
    <t xml:space="preserve">No es posible. </t>
  </si>
  <si>
    <t>dizabalad@udistrital.edu.co</t>
  </si>
  <si>
    <t>DANIELA IVON ZABALA DONATO</t>
  </si>
  <si>
    <t>Daniela\ Ivon\ Zabala\ Donato</t>
  </si>
  <si>
    <t>Geodesia</t>
  </si>
  <si>
    <t>Creo\ que\ podria\ resultar\ un\ reto\ interesante\ abordar\ tematicas\ de\ mi\ area\ de\ conocimiento.\ Me\ impulsaria\ a\ mejorar\ tambien\ la\ practica\ del\ idioma.</t>
  </si>
  <si>
    <t>He participado en proyectos de investigación en Geodesia, por el sitio en el que trabajo.</t>
  </si>
  <si>
    <t>Se tiene una divulgación correcta y clara de la normativa. Además el apoyo desde la coordinación es el pertinente.</t>
  </si>
  <si>
    <t>A nivel de la institución se podría dar mas divulgación a estudiantes de pregrado.</t>
  </si>
  <si>
    <t>Los horarios y la carga académica hasta el momento es la adecuada.</t>
  </si>
  <si>
    <t>Se tiene una amplia oferta de acuerdo a las áreas de conocimiento de las carreras que se brindan desde la facultad de ingeniería.</t>
  </si>
  <si>
    <t>No tengo conocimiento.</t>
  </si>
  <si>
    <t>El desarrollo del proyecto al interior del grupo de investigacion de la universidad, ha impulsado el interes sobre el area de conocimiento.</t>
  </si>
  <si>
    <t>Maria Camila Bautista Herrera, Centro de Control Geodesico, IGAC</t>
  </si>
  <si>
    <t>anzaratem@udistrital.edu.co</t>
  </si>
  <si>
    <t>ALVARO NICOLAS ZARATE MARTINEZ</t>
  </si>
  <si>
    <t xml:space="preserve">Alvaro\ Nicolas\ Zarate\ Martinez\ </t>
  </si>
  <si>
    <t>Geoespacial, geomatica, proyectos de carbono</t>
  </si>
  <si>
    <t>Desarrollando\ vocabulario\ técnico\ enfocado\ en\ investigación\ y\ el\ área\ geoespacial</t>
  </si>
  <si>
    <t>Participación en los semilleros de investigación, me ha dado las pautas para redactar adecuadamente tanto informes técnicos como artículos</t>
  </si>
  <si>
    <t xml:space="preserve">Envío ocasional de banners informativos </t>
  </si>
  <si>
    <t>Charlas virtuales segregadas de acuerdo a los proyectos de investigación</t>
  </si>
  <si>
    <t>No he participado</t>
  </si>
  <si>
    <t>Aun no he participado en la totalidad en algunos de los enfasis</t>
  </si>
  <si>
    <t xml:space="preserve">No he participado </t>
  </si>
  <si>
    <t xml:space="preserve">En la estructuración de la propuesta de grado y la visualización de alternativas de desarrollo o financiación </t>
  </si>
  <si>
    <t>IFCAYA SAS</t>
  </si>
  <si>
    <t>Tomas Ordoñez - Gerente Financiero</t>
  </si>
  <si>
    <t>gapatinom@udistrital.edu.co</t>
  </si>
  <si>
    <t>GERARDO ANDRES PATIÑO MONTOYA</t>
  </si>
  <si>
    <t>Gerardo\ Andrés\ Patiño\ Montoya</t>
  </si>
  <si>
    <t>Percepción remota, regresión lineal y multivariada, estimación de parámetros.</t>
  </si>
  <si>
    <t>Trabajo\ en\ un\ ambiente\ 100\%\ en\ inglés,\ estoy\ a\cos tumbrado\ a\ la\ instrucción\ y\ entrenamiento\ en\ inglés\ por\ lo\ que\ me\ serviría,\ directamente,\ tener\ clases\ en\ inglés\ por\ temas\ de\ lenguaje\ técnico.</t>
  </si>
  <si>
    <t>Actualmente estoy cursando la Maestría la cual considero una de las actividades más importantes con relación a la investigación, lo cual, hasta ahora, me ha impactado favorablemente en mi percepción de la realidad y cómo me desarrollo como individuo y profesional en la sociedad.</t>
  </si>
  <si>
    <t>Medios electrónicos más integrales como divulgación por redes sociales, TikTok, Instagram Reels, etc.</t>
  </si>
  <si>
    <t>Considero que la divulgación es algo limitada.</t>
  </si>
  <si>
    <t>La estructuración de horarios pertinentes para alinear procesos laborales con académicos.</t>
  </si>
  <si>
    <t>Pertinente, debido a que la Maestría recibe personas de diferentes enfoques, carreras y experiencias, lo que permite formarse en temas más específicos a fines a los objetivos de cada persona.</t>
  </si>
  <si>
    <t>Aún no he tenido la oportunidad de participar en dichos proyectos.</t>
  </si>
  <si>
    <t>Vinali Group SAS, cliente directo Stone Building Solutions</t>
  </si>
  <si>
    <t>Tara Lyn Stone +1 (407) 234 - 7993</t>
  </si>
  <si>
    <t>rnbarretor@udistrital.edu.co</t>
  </si>
  <si>
    <t>ROBERT NICOLAS BARRETO REYES</t>
  </si>
  <si>
    <t>ROBERT\ NICOLAS\ BARRETO\ REYES</t>
  </si>
  <si>
    <t>Fotogrametria</t>
  </si>
  <si>
    <t>GEnerando\ familiaridad\ con\ el\ idioma\ para\ posibles\ encuentros\ aa\ Futuro</t>
  </si>
  <si>
    <t>Grupos de investigacion</t>
  </si>
  <si>
    <t>Un QR en los salones de clase</t>
  </si>
  <si>
    <t xml:space="preserve">Una mayor divulgación para los estudiantes de pregrado </t>
  </si>
  <si>
    <t xml:space="preserve">Me han ayudado en tener un poco más de tranquilidad en términos profesionales </t>
  </si>
  <si>
    <t>La valoro como una buena efectividad ya que me parecen que hacen parte de un todo en un área pero con sus respectivas especificidades</t>
  </si>
  <si>
    <t>Hasta el momento como soy muy nuevo no conozco muchos casos más que investigaciones que asocien con instituciones nacionales como por ejemplo el IGAC</t>
  </si>
  <si>
    <t>Una reunión completa donde se presentan los grupos de investigación de la facultad</t>
  </si>
  <si>
    <t>UT DYMAXION SIGLA</t>
  </si>
  <si>
    <t>Oscar Jaime Oscar.jaime@sigla-sas.com</t>
  </si>
  <si>
    <t>ambohorquez@udistrital.edu.co</t>
  </si>
  <si>
    <t>ANGELA MARCELA BOHORQUEZ RAIRAN</t>
  </si>
  <si>
    <t>Ángela\ Marcela\ Bohórquez\ Rairán</t>
  </si>
  <si>
    <t>41 a 50</t>
  </si>
  <si>
    <t>Analítica de datos</t>
  </si>
  <si>
    <t>Obligaría\ a\ mejorar\ la\ comunicación\ en\ inglés</t>
  </si>
  <si>
    <t>Enviar por correo los documentos o links correspondientes</t>
  </si>
  <si>
    <t>Deberían existir descuentos para docentes de hora cátedra</t>
  </si>
  <si>
    <t>No tengo ejemplos por el momento</t>
  </si>
  <si>
    <t>Aún no tengo conocimiento suficiente para valorar la efectividad</t>
  </si>
  <si>
    <t>Aún no tengo ejemplos</t>
  </si>
  <si>
    <t>Universidad Distrital Francisco José de Caldas</t>
  </si>
  <si>
    <t>Decano Facultad de Ingeniería / Coordinación Ing. Catastral / Coordinación Ing. Eléctrica</t>
  </si>
  <si>
    <t>yaortizv@udistrital.edu.co</t>
  </si>
  <si>
    <t>YOUSSEF ALEJANDRO ORTIZ VARGAS</t>
  </si>
  <si>
    <t>YoussefAlejandro\ Ortiz\ V\arg as</t>
  </si>
  <si>
    <t>Sistemas complejos e inteligencia artificial</t>
  </si>
  <si>
    <t>Exponiendome\ constatemente\ al\ idioma</t>
  </si>
  <si>
    <t>Énfasis en su importancia y acceso más fácil y rápido</t>
  </si>
  <si>
    <t xml:space="preserve">Contacto directo con los estudiantes para conocer las áreas de interés, además de ofrecer apoyos económicos según sea posible y realmente motive al estudiante </t>
  </si>
  <si>
    <t>Ampliando las áreas de influencia y conocimiento para que haya estudios interdisciplinarios</t>
  </si>
  <si>
    <t xml:space="preserve">Enfoca al estudiante en el área de interés y evita adquirir conocimiento que no serán utilizados posteriormente </t>
  </si>
  <si>
    <t>Proyectos de investigación de impacto en la sociedad y en los problemas más urgentes</t>
  </si>
  <si>
    <t xml:space="preserve">GTC Ingeniería </t>
  </si>
  <si>
    <t>José Ochoa - 312 7220668</t>
  </si>
  <si>
    <t>ilmorenom@udistrital.edu.co</t>
  </si>
  <si>
    <t>IVONNE LIZETH MORENO MARTINEZ</t>
  </si>
  <si>
    <t>Ivonne\ Lizeth\ Moreno\ Martinez</t>
  </si>
  <si>
    <t>Base de Datos en Información Financiera</t>
  </si>
  <si>
    <t>Porque\ al\ hacerse\ habitual\ una\ segunda\ lengua,\ al\ momento\ de\ ejercer\ profesionalmente\ ya\ se\ tendrán\ bases\ solidas\ para\ comunicarse\ en\ dicha\ lengua.</t>
  </si>
  <si>
    <t>En el pregrado estuve involucrada en semillero en área contable, esto me ayudó a desarrollar habilidades investigativas y de comunicación</t>
  </si>
  <si>
    <t>No tengo</t>
  </si>
  <si>
    <t>No hay sugerencia</t>
  </si>
  <si>
    <t>Actualmente me encuentro solicitando la posibilidad de realizar pasantía situación que me permitirá aplicar los conocimientos adquiridos a nivel profesional</t>
  </si>
  <si>
    <t>Ayuda a adquirir conocimientos enfocados a las areas de interes</t>
  </si>
  <si>
    <t xml:space="preserve">Por ejemplo se encuentra el proyecto de energías renovables, </t>
  </si>
  <si>
    <t>Me encuentro en primer semestre, aun no he participado en proyectos de este tipo</t>
  </si>
  <si>
    <t>Solvo Global S.A.S.</t>
  </si>
  <si>
    <t>No poseo esta información</t>
  </si>
  <si>
    <t>jjsoleru@udistrital.edu.co</t>
  </si>
  <si>
    <t>JHON JAIRO SOLER UMBARILA</t>
  </si>
  <si>
    <t>Jhon\ Jairo\ Soler\ Umbarila</t>
  </si>
  <si>
    <t>Minería de datos, Big Data, Ingeniería de Software, Catastro Multipropósito</t>
  </si>
  <si>
    <t>ampliaría\ mi\ léxico\ aplicable\ al\ entorno\ laboral</t>
  </si>
  <si>
    <t>Modelación de calidad del aire en el contexto urbano, Zonificación ambiental del área de influencia de un embalse en el departamento de Boyacá, Implementación de un Geovisor para la visualización de concentraciones de carbono orgánico en el suelo.</t>
  </si>
  <si>
    <t>no</t>
  </si>
  <si>
    <t>Ampliar los tiempos de convocatoria, pues hasta el momento sólo se abren una vez por año.</t>
  </si>
  <si>
    <t>En el contexto laboral haber optado por proyectos de aplicación e implementación ha favorecido mis competencias y fortalecido mi comprensión de los problemas organizacionales.</t>
  </si>
  <si>
    <t>muy alta</t>
  </si>
  <si>
    <t>proyectos como el avión eléctrico que cuentan con financiación privada, se convierten en un hito para los grupos de investigación que soportan la maestría.</t>
  </si>
  <si>
    <t>Desde el ciclo de Especialización he afianzado el conocimiento, para el desarrollo e implementación de soluciones geográficas y de datos, sin embargo dentro de mi propuesta de investigación, espero solucionar algunos problemas que se presentan actualmente en los gestores catastrales.</t>
  </si>
  <si>
    <t>Alcaldía del Municipio de Cota</t>
  </si>
  <si>
    <t>Es una Entidad pública</t>
  </si>
  <si>
    <t>mcforeros@udistrital.edu.co</t>
  </si>
  <si>
    <t>MIKE CRISTHIAM FORERO SARMIENTO</t>
  </si>
  <si>
    <t>Mike\ Cristhiam\ Forero\ Sarmiento</t>
  </si>
  <si>
    <t>Ingeniera de software</t>
  </si>
  <si>
    <t>\Pr imero\ debe\ estar\ bien\ estructurada</t>
  </si>
  <si>
    <t>Ningún proceso de investigación</t>
  </si>
  <si>
    <t>Hasta ahora estoy conociendo el reglamento y las políticas académicas</t>
  </si>
  <si>
    <t>Primero mejorar información en la pagina web</t>
  </si>
  <si>
    <t>Aun no tengo suficiente información para responder esta pregunta</t>
  </si>
  <si>
    <t>Valoraría la actualidad de esos campos en el actual ambiente social en el mundo</t>
  </si>
  <si>
    <t xml:space="preserve">Aun no tengo suficiente información, para responder esta pregunta </t>
  </si>
  <si>
    <t>DIAN</t>
  </si>
  <si>
    <t>no seria posible, creo que no es viable</t>
  </si>
  <si>
    <t>mvaletam@udistrital.edu.co</t>
  </si>
  <si>
    <t>MAXIMILIANO VALETA MEDINA</t>
  </si>
  <si>
    <t>Maximiliano\ Valeta\ Medina</t>
  </si>
  <si>
    <t>IT</t>
  </si>
  <si>
    <t>Mejoraria\ notablemente\ mi\ nivel\ de\ ingles\ en\ el\ aspecto\ de\ escucha</t>
  </si>
  <si>
    <t>Canales de Whatsapp</t>
  </si>
  <si>
    <t>Mejores comunicaciones y mas iniciativas</t>
  </si>
  <si>
    <t>Medianamente Efectivo</t>
  </si>
  <si>
    <t>Grupo Alto</t>
  </si>
  <si>
    <t>Roberto Carrasco Carrasco</t>
  </si>
  <si>
    <t>mabonillad@udistrital.edu.co</t>
  </si>
  <si>
    <t>MARIA ALEJANDRA BONILLA DIAZ</t>
  </si>
  <si>
    <t>María\ Alejandra\ Bonilla\ Díaz</t>
  </si>
  <si>
    <t xml:space="preserve">Inteligencia Artificial - Psicología </t>
  </si>
  <si>
    <t xml:space="preserve">El inglés es requisito indispensable para avanzar tanto en el mercado laboral como académico </t>
  </si>
  <si>
    <t>Elaboración de artículos, participación en congresos</t>
  </si>
  <si>
    <t xml:space="preserve">Una sesión al iniciar la maestría en donde se divulguen los puntos claves del reglamento </t>
  </si>
  <si>
    <t xml:space="preserve">Podrían establecerse convenios que permitan la financiación del 100% de la maestría </t>
  </si>
  <si>
    <t>Aprendizaje de diferentes lenguajes en desarrollo</t>
  </si>
  <si>
    <t>Podría considerarse la actualización de los sílabo</t>
  </si>
  <si>
    <t>No aplica</t>
  </si>
  <si>
    <t xml:space="preserve">Universidad Distrital </t>
  </si>
  <si>
    <t>Juan Pablo Ramorez</t>
  </si>
  <si>
    <t>aazarabandag@udistrital.edu.co</t>
  </si>
  <si>
    <t>ALVARO ALEJANDRO ZARABANDA GUTIERREZ</t>
  </si>
  <si>
    <t>Alvaro Alejandro Zarabanda Gutierrez</t>
  </si>
  <si>
    <t>Inteligencia Artificial</t>
  </si>
  <si>
    <t>Se presentan bastantes oportunidades laborales en las que el ingles es requisito</t>
  </si>
  <si>
    <t>Seminarios de Investigacion</t>
  </si>
  <si>
    <t>Programas asistidos por TICS, con flexibilidad en los horarios, podria ser sincrono o asincrono</t>
  </si>
  <si>
    <t>Acordes con lo que el ambito laboral y academico piden hoy en dia</t>
  </si>
  <si>
    <t>Hackatones del minTIC</t>
  </si>
  <si>
    <t>Universidad Distrital Francisco Jose de Caldas</t>
  </si>
  <si>
    <t>Alejandro Paolo Daza Corredor</t>
  </si>
  <si>
    <t>aljimenezb@udistrital.edu.co</t>
  </si>
  <si>
    <t>ALEJANDRO JIMENEZ BARRERO</t>
  </si>
  <si>
    <t>Alejandro\ Jimenez\ Barrero</t>
  </si>
  <si>
    <t>Redes Moviles de quinta generación</t>
  </si>
  <si>
    <t>mejorar\ lenguaje\ tecnico\ y\ comunicacion</t>
  </si>
  <si>
    <t>falta mas oferta de materiua con cupos en enfasis de teleinformatica</t>
  </si>
  <si>
    <t>no he participado</t>
  </si>
  <si>
    <t>no he participadoi aun</t>
  </si>
  <si>
    <t>Huawei techonolgies</t>
  </si>
  <si>
    <t>lifrodriguezb@udistrital.edu.co</t>
  </si>
  <si>
    <t>LINA FERNANDA RODRIGUEZ BALAGUERA</t>
  </si>
  <si>
    <t>Lina\ Fernanda\ Rodriguez</t>
  </si>
  <si>
    <t xml:space="preserve">Ciberseguridad sobre arquitecturas cloud </t>
  </si>
  <si>
    <t>Podría\ ayudarme\ a\ tener\ mejores\ oportunidades\ laborales</t>
  </si>
  <si>
    <t>Investigación de métodos de forecast durante la pasantía en el pregrado</t>
  </si>
  <si>
    <t xml:space="preserve">Enviarlo masivamente por medios más cercanos al estudiante </t>
  </si>
  <si>
    <t>Divulgarlo masivamente</t>
  </si>
  <si>
    <t>Autoaprendizaje de tecnología IaaS, analítica de datos, arquitectura cloud, me ha permitido avanzar en este campo profesionalmente</t>
  </si>
  <si>
    <t xml:space="preserve">Son énfasis con mucha especialidad en los cuales se abarcan temáticas muy alineadas a las necesidades actuales del mercado </t>
  </si>
  <si>
    <t xml:space="preserve">Proyectos de investigación desarrollados en conjunto en los diferentes grupos como GITUD </t>
  </si>
  <si>
    <t>Investigación durante mi proyecto de pasantía</t>
  </si>
  <si>
    <t>TD SYNNEX</t>
  </si>
  <si>
    <t>isabel.pena@tdsynnex.com</t>
  </si>
  <si>
    <t>jamoralesm@udistrital.edu.co</t>
  </si>
  <si>
    <t>JHON ALEJANDRO MORALES MOJICA</t>
  </si>
  <si>
    <t>Jhon\ Alejandro\ Morales\ Mojica</t>
  </si>
  <si>
    <t>\Pr qctica\ oral\ en\ ambientes\ reales\ y\ academi\cos</t>
  </si>
  <si>
    <t xml:space="preserve">Procesos de analítica de datos que ha facilitado tareas del campo académico y productivo </t>
  </si>
  <si>
    <t>Na</t>
  </si>
  <si>
    <t>Matricula cero</t>
  </si>
  <si>
    <t>Puedo trabajar y estudiar sin apuros gracias al uso de las tics</t>
  </si>
  <si>
    <t>Completamente alineado con los intereses productivos que necesita el mercado actual</t>
  </si>
  <si>
    <t xml:space="preserve">Movilidad académica </t>
  </si>
  <si>
    <t>Interes en ciencia de datos y optimización de procesos</t>
  </si>
  <si>
    <t xml:space="preserve">Banco Davivienda </t>
  </si>
  <si>
    <t>Fredy Ferney Garay</t>
  </si>
  <si>
    <t>slangelv@udistrital.edu.co</t>
  </si>
  <si>
    <t>SERGIO LEONARDO ANGEL VILLAREAL</t>
  </si>
  <si>
    <t>Sergio\ Leonardo\ Angel\ Villarreal</t>
  </si>
  <si>
    <t>Deforestación, modelación de biodiversidad, comunidades locales</t>
  </si>
  <si>
    <t>Actualmente\ he\ perdido\ muchas\ ofertas\ laborales\ a\ causa\ de\ mi\ falta\ de\ competencias\ en\ inglés\ por\ lo\ que\ considero\ que\ es\ oportuno\ y\ pertinente</t>
  </si>
  <si>
    <t>Hago parte del grupo de investigación internet inteligente y esto me ha permitido postularme a ciertas convocatorias de financiación</t>
  </si>
  <si>
    <t>Si, debería se de mas fácil acceso y estar escrito en función de los estudiantes (su entendimiento)</t>
  </si>
  <si>
    <t>Deberia emprender un foro o un sitio web en donde se puedan ver todas las convocatorias financiables, adicionalmente deberían existir manuales o capacitaciones que permitan acceder mas fácilmente</t>
  </si>
  <si>
    <t>La asignatura de informática me ha servido para entender la infraestructura y la cultura organizacional como tema de interés dentro de ciertos desafíos laborales que he enfrentado</t>
  </si>
  <si>
    <t>Hace falta que ciertos docentes se actualicen mas en el contenido académico, como acción de mejora propondria que se invitaran docentes de otras universidad y dictaran ciertas clases o que algunas clases estuvieran a cargo de docentes externos en algunos semestres para mejorar el intercambio de conocimiento y fomentar la competitividad</t>
  </si>
  <si>
    <t>Por lo pronto, un proyecto esta en proceso de revisión por parte del Ministerio de Ciencias titulado Modelo de evaluación, pronóstico y optimización de la selección de las áreas de producción de la vainilla en el Bajo Baudó, Chocó con el apoyo de sus comunidades utilizando aprendizaje automático e Internet de las cosas (IoT)</t>
  </si>
  <si>
    <t>En este momento no estoy empleado</t>
  </si>
  <si>
    <t>sruedag@udistrital.edu.co</t>
  </si>
  <si>
    <t>STEFANY RUEDA GARZON</t>
  </si>
  <si>
    <t>Stefany\ Rueda</t>
  </si>
  <si>
    <t>Interaccion maquina humano</t>
  </si>
  <si>
    <t>Lenguaje\ técnico</t>
  </si>
  <si>
    <t>Investigacion de trabajo de pregrado en modelacion de sistemas</t>
  </si>
  <si>
    <t>Infografias</t>
  </si>
  <si>
    <t>Incluir acciones afirmativas</t>
  </si>
  <si>
    <t>El autoaprendizaje me ha proporcionado la posibilidad de explorar conocimientos de manera no formal y superficial, aun asi me han proporcionado de una buena base para mi desarrollo profesional</t>
  </si>
  <si>
    <t>Aun no puedo emitir un juicio</t>
  </si>
  <si>
    <t>Proyectos en conjunto con municipalidades para poder mejorar la calidad de vida de los habitantes y la aplicación de tecnologías</t>
  </si>
  <si>
    <t>Investigación de pregrado, aprendí la importancia de la interdisciplinaridad de las ciencias humanas y la tecnologia</t>
  </si>
  <si>
    <t>Scotiabank</t>
  </si>
  <si>
    <t>justin.smith@scotiabank.com</t>
  </si>
  <si>
    <t>jamatizg@udistrital.edu.co</t>
  </si>
  <si>
    <t>JOHAN ANDRES MATIZ GAITAN</t>
  </si>
  <si>
    <t>Johan\ Andres\ Matiz\ Gai\tan</t>
  </si>
  <si>
    <t>\Pr actica\ cons\tan te\ en\ el\ inglés\ y\ familiaridad\ con\ las\ ter\min o\log ias</t>
  </si>
  <si>
    <t>Aun no he participado en ninguna</t>
  </si>
  <si>
    <t xml:space="preserve">Hacer mayor divulgacion, ya que muchos no se presentan por la falta de conocimiento </t>
  </si>
  <si>
    <t>Me ha permitido tomar asignaturas acorde a mis intereses personales</t>
  </si>
  <si>
    <t>Bastante buena en la mayoria de los casos, sin embargo el enfasius de inteligencia artificial no ha estado disponible en semestres recientes</t>
  </si>
  <si>
    <t>Aun ninguno</t>
  </si>
  <si>
    <t xml:space="preserve">Las interacciones con docentes generan una gran contribucion a la formacion </t>
  </si>
  <si>
    <t>Universidad Distital Francisco José de Caldas</t>
  </si>
  <si>
    <t>Jose Ignacio Palacios, Jefe de la oficina de Bienestar Universitario</t>
  </si>
  <si>
    <t>ivperezd@udistrital.edu.co</t>
  </si>
  <si>
    <t>ISABEL VICTORIA PEREZ DIAZ</t>
  </si>
  <si>
    <t>Isabel\ Victoria\ Pérez\ Díaz</t>
  </si>
  <si>
    <t>Machine Learning</t>
  </si>
  <si>
    <t>Mayor\ campo\ de\ acción</t>
  </si>
  <si>
    <t>Grupos y semilleros de investigación</t>
  </si>
  <si>
    <t>Comunicados más claros</t>
  </si>
  <si>
    <t>campañas de socialización</t>
  </si>
  <si>
    <t>herramientas para la tesis y trabajo</t>
  </si>
  <si>
    <t>Buena</t>
  </si>
  <si>
    <t>IBM</t>
  </si>
  <si>
    <t>Juan Diego Lopez Parra, cel: 3015454030, correo: jdlopezp@co.ibm.com</t>
  </si>
  <si>
    <t>pyhernandezr@udistrital.edu.co</t>
  </si>
  <si>
    <t>PILLT YOJAN HERNANDEZ RIVEROS</t>
  </si>
  <si>
    <t>Pillt\ Yojan\ Hernández\ Riveros</t>
  </si>
  <si>
    <t>Inteligencia Computacional, Redes Neuronales.</t>
  </si>
  <si>
    <t>Fortalecería\ las\ competencias\ en\ inglés\ y\ motivaría\ a\ los\ estudiantes\ a\ practicarlo</t>
  </si>
  <si>
    <t>Desarrollo de modelos computacionales para estimación y predicción de variables. Esto ha impactado en el desarrollo de competencias de escritura científica y curiosidad por la investigación.</t>
  </si>
  <si>
    <t>Podrían realizarse infografías o videos cortos tipo short para evitar largos textos</t>
  </si>
  <si>
    <t>Divulgar los listados de mejores ECAES por año e invitar a quienes aparecen allí a aplicar a al apoyo socioeconómico.</t>
  </si>
  <si>
    <t>No se cuales son las rutas de formación alternativa</t>
  </si>
  <si>
    <t>Se ha demorado en legalizarse el énfasis en IA, pero las materias tienen contenidos valiosos.</t>
  </si>
  <si>
    <t>No aún</t>
  </si>
  <si>
    <t>No es posible.</t>
  </si>
  <si>
    <t>gleonc@udistrital.edu.co</t>
  </si>
  <si>
    <t>CELIS GABRIELA</t>
  </si>
  <si>
    <t>Gabriela León Celis</t>
  </si>
  <si>
    <t>Bioingenieria, Machine Learning, Arquitectura</t>
  </si>
  <si>
    <t xml:space="preserve">Aprendiendo en los conceptos base de la materia y permitiendo expresarme mejor en esos términos </t>
  </si>
  <si>
    <t xml:space="preserve">He participado en grupos de investigación y realizando productos científicos donde he aprendido a pulir mis habilidades de comunicación </t>
  </si>
  <si>
    <t>He potenciado mi entendimiento y desarrollo profesional en la comunicación en mi trabajo</t>
  </si>
  <si>
    <t>N\A</t>
  </si>
  <si>
    <t xml:space="preserve">Banco de Bogotá </t>
  </si>
  <si>
    <t>Andrés Guzmán: AGUZMAN7@BANCODEBOGOTA.COM.CO</t>
  </si>
  <si>
    <t>erhiguerav@udistrital.edu.co</t>
  </si>
  <si>
    <t>RICARDO VILLALBA ESTEBAN</t>
  </si>
  <si>
    <t>Esteban\ Ricardo\ Higuera\ Villalba</t>
  </si>
  <si>
    <t xml:space="preserve">Machine Learning, Deep Learning, Medio Ambiente </t>
  </si>
  <si>
    <t>Identificación de términos técnicos del área.</t>
  </si>
  <si>
    <t>Presentación de proyectos y socialización del algunos avances del proyecto de grado. Habilidades blandas.</t>
  </si>
  <si>
    <t>Cómo docente universitario me ha permitido ampliar el contenido temático con los estudiantes y profundizar en áreas de aplicación</t>
  </si>
  <si>
    <t>En el caso de Inteligencia Artificial, considero que es pertinente.</t>
  </si>
  <si>
    <t>Actividades de elaboración de propuesta de investigación.</t>
  </si>
  <si>
    <t>Fundación Universitaria Compensar</t>
  </si>
  <si>
    <t>vdsanchezm@udistrital.edu.co</t>
  </si>
  <si>
    <t>VIVIAN DANIELA SANCHEZ MONTA?A</t>
  </si>
  <si>
    <t>Vivian Daniela Sánchez montaña</t>
  </si>
  <si>
    <t>SIG</t>
  </si>
  <si>
    <t>Mejoraría mis habilidades en listening , lo cual es fundamental para mi trabajo</t>
  </si>
  <si>
    <t>Grupos de investigación, como la sociedad en percepción remota para America latina y el caribe - selper, donde puedo poner en marcha los conocimientos queridos en la maestría</t>
  </si>
  <si>
    <t>Continuar con la difusión de botines, noticias, ofertas de trabajo y demás a traves del r electrónico</t>
  </si>
  <si>
    <t>Mayor difusión de oportunidades por el correo y grupo de WhatsApp</t>
  </si>
  <si>
    <t>La flexibilidad en los horarios, si se puede dar continuidad a la vida laboral</t>
  </si>
  <si>
    <t>Permite profundizar adecuadamente en los intereses del estudiante, adicionalmente, al de posible interactuar con estudiantes de otros énfasis  mejorando los intereses académicos e investigativos</t>
  </si>
  <si>
    <t>Durante la clase de big data, uno de los docentes nos invitó a foros donde se discutió el avance de la inteligencia artificial con múltiples académicos internacionales</t>
  </si>
  <si>
    <t xml:space="preserve">Para  solucionar proyectos en mi trabajo enfocados a big data </t>
  </si>
  <si>
    <t>Esri colombia</t>
  </si>
  <si>
    <t>Paola barón - pbaron@esri.co</t>
  </si>
  <si>
    <t>jucpenav@udistrital.edu.co</t>
  </si>
  <si>
    <t>JOAN CAMILO PENA VILLAMIL</t>
  </si>
  <si>
    <t>Joan\ Camilo\ Peña\ Villamil</t>
  </si>
  <si>
    <t>Antenas</t>
  </si>
  <si>
    <t xml:space="preserve">Me\ permitiria\ mejorar\ mi\ nivel\ de\ ingles\ y\ evaluar\ que\ \tan\ preparado\ estoy\ para\ afrontar\ otro\ tipo\ de\ eventos\ academi\cos\ en\ ese\ idioma\ </t>
  </si>
  <si>
    <t>no he participado en ninguna.</t>
  </si>
  <si>
    <t>Realizar actividades de divulgación en donde se de la información personalmente a los estudiantes</t>
  </si>
  <si>
    <t>Es buena ya que permite profundizar en los diferentes énfasis y son muy pertinentes en el campo laboral.</t>
  </si>
  <si>
    <t xml:space="preserve">Universidad Distrital Francisco José de Caldas </t>
  </si>
  <si>
    <t>Edilberto Suarez Torres , Tel: 3005635286,  Correo: esuarez@udistrital.edu.co</t>
  </si>
  <si>
    <t>jjbarbosap@udistrital.edu.co</t>
  </si>
  <si>
    <t>JHONATAN JOSE BARBOSA PEÑA</t>
  </si>
  <si>
    <t>JHONATAN\ JOSE\ BARBOSA\ PEÑA</t>
  </si>
  <si>
    <t xml:space="preserve">Sistemas de información geografica y gestión de riesgo </t>
  </si>
  <si>
    <t>Para\ practicar\ la\ segunda\ lengua\ de\ manera\ tecnica</t>
  </si>
  <si>
    <t>Simposios, charlas tecnicas</t>
  </si>
  <si>
    <t xml:space="preserve">Mejor divulgación </t>
  </si>
  <si>
    <t>En mi caso, me han beneficiado al brindarme la oportunidad de acceder a distintos recursos, como materiales en línea, clases asincrónicas y herramientas interactivas, lo que me ha permitido reforzar conceptos a mi propio ritmo</t>
  </si>
  <si>
    <t>Centrándome en el énfasis de geomática abarca áreas clave de la ingeniería y la tecnología con alta demanda en el mercado laboral.</t>
  </si>
  <si>
    <t xml:space="preserve">Conozco un proyecto de la implementación de la metodología fit for purpose el cual fue con apoyo del gobierno holandés </t>
  </si>
  <si>
    <t xml:space="preserve">Cómo decía con anterioridad un proyecto de la maestría traía conocimiento del exterior para la aplicación en Colombia </t>
  </si>
  <si>
    <t>Sector primario (agricultura, ganadería, pesca, minería)</t>
  </si>
  <si>
    <t>Unidad de planificación rural agropecuaria UPRA</t>
  </si>
  <si>
    <t xml:space="preserve">Supervisor Carlos Moreno </t>
  </si>
  <si>
    <t>jasilvar@udistrital.edu.co</t>
  </si>
  <si>
    <t>JOSE ANTONIO SILVA ROJAS</t>
  </si>
  <si>
    <t>José\ Antonio\ Silva\ Rojas</t>
  </si>
  <si>
    <t>LLM, generative AI.</t>
  </si>
  <si>
    <t>Al\ mejorar\ mis\ habilidades\ en\ el\ inglés,\ podría\ postularme\ a\ c\arg os\ con\ ese\ énfasis,\ aumen\tan do\ mis\ ingresos.</t>
  </si>
  <si>
    <t>Estuve participando en un grupo de investigación en Sennova, enfocado en IoT. Esto, me permitió trabajar con sistemas embebidos  y de telecomunicaciones, enfocadas en la agricultura de precisión y energías renovables. Adquiriendo conocimiento en estas tecnologías.</t>
  </si>
  <si>
    <t>Concursos o retos por semestre para que exista una participación activa del estudiantado y así mismo, mejore la divulgación de los mismos.</t>
  </si>
  <si>
    <t>No las tengo claras las rutas mencionadas.</t>
  </si>
  <si>
    <t>Buena.</t>
  </si>
  <si>
    <t>Solo cuento con información suministradas en la socialización de grupos de investigación.</t>
  </si>
  <si>
    <t>Con el manejo de IoT y de IA, me facilitaron el ingreso a un grupo de investigación del Sena, en lo recorrido del año 2022.</t>
  </si>
  <si>
    <t>Fabian David Gil. fabian.gil@ibm.com.</t>
  </si>
  <si>
    <t>jfpinerosh@udistrital.edu.co</t>
  </si>
  <si>
    <t>JOHN FREDY PINEROS HERNANDEZ</t>
  </si>
  <si>
    <t>John\ Fredy\ Piñeros\ Hernández</t>
  </si>
  <si>
    <t>Sistemas distribuidos, microservicios, inteligencia artificial, desarrollo en la nube</t>
  </si>
  <si>
    <t>Asimilar\ y\ practicar\ inglés\ a\ nivel\ académico</t>
  </si>
  <si>
    <t>Análisis de datos para la detección de variables que afectan el rendimiento de un estudiante de acuerdo a las pruebas saber pro. Mejora en pautas para la investigación</t>
  </si>
  <si>
    <t>Mejorar la experiencia de usuario de la página web de la universidad</t>
  </si>
  <si>
    <t>Aumentar los medios de divulgación</t>
  </si>
  <si>
    <t>Análisis de datos, haciendo ver los datos como un insumo transversal para medir y analizar a nivel académico y laboral</t>
  </si>
  <si>
    <t>Aceptable</t>
  </si>
  <si>
    <t>Implementación de una bodega de datos para el análisis y reportería</t>
  </si>
  <si>
    <t>--</t>
  </si>
  <si>
    <t>Datatools</t>
  </si>
  <si>
    <t>sazapatac@udistrital.edu.co</t>
  </si>
  <si>
    <t>SINDY ALEJANDRA ZAPATA CASTRO</t>
  </si>
  <si>
    <t>Sindy\ Alejandra\ Zapata\ Castro</t>
  </si>
  <si>
    <t>Geomática</t>
  </si>
  <si>
    <t>Tesis</t>
  </si>
  <si>
    <t>Tener más en cuenta al estudiante en el momento de su elaboración</t>
  </si>
  <si>
    <t>Ser más claros en la divulgación de la información de estos</t>
  </si>
  <si>
    <t>Los diplomados de la universidad y los workshps de la Maestría</t>
  </si>
  <si>
    <t>Es ambigüo</t>
  </si>
  <si>
    <t>Ninguno</t>
  </si>
  <si>
    <t>-</t>
  </si>
  <si>
    <t>haerazog@udistrital.edu.co</t>
  </si>
  <si>
    <t>HERNAN ALVEIRO ERAZO GUERRERO</t>
  </si>
  <si>
    <t>Alveiro\ Erazo</t>
  </si>
  <si>
    <t>Iot, IA</t>
  </si>
  <si>
    <t>Quizas\ el\ desarrollo\ de\ vocabulario\ en\ ingl´es\ ser´ia\ ´util\ para\ mejorar\ las\ competencias\ de\ los\ estudiantes.</t>
  </si>
  <si>
    <t>Reuniones con el grupo de investigación para discutir temas de tesis.</t>
  </si>
  <si>
    <t>Creo que los que estímulos académicos que existen, están bien.</t>
  </si>
  <si>
    <t>No han influido.</t>
  </si>
  <si>
    <t>No es la apropiada, hablando solo del énfasis en Ingeniería de Software no creo que sea efectiva.</t>
  </si>
  <si>
    <t>No he realizado ninguna</t>
  </si>
  <si>
    <t>No he trabajado en nigún proyecto adicional a la tesis, que estoy trabajando.</t>
  </si>
  <si>
    <t>RAKwireless</t>
  </si>
  <si>
    <t>Ken Yu</t>
  </si>
  <si>
    <t>miaguerrerop@udistrital.edu.co</t>
  </si>
  <si>
    <t>MIGUEL ANGEL GUERRERO PALMERA</t>
  </si>
  <si>
    <t>Miguel\ Angel\ Guerrero</t>
  </si>
  <si>
    <t>Cloud as a Services using AI</t>
  </si>
  <si>
    <t>Dependiendo\ la\ clase\ impartida.\ Debe\ ser\ una\ clase\ con\ un\ contenido\ muy\ especifico</t>
  </si>
  <si>
    <t>Durante la especialización realice un analisis profudo de la gestion de un proyecto nacional en la implementación de fibra óptica y servicios en la red</t>
  </si>
  <si>
    <t>Considero que se debe tomar mas en cuenta que para los estudios posteriore al grado academico, especializaciones, maestrias se tome mas encuenta la virtualidad. la ejecucion de materias presenciales donde solo se va a ver un profesor en un proyector se puede suplir con clases virtuales y si se desea grabadas. se puede avanzar mas eficasmente y el maestro debe estar atento a resolver dudas prontamente, no cuando le quede tiempo</t>
  </si>
  <si>
    <t>los estimulos academicos dependen de a quien va dirigido, por ejemplo no puedes motivar de la misma forma a un egresado de colegio o alguien que desea continuar sus estudios superiores y no ha podido por economia o mantenimiento familiar. estos estimulos no solo pueden ser en matricula cero. Generalmente lo que se regala no se valora, y en el estudio es un motivo para dejarlo de lado</t>
  </si>
  <si>
    <t>la no presencialidad llego para quedarse y hacer evolucionar la mente humana en una busqueda afinada utilizando adecuadamente las herramientas. prohibirlas no es la solucion, buscar como aplicarlas correctamente es la forma de incentivar su estudio y analisis.</t>
  </si>
  <si>
    <t>no es efectiva, la formación de esta maestria en cualquiera de sus opciones se hace muy tecnica y poco integral para los estudiantes. se tienen muchas materias de relleno y que no aportan al objetivo final de generar conocimiento</t>
  </si>
  <si>
    <t>Teleperformance</t>
  </si>
  <si>
    <t>No es posible, por politicas de la compañia es información que no puedo compartir abiertamente</t>
  </si>
  <si>
    <t>SI</t>
  </si>
  <si>
    <t>En desacuerdo.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</si>
</sst>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22" fontId="0" fillId="0" borderId="0" xfId="0" applyNumberFormat="1"/>
    <xf numFmtId="0" fontId="0" fillId="0" borderId="0" xfId="0" applyAlignment="1">
      <alignment horizontal="center"/>
    </xf>
    <xf numFmtId="0" fontId="0" fillId="0" borderId="0" xfId="0"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¿En que rango de edad se encuentra?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'Proceso de autoevaluación 2025 '!$O$59:$O$62</c:f>
              <c:strCache>
                <c:ptCount val="4"/>
                <c:pt idx="0">
                  <c:v>25 a 30</c:v>
                </c:pt>
                <c:pt idx="1">
                  <c:v>31 a 40</c:v>
                </c:pt>
                <c:pt idx="2">
                  <c:v>41 a 50</c:v>
                </c:pt>
                <c:pt idx="3">
                  <c:v>51 o más</c:v>
                </c:pt>
              </c:strCache>
            </c:strRef>
          </c:cat>
          <c:val>
            <c:numRef>
              <c:f>'Proceso de autoevaluación 2025 '!$P$59:$P$62</c:f>
              <c:numCache>
                <c:formatCode>General</c:formatCode>
                <c:ptCount val="4"/>
                <c:pt idx="0">
                  <c:v>30</c:v>
                </c:pt>
                <c:pt idx="1">
                  <c:v>16</c:v>
                </c:pt>
                <c:pt idx="2">
                  <c:v>3</c:v>
                </c:pt>
                <c:pt idx="3">
                  <c:v>3</c:v>
                </c:pt>
              </c:numCache>
            </c:numRef>
          </c:val>
          <c:extLst>
            <c:ext xmlns:c16="http://schemas.microsoft.com/office/drawing/2014/chart" uri="{C3380CC4-5D6E-409C-BE32-E72D297353CC}">
              <c16:uniqueId val="{00000000-15AD-4E83-B24A-6D954D37B7AE}"/>
            </c:ext>
          </c:extLst>
        </c:ser>
        <c:dLbls>
          <c:dLblPos val="outEnd"/>
          <c:showLegendKey val="0"/>
          <c:showVal val="1"/>
          <c:showCatName val="0"/>
          <c:showSerName val="0"/>
          <c:showPercent val="0"/>
          <c:showBubbleSize val="0"/>
        </c:dLbls>
        <c:gapWidth val="100"/>
        <c:axId val="552202432"/>
        <c:axId val="552204592"/>
      </c:barChart>
      <c:catAx>
        <c:axId val="55220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52204592"/>
        <c:crosses val="autoZero"/>
        <c:auto val="1"/>
        <c:lblAlgn val="ctr"/>
        <c:lblOffset val="100"/>
        <c:noMultiLvlLbl val="0"/>
      </c:catAx>
      <c:valAx>
        <c:axId val="55220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in"/>
        <c:minorTickMark val="out"/>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5220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¿En qué año ingreso a la Maestría en Ciencias de la Información y las Comunicaciones?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'Proceso de autoevaluación 2025 '!$U$58:$U$65</c:f>
              <c:numCache>
                <c:formatCode>General</c:formatCode>
                <c:ptCount val="8"/>
                <c:pt idx="0">
                  <c:v>2016</c:v>
                </c:pt>
                <c:pt idx="1">
                  <c:v>2017</c:v>
                </c:pt>
                <c:pt idx="2">
                  <c:v>2018</c:v>
                </c:pt>
                <c:pt idx="3">
                  <c:v>2020</c:v>
                </c:pt>
                <c:pt idx="4">
                  <c:v>2021</c:v>
                </c:pt>
                <c:pt idx="5">
                  <c:v>2022</c:v>
                </c:pt>
                <c:pt idx="6">
                  <c:v>2024</c:v>
                </c:pt>
                <c:pt idx="7">
                  <c:v>2025</c:v>
                </c:pt>
              </c:numCache>
            </c:numRef>
          </c:cat>
          <c:val>
            <c:numRef>
              <c:f>'Proceso de autoevaluación 2025 '!$V$58:$V$65</c:f>
              <c:numCache>
                <c:formatCode>General</c:formatCode>
                <c:ptCount val="8"/>
                <c:pt idx="0">
                  <c:v>2</c:v>
                </c:pt>
                <c:pt idx="1">
                  <c:v>2</c:v>
                </c:pt>
                <c:pt idx="2">
                  <c:v>2</c:v>
                </c:pt>
                <c:pt idx="3">
                  <c:v>3</c:v>
                </c:pt>
                <c:pt idx="4">
                  <c:v>1</c:v>
                </c:pt>
                <c:pt idx="5">
                  <c:v>1</c:v>
                </c:pt>
                <c:pt idx="6">
                  <c:v>25</c:v>
                </c:pt>
                <c:pt idx="7">
                  <c:v>16</c:v>
                </c:pt>
              </c:numCache>
            </c:numRef>
          </c:val>
          <c:extLst>
            <c:ext xmlns:c16="http://schemas.microsoft.com/office/drawing/2014/chart" uri="{C3380CC4-5D6E-409C-BE32-E72D297353CC}">
              <c16:uniqueId val="{00000000-A0C2-4A25-8B11-A88D70C541A9}"/>
            </c:ext>
          </c:extLst>
        </c:ser>
        <c:dLbls>
          <c:showLegendKey val="0"/>
          <c:showVal val="1"/>
          <c:showCatName val="0"/>
          <c:showSerName val="0"/>
          <c:showPercent val="0"/>
          <c:showBubbleSize val="0"/>
        </c:dLbls>
        <c:gapWidth val="100"/>
        <c:overlap val="-24"/>
        <c:axId val="637310288"/>
        <c:axId val="637307768"/>
      </c:barChart>
      <c:catAx>
        <c:axId val="63731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7307768"/>
        <c:crosses val="autoZero"/>
        <c:auto val="1"/>
        <c:lblAlgn val="ctr"/>
        <c:lblOffset val="100"/>
        <c:noMultiLvlLbl val="0"/>
      </c:catAx>
      <c:valAx>
        <c:axId val="637307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7310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¿En qué énfasis se encuentra inscrito?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'Proceso de autoevaluación 2025 '!$X$58</c:f>
              <c:strCache>
                <c:ptCount val="1"/>
                <c:pt idx="0">
                  <c:v>Geomtatica</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'!$Y$58</c:f>
              <c:numCache>
                <c:formatCode>General</c:formatCode>
                <c:ptCount val="1"/>
                <c:pt idx="0">
                  <c:v>21</c:v>
                </c:pt>
              </c:numCache>
            </c:numRef>
          </c:val>
          <c:extLst>
            <c:ext xmlns:c16="http://schemas.microsoft.com/office/drawing/2014/chart" uri="{C3380CC4-5D6E-409C-BE32-E72D297353CC}">
              <c16:uniqueId val="{00000000-82B2-47F7-BFA2-8CE36F04637A}"/>
            </c:ext>
          </c:extLst>
        </c:ser>
        <c:ser>
          <c:idx val="1"/>
          <c:order val="1"/>
          <c:tx>
            <c:strRef>
              <c:f>'Proceso de autoevaluación 2025 '!$X$59</c:f>
              <c:strCache>
                <c:ptCount val="1"/>
                <c:pt idx="0">
                  <c:v>Ingeniería de Software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'!$Y$59</c:f>
              <c:numCache>
                <c:formatCode>General</c:formatCode>
                <c:ptCount val="1"/>
                <c:pt idx="0">
                  <c:v>22</c:v>
                </c:pt>
              </c:numCache>
            </c:numRef>
          </c:val>
          <c:extLst>
            <c:ext xmlns:c16="http://schemas.microsoft.com/office/drawing/2014/chart" uri="{C3380CC4-5D6E-409C-BE32-E72D297353CC}">
              <c16:uniqueId val="{00000001-82B2-47F7-BFA2-8CE36F04637A}"/>
            </c:ext>
          </c:extLst>
        </c:ser>
        <c:ser>
          <c:idx val="2"/>
          <c:order val="2"/>
          <c:tx>
            <c:strRef>
              <c:f>'Proceso de autoevaluación 2025 '!$X$60</c:f>
              <c:strCache>
                <c:ptCount val="1"/>
                <c:pt idx="0">
                  <c:v>Inteligencia Artificial</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'!$Y$60</c:f>
              <c:numCache>
                <c:formatCode>General</c:formatCode>
                <c:ptCount val="1"/>
                <c:pt idx="0">
                  <c:v>3</c:v>
                </c:pt>
              </c:numCache>
            </c:numRef>
          </c:val>
          <c:extLst>
            <c:ext xmlns:c16="http://schemas.microsoft.com/office/drawing/2014/chart" uri="{C3380CC4-5D6E-409C-BE32-E72D297353CC}">
              <c16:uniqueId val="{00000002-82B2-47F7-BFA2-8CE36F04637A}"/>
            </c:ext>
          </c:extLst>
        </c:ser>
        <c:ser>
          <c:idx val="3"/>
          <c:order val="3"/>
          <c:tx>
            <c:strRef>
              <c:f>'Proceso de autoevaluación 2025 '!$X$61</c:f>
              <c:strCache>
                <c:ptCount val="1"/>
                <c:pt idx="0">
                  <c:v>Teleinformatica</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'!$Y$61</c:f>
              <c:numCache>
                <c:formatCode>General</c:formatCode>
                <c:ptCount val="1"/>
                <c:pt idx="0">
                  <c:v>6</c:v>
                </c:pt>
              </c:numCache>
            </c:numRef>
          </c:val>
          <c:extLst>
            <c:ext xmlns:c16="http://schemas.microsoft.com/office/drawing/2014/chart" uri="{C3380CC4-5D6E-409C-BE32-E72D297353CC}">
              <c16:uniqueId val="{00000003-82B2-47F7-BFA2-8CE36F04637A}"/>
            </c:ext>
          </c:extLst>
        </c:ser>
        <c:dLbls>
          <c:dLblPos val="outEnd"/>
          <c:showLegendKey val="0"/>
          <c:showVal val="1"/>
          <c:showCatName val="0"/>
          <c:showSerName val="0"/>
          <c:showPercent val="0"/>
          <c:showBubbleSize val="0"/>
        </c:dLbls>
        <c:gapWidth val="100"/>
        <c:axId val="553703896"/>
        <c:axId val="553708216"/>
      </c:barChart>
      <c:catAx>
        <c:axId val="5537038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53708216"/>
        <c:crosses val="autoZero"/>
        <c:auto val="1"/>
        <c:lblAlgn val="ctr"/>
        <c:lblOffset val="100"/>
        <c:noMultiLvlLbl val="0"/>
      </c:catAx>
      <c:valAx>
        <c:axId val="553708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in"/>
        <c:minorTickMark val="out"/>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53703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Si se ofreciera una asignatura impartida en un 50% en inglés el próximo semestre, ¿se inscribiría?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pieChart>
        <c:varyColors val="1"/>
        <c:ser>
          <c:idx val="0"/>
          <c:order val="0"/>
          <c:spPr>
            <a:ln>
              <a:solidFill>
                <a:srgbClr val="4472C4"/>
              </a:solidFill>
              <a:prstDash val="solid"/>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rgbClr val="4472C4"/>
                </a:solidFill>
                <a:prstDash val="solid"/>
                <a:round/>
              </a:ln>
              <a:effectLst/>
            </c:spPr>
            <c:extLst>
              <c:ext xmlns:c16="http://schemas.microsoft.com/office/drawing/2014/chart" uri="{C3380CC4-5D6E-409C-BE32-E72D297353CC}">
                <c16:uniqueId val="{00000001-9548-4502-9BC6-152D4A677B09}"/>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rgbClr val="4472C4"/>
                </a:solidFill>
                <a:prstDash val="solid"/>
                <a:round/>
              </a:ln>
              <a:effectLst/>
            </c:spPr>
            <c:extLst>
              <c:ext xmlns:c16="http://schemas.microsoft.com/office/drawing/2014/chart" uri="{C3380CC4-5D6E-409C-BE32-E72D297353CC}">
                <c16:uniqueId val="{00000003-9548-4502-9BC6-152D4A677B09}"/>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'Proceso de autoevaluación 2025 '!$AG$58:$AG$59</c:f>
              <c:strCache>
                <c:ptCount val="2"/>
                <c:pt idx="0">
                  <c:v>SI</c:v>
                </c:pt>
                <c:pt idx="1">
                  <c:v>NO</c:v>
                </c:pt>
              </c:strCache>
            </c:strRef>
          </c:cat>
          <c:val>
            <c:numRef>
              <c:f>'Proceso de autoevaluación 2025 '!$AH$58:$AH$59</c:f>
              <c:numCache>
                <c:formatCode>General</c:formatCode>
                <c:ptCount val="2"/>
                <c:pt idx="0">
                  <c:v>43</c:v>
                </c:pt>
                <c:pt idx="1">
                  <c:v>9</c:v>
                </c:pt>
              </c:numCache>
            </c:numRef>
          </c:val>
          <c:extLst>
            <c:ext xmlns:c16="http://schemas.microsoft.com/office/drawing/2014/chart" uri="{C3380CC4-5D6E-409C-BE32-E72D297353CC}">
              <c16:uniqueId val="{00000000-F45C-4091-A5D2-656010963C7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mi participación en actividades de investigación, desarrollo tecnológico, creación artística, culturales, deportivas y de extensión ha contribuido a mi desarrollo integral como persona.</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'!$AM$57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'!$AN$57</c:f>
              <c:numCache>
                <c:formatCode>General</c:formatCode>
                <c:ptCount val="1"/>
                <c:pt idx="0">
                  <c:v>25</c:v>
                </c:pt>
              </c:numCache>
            </c:numRef>
          </c:val>
          <c:extLst>
            <c:ext xmlns:c16="http://schemas.microsoft.com/office/drawing/2014/chart" uri="{C3380CC4-5D6E-409C-BE32-E72D297353CC}">
              <c16:uniqueId val="{00000000-D762-433F-AE8C-814FE7EA2744}"/>
            </c:ext>
          </c:extLst>
        </c:ser>
        <c:ser>
          <c:idx val="1"/>
          <c:order val="1"/>
          <c:tx>
            <c:strRef>
              <c:f>'Proceso de autoevaluación 2025 '!$AM$58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'!$AN$58</c:f>
              <c:numCache>
                <c:formatCode>General</c:formatCode>
                <c:ptCount val="1"/>
                <c:pt idx="0">
                  <c:v>17</c:v>
                </c:pt>
              </c:numCache>
            </c:numRef>
          </c:val>
          <c:extLst>
            <c:ext xmlns:c16="http://schemas.microsoft.com/office/drawing/2014/chart" uri="{C3380CC4-5D6E-409C-BE32-E72D297353CC}">
              <c16:uniqueId val="{00000001-D762-433F-AE8C-814FE7EA2744}"/>
            </c:ext>
          </c:extLst>
        </c:ser>
        <c:ser>
          <c:idx val="3"/>
          <c:order val="2"/>
          <c:tx>
            <c:strRef>
              <c:f>'Proceso de autoevaluación 2025 '!$AM$60</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'!$AN$60</c:f>
              <c:numCache>
                <c:formatCode>General</c:formatCode>
                <c:ptCount val="1"/>
                <c:pt idx="0">
                  <c:v>10</c:v>
                </c:pt>
              </c:numCache>
            </c:numRef>
          </c:val>
          <c:extLst>
            <c:ext xmlns:c16="http://schemas.microsoft.com/office/drawing/2014/chart" uri="{C3380CC4-5D6E-409C-BE32-E72D297353CC}">
              <c16:uniqueId val="{00000003-D762-433F-AE8C-814FE7EA2744}"/>
            </c:ext>
          </c:extLst>
        </c:ser>
        <c:ser>
          <c:idx val="2"/>
          <c:order val="3"/>
          <c:tx>
            <c:strRef>
              <c:f>'Proceso de autoevaluación 2025 '!$AM$59</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'!$AN$59</c:f>
              <c:numCache>
                <c:formatCode>General</c:formatCode>
                <c:ptCount val="1"/>
                <c:pt idx="0">
                  <c:v>0</c:v>
                </c:pt>
              </c:numCache>
            </c:numRef>
          </c:val>
          <c:extLst>
            <c:ext xmlns:c16="http://schemas.microsoft.com/office/drawing/2014/chart" uri="{C3380CC4-5D6E-409C-BE32-E72D297353CC}">
              <c16:uniqueId val="{00000002-D762-433F-AE8C-814FE7EA2744}"/>
            </c:ext>
          </c:extLst>
        </c:ser>
        <c:ser>
          <c:idx val="4"/>
          <c:order val="4"/>
          <c:tx>
            <c:strRef>
              <c:f>'Proceso de autoevaluación 2025 '!$AM$61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'!$AN$61</c:f>
              <c:numCache>
                <c:formatCode>General</c:formatCode>
                <c:ptCount val="1"/>
                <c:pt idx="0">
                  <c:v>0</c:v>
                </c:pt>
              </c:numCache>
            </c:numRef>
          </c:val>
          <c:extLst>
            <c:ext xmlns:c16="http://schemas.microsoft.com/office/drawing/2014/chart" uri="{C3380CC4-5D6E-409C-BE32-E72D297353CC}">
              <c16:uniqueId val="{00000004-D762-433F-AE8C-814FE7EA2744}"/>
            </c:ext>
          </c:extLst>
        </c:ser>
        <c:dLbls>
          <c:dLblPos val="outEnd"/>
          <c:showLegendKey val="0"/>
          <c:showVal val="1"/>
          <c:showCatName val="0"/>
          <c:showSerName val="0"/>
          <c:showPercent val="0"/>
          <c:showBubbleSize val="0"/>
        </c:dLbls>
        <c:gapWidth val="100"/>
        <c:overlap val="-24"/>
        <c:axId val="558378304"/>
        <c:axId val="558377224"/>
      </c:barChart>
      <c:catAx>
        <c:axId val="558378304"/>
        <c:scaling>
          <c:orientation val="minMax"/>
        </c:scaling>
        <c:delete val="1"/>
        <c:axPos val="b"/>
        <c:numFmt formatCode="General" sourceLinked="1"/>
        <c:majorTickMark val="none"/>
        <c:minorTickMark val="none"/>
        <c:tickLblPos val="nextTo"/>
        <c:crossAx val="558377224"/>
        <c:crosses val="autoZero"/>
        <c:auto val="1"/>
        <c:lblAlgn val="ctr"/>
        <c:lblOffset val="100"/>
        <c:noMultiLvlLbl val="0"/>
      </c:catAx>
      <c:valAx>
        <c:axId val="558377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50000"/>
                    <a:lumOff val="50000"/>
                  </a:schemeClr>
                </a:solidFill>
                <a:latin typeface="+mn-lt"/>
                <a:ea typeface="+mn-ea"/>
                <a:cs typeface="+mn-cs"/>
              </a:defRPr>
            </a:pPr>
            <a:endParaRPr lang="es-CO"/>
          </a:p>
        </c:txPr>
        <c:crossAx val="558378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el reglamento estudiantil y las políticas académicas del programa son pertinentes y están actualizadas.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'!$AS$57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'!$AT$57</c:f>
              <c:numCache>
                <c:formatCode>General</c:formatCode>
                <c:ptCount val="1"/>
                <c:pt idx="0">
                  <c:v>9</c:v>
                </c:pt>
              </c:numCache>
            </c:numRef>
          </c:val>
          <c:extLst>
            <c:ext xmlns:c16="http://schemas.microsoft.com/office/drawing/2014/chart" uri="{C3380CC4-5D6E-409C-BE32-E72D297353CC}">
              <c16:uniqueId val="{00000000-4818-4CD9-B581-1B5D19181672}"/>
            </c:ext>
          </c:extLst>
        </c:ser>
        <c:ser>
          <c:idx val="1"/>
          <c:order val="1"/>
          <c:tx>
            <c:strRef>
              <c:f>'Proceso de autoevaluación 2025 '!$AS$58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'!$AT$58</c:f>
              <c:numCache>
                <c:formatCode>General</c:formatCode>
                <c:ptCount val="1"/>
                <c:pt idx="0">
                  <c:v>28</c:v>
                </c:pt>
              </c:numCache>
            </c:numRef>
          </c:val>
          <c:extLst>
            <c:ext xmlns:c16="http://schemas.microsoft.com/office/drawing/2014/chart" uri="{C3380CC4-5D6E-409C-BE32-E72D297353CC}">
              <c16:uniqueId val="{00000001-4818-4CD9-B581-1B5D19181672}"/>
            </c:ext>
          </c:extLst>
        </c:ser>
        <c:ser>
          <c:idx val="3"/>
          <c:order val="2"/>
          <c:tx>
            <c:strRef>
              <c:f>'Proceso de autoevaluación 2025 '!$AS$60</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'!$AT$60</c:f>
              <c:numCache>
                <c:formatCode>General</c:formatCode>
                <c:ptCount val="1"/>
                <c:pt idx="0">
                  <c:v>13</c:v>
                </c:pt>
              </c:numCache>
            </c:numRef>
          </c:val>
          <c:extLst>
            <c:ext xmlns:c16="http://schemas.microsoft.com/office/drawing/2014/chart" uri="{C3380CC4-5D6E-409C-BE32-E72D297353CC}">
              <c16:uniqueId val="{00000003-4818-4CD9-B581-1B5D19181672}"/>
            </c:ext>
          </c:extLst>
        </c:ser>
        <c:ser>
          <c:idx val="2"/>
          <c:order val="3"/>
          <c:tx>
            <c:strRef>
              <c:f>'Proceso de autoevaluación 2025 '!$AS$59</c:f>
              <c:strCache>
                <c:ptCount val="1"/>
                <c:pt idx="0">
                  <c:v>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'!$AT$59</c:f>
              <c:numCache>
                <c:formatCode>General</c:formatCode>
                <c:ptCount val="1"/>
                <c:pt idx="0">
                  <c:v>1</c:v>
                </c:pt>
              </c:numCache>
            </c:numRef>
          </c:val>
          <c:extLst>
            <c:ext xmlns:c16="http://schemas.microsoft.com/office/drawing/2014/chart" uri="{C3380CC4-5D6E-409C-BE32-E72D297353CC}">
              <c16:uniqueId val="{00000002-4818-4CD9-B581-1B5D19181672}"/>
            </c:ext>
          </c:extLst>
        </c:ser>
        <c:ser>
          <c:idx val="4"/>
          <c:order val="4"/>
          <c:tx>
            <c:strRef>
              <c:f>'Proceso de autoevaluación 2025 '!$AS$61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'!$AT$61</c:f>
              <c:numCache>
                <c:formatCode>General</c:formatCode>
                <c:ptCount val="1"/>
                <c:pt idx="0">
                  <c:v>1</c:v>
                </c:pt>
              </c:numCache>
            </c:numRef>
          </c:val>
          <c:extLst>
            <c:ext xmlns:c16="http://schemas.microsoft.com/office/drawing/2014/chart" uri="{C3380CC4-5D6E-409C-BE32-E72D297353CC}">
              <c16:uniqueId val="{00000004-4818-4CD9-B581-1B5D19181672}"/>
            </c:ext>
          </c:extLst>
        </c:ser>
        <c:dLbls>
          <c:dLblPos val="outEnd"/>
          <c:showLegendKey val="0"/>
          <c:showVal val="1"/>
          <c:showCatName val="0"/>
          <c:showSerName val="0"/>
          <c:showPercent val="0"/>
          <c:showBubbleSize val="0"/>
        </c:dLbls>
        <c:gapWidth val="100"/>
        <c:overlap val="-24"/>
        <c:axId val="556754736"/>
        <c:axId val="556756536"/>
      </c:barChart>
      <c:catAx>
        <c:axId val="556754736"/>
        <c:scaling>
          <c:orientation val="minMax"/>
        </c:scaling>
        <c:delete val="1"/>
        <c:axPos val="b"/>
        <c:numFmt formatCode="General" sourceLinked="1"/>
        <c:majorTickMark val="none"/>
        <c:minorTickMark val="none"/>
        <c:tickLblPos val="nextTo"/>
        <c:crossAx val="556756536"/>
        <c:crosses val="autoZero"/>
        <c:auto val="1"/>
        <c:lblAlgn val="ctr"/>
        <c:lblOffset val="100"/>
        <c:noMultiLvlLbl val="0"/>
      </c:catAx>
      <c:valAx>
        <c:axId val="556756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5675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los criterios para la concesión de estímulos académicos y apoyos socioeconómicos, son claros y justos.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'!$AY$57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'!$AZ$57</c:f>
              <c:numCache>
                <c:formatCode>General</c:formatCode>
                <c:ptCount val="1"/>
                <c:pt idx="0">
                  <c:v>12</c:v>
                </c:pt>
              </c:numCache>
            </c:numRef>
          </c:val>
          <c:extLst>
            <c:ext xmlns:c16="http://schemas.microsoft.com/office/drawing/2014/chart" uri="{C3380CC4-5D6E-409C-BE32-E72D297353CC}">
              <c16:uniqueId val="{00000000-4AC2-4469-9C6B-A6BD2236A312}"/>
            </c:ext>
          </c:extLst>
        </c:ser>
        <c:ser>
          <c:idx val="1"/>
          <c:order val="1"/>
          <c:tx>
            <c:strRef>
              <c:f>'Proceso de autoevaluación 2025 '!$AY$58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'!$AZ$58</c:f>
              <c:numCache>
                <c:formatCode>General</c:formatCode>
                <c:ptCount val="1"/>
                <c:pt idx="0">
                  <c:v>21</c:v>
                </c:pt>
              </c:numCache>
            </c:numRef>
          </c:val>
          <c:extLst>
            <c:ext xmlns:c16="http://schemas.microsoft.com/office/drawing/2014/chart" uri="{C3380CC4-5D6E-409C-BE32-E72D297353CC}">
              <c16:uniqueId val="{00000001-4AC2-4469-9C6B-A6BD2236A312}"/>
            </c:ext>
          </c:extLst>
        </c:ser>
        <c:ser>
          <c:idx val="2"/>
          <c:order val="2"/>
          <c:tx>
            <c:strRef>
              <c:f>'Proceso de autoevaluación 2025 '!$AY$59</c:f>
              <c:strCache>
                <c:ptCount val="1"/>
                <c:pt idx="0">
                  <c:v>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'!$AZ$59</c:f>
              <c:numCache>
                <c:formatCode>General</c:formatCode>
                <c:ptCount val="1"/>
                <c:pt idx="0">
                  <c:v>5</c:v>
                </c:pt>
              </c:numCache>
            </c:numRef>
          </c:val>
          <c:extLst>
            <c:ext xmlns:c16="http://schemas.microsoft.com/office/drawing/2014/chart" uri="{C3380CC4-5D6E-409C-BE32-E72D297353CC}">
              <c16:uniqueId val="{00000002-4AC2-4469-9C6B-A6BD2236A312}"/>
            </c:ext>
          </c:extLst>
        </c:ser>
        <c:ser>
          <c:idx val="3"/>
          <c:order val="3"/>
          <c:tx>
            <c:strRef>
              <c:f>'Proceso de autoevaluación 2025 '!$AY$60</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'!$AZ$60</c:f>
              <c:numCache>
                <c:formatCode>General</c:formatCode>
                <c:ptCount val="1"/>
                <c:pt idx="0">
                  <c:v>14</c:v>
                </c:pt>
              </c:numCache>
            </c:numRef>
          </c:val>
          <c:extLst>
            <c:ext xmlns:c16="http://schemas.microsoft.com/office/drawing/2014/chart" uri="{C3380CC4-5D6E-409C-BE32-E72D297353CC}">
              <c16:uniqueId val="{00000003-4AC2-4469-9C6B-A6BD2236A312}"/>
            </c:ext>
          </c:extLst>
        </c:ser>
        <c:ser>
          <c:idx val="4"/>
          <c:order val="4"/>
          <c:tx>
            <c:strRef>
              <c:f>'Proceso de autoevaluación 2025 '!$AY$61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'!$AZ$61</c:f>
              <c:numCache>
                <c:formatCode>General</c:formatCode>
                <c:ptCount val="1"/>
                <c:pt idx="0">
                  <c:v>0</c:v>
                </c:pt>
              </c:numCache>
            </c:numRef>
          </c:val>
          <c:extLst>
            <c:ext xmlns:c16="http://schemas.microsoft.com/office/drawing/2014/chart" uri="{C3380CC4-5D6E-409C-BE32-E72D297353CC}">
              <c16:uniqueId val="{00000004-4AC2-4469-9C6B-A6BD2236A312}"/>
            </c:ext>
          </c:extLst>
        </c:ser>
        <c:dLbls>
          <c:dLblPos val="outEnd"/>
          <c:showLegendKey val="0"/>
          <c:showVal val="1"/>
          <c:showCatName val="0"/>
          <c:showSerName val="0"/>
          <c:showPercent val="0"/>
          <c:showBubbleSize val="0"/>
        </c:dLbls>
        <c:gapWidth val="100"/>
        <c:overlap val="-24"/>
        <c:axId val="676556296"/>
        <c:axId val="676555576"/>
      </c:barChart>
      <c:catAx>
        <c:axId val="676556296"/>
        <c:scaling>
          <c:orientation val="minMax"/>
        </c:scaling>
        <c:delete val="1"/>
        <c:axPos val="b"/>
        <c:numFmt formatCode="General" sourceLinked="1"/>
        <c:majorTickMark val="none"/>
        <c:minorTickMark val="none"/>
        <c:tickLblPos val="nextTo"/>
        <c:crossAx val="676555576"/>
        <c:crosses val="autoZero"/>
        <c:auto val="1"/>
        <c:lblAlgn val="ctr"/>
        <c:lblOffset val="100"/>
        <c:noMultiLvlLbl val="0"/>
      </c:catAx>
      <c:valAx>
        <c:axId val="676555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76556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el material académico producido por los docentes es pertinente y adecuado con las necesidades y objetivos de la Maestría en Ciencias de la Información y las Comunicaciones.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'!$BE$57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'!$BF$57</c:f>
              <c:numCache>
                <c:formatCode>General</c:formatCode>
                <c:ptCount val="1"/>
                <c:pt idx="0">
                  <c:v>14</c:v>
                </c:pt>
              </c:numCache>
            </c:numRef>
          </c:val>
          <c:extLst>
            <c:ext xmlns:c16="http://schemas.microsoft.com/office/drawing/2014/chart" uri="{C3380CC4-5D6E-409C-BE32-E72D297353CC}">
              <c16:uniqueId val="{00000000-9080-45B2-9873-6C142FDD6B73}"/>
            </c:ext>
          </c:extLst>
        </c:ser>
        <c:ser>
          <c:idx val="1"/>
          <c:order val="1"/>
          <c:tx>
            <c:strRef>
              <c:f>'Proceso de autoevaluación 2025 '!$BE$58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'!$BF$58</c:f>
              <c:numCache>
                <c:formatCode>General</c:formatCode>
                <c:ptCount val="1"/>
                <c:pt idx="0">
                  <c:v>32</c:v>
                </c:pt>
              </c:numCache>
            </c:numRef>
          </c:val>
          <c:extLst>
            <c:ext xmlns:c16="http://schemas.microsoft.com/office/drawing/2014/chart" uri="{C3380CC4-5D6E-409C-BE32-E72D297353CC}">
              <c16:uniqueId val="{00000001-9080-45B2-9873-6C142FDD6B73}"/>
            </c:ext>
          </c:extLst>
        </c:ser>
        <c:ser>
          <c:idx val="3"/>
          <c:order val="2"/>
          <c:tx>
            <c:strRef>
              <c:f>'Proceso de autoevaluación 2025 '!$BE$60</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'!$BF$60</c:f>
              <c:numCache>
                <c:formatCode>General</c:formatCode>
                <c:ptCount val="1"/>
                <c:pt idx="0">
                  <c:v>5</c:v>
                </c:pt>
              </c:numCache>
            </c:numRef>
          </c:val>
          <c:extLst>
            <c:ext xmlns:c16="http://schemas.microsoft.com/office/drawing/2014/chart" uri="{C3380CC4-5D6E-409C-BE32-E72D297353CC}">
              <c16:uniqueId val="{00000003-9080-45B2-9873-6C142FDD6B73}"/>
            </c:ext>
          </c:extLst>
        </c:ser>
        <c:ser>
          <c:idx val="2"/>
          <c:order val="3"/>
          <c:tx>
            <c:strRef>
              <c:f>'Proceso de autoevaluación 2025 '!$BE$59</c:f>
              <c:strCache>
                <c:ptCount val="1"/>
                <c:pt idx="0">
                  <c:v>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'!$BF$59</c:f>
              <c:numCache>
                <c:formatCode>General</c:formatCode>
                <c:ptCount val="1"/>
                <c:pt idx="0">
                  <c:v>1</c:v>
                </c:pt>
              </c:numCache>
            </c:numRef>
          </c:val>
          <c:extLst>
            <c:ext xmlns:c16="http://schemas.microsoft.com/office/drawing/2014/chart" uri="{C3380CC4-5D6E-409C-BE32-E72D297353CC}">
              <c16:uniqueId val="{00000002-9080-45B2-9873-6C142FDD6B73}"/>
            </c:ext>
          </c:extLst>
        </c:ser>
        <c:ser>
          <c:idx val="4"/>
          <c:order val="4"/>
          <c:tx>
            <c:strRef>
              <c:f>'Proceso de autoevaluación 2025 '!$BE$61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'!$BF$61</c:f>
              <c:numCache>
                <c:formatCode>General</c:formatCode>
                <c:ptCount val="1"/>
                <c:pt idx="0">
                  <c:v>0</c:v>
                </c:pt>
              </c:numCache>
            </c:numRef>
          </c:val>
          <c:extLst>
            <c:ext xmlns:c16="http://schemas.microsoft.com/office/drawing/2014/chart" uri="{C3380CC4-5D6E-409C-BE32-E72D297353CC}">
              <c16:uniqueId val="{00000004-9080-45B2-9873-6C142FDD6B73}"/>
            </c:ext>
          </c:extLst>
        </c:ser>
        <c:dLbls>
          <c:dLblPos val="outEnd"/>
          <c:showLegendKey val="0"/>
          <c:showVal val="1"/>
          <c:showCatName val="0"/>
          <c:showSerName val="0"/>
          <c:showPercent val="0"/>
          <c:showBubbleSize val="0"/>
        </c:dLbls>
        <c:gapWidth val="100"/>
        <c:overlap val="-24"/>
        <c:axId val="678984456"/>
        <c:axId val="678981216"/>
      </c:barChart>
      <c:catAx>
        <c:axId val="678984456"/>
        <c:scaling>
          <c:orientation val="minMax"/>
        </c:scaling>
        <c:delete val="1"/>
        <c:axPos val="b"/>
        <c:numFmt formatCode="General" sourceLinked="1"/>
        <c:majorTickMark val="none"/>
        <c:minorTickMark val="none"/>
        <c:tickLblPos val="nextTo"/>
        <c:crossAx val="678981216"/>
        <c:crosses val="autoZero"/>
        <c:auto val="1"/>
        <c:lblAlgn val="ctr"/>
        <c:lblOffset val="100"/>
        <c:noMultiLvlLbl val="0"/>
      </c:catAx>
      <c:valAx>
        <c:axId val="67898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78984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los criterios y mecanismos utilizados para la evaluación de los profesores son transparentes, accesibles y eficaces</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'!$BH$57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'!$BI$57</c:f>
              <c:numCache>
                <c:formatCode>General</c:formatCode>
                <c:ptCount val="1"/>
                <c:pt idx="0">
                  <c:v>19</c:v>
                </c:pt>
              </c:numCache>
            </c:numRef>
          </c:val>
          <c:extLst>
            <c:ext xmlns:c16="http://schemas.microsoft.com/office/drawing/2014/chart" uri="{C3380CC4-5D6E-409C-BE32-E72D297353CC}">
              <c16:uniqueId val="{00000000-8BE7-4DC5-9541-9EF0CC95CCFE}"/>
            </c:ext>
          </c:extLst>
        </c:ser>
        <c:ser>
          <c:idx val="1"/>
          <c:order val="1"/>
          <c:tx>
            <c:strRef>
              <c:f>'Proceso de autoevaluación 2025 '!$BH$58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'!$BI$58</c:f>
              <c:numCache>
                <c:formatCode>General</c:formatCode>
                <c:ptCount val="1"/>
                <c:pt idx="0">
                  <c:v>25</c:v>
                </c:pt>
              </c:numCache>
            </c:numRef>
          </c:val>
          <c:extLst>
            <c:ext xmlns:c16="http://schemas.microsoft.com/office/drawing/2014/chart" uri="{C3380CC4-5D6E-409C-BE32-E72D297353CC}">
              <c16:uniqueId val="{00000001-8BE7-4DC5-9541-9EF0CC95CCFE}"/>
            </c:ext>
          </c:extLst>
        </c:ser>
        <c:ser>
          <c:idx val="3"/>
          <c:order val="2"/>
          <c:tx>
            <c:strRef>
              <c:f>'Proceso de autoevaluación 2025 '!$BH$60</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'!$BI$60</c:f>
              <c:numCache>
                <c:formatCode>General</c:formatCode>
                <c:ptCount val="1"/>
                <c:pt idx="0">
                  <c:v>5</c:v>
                </c:pt>
              </c:numCache>
            </c:numRef>
          </c:val>
          <c:extLst>
            <c:ext xmlns:c16="http://schemas.microsoft.com/office/drawing/2014/chart" uri="{C3380CC4-5D6E-409C-BE32-E72D297353CC}">
              <c16:uniqueId val="{00000003-8BE7-4DC5-9541-9EF0CC95CCFE}"/>
            </c:ext>
          </c:extLst>
        </c:ser>
        <c:ser>
          <c:idx val="2"/>
          <c:order val="3"/>
          <c:tx>
            <c:strRef>
              <c:f>'Proceso de autoevaluación 2025 '!$BH$59</c:f>
              <c:strCache>
                <c:ptCount val="1"/>
                <c:pt idx="0">
                  <c:v>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'!$BI$59</c:f>
              <c:numCache>
                <c:formatCode>General</c:formatCode>
                <c:ptCount val="1"/>
                <c:pt idx="0">
                  <c:v>3</c:v>
                </c:pt>
              </c:numCache>
            </c:numRef>
          </c:val>
          <c:extLst>
            <c:ext xmlns:c16="http://schemas.microsoft.com/office/drawing/2014/chart" uri="{C3380CC4-5D6E-409C-BE32-E72D297353CC}">
              <c16:uniqueId val="{00000002-8BE7-4DC5-9541-9EF0CC95CCFE}"/>
            </c:ext>
          </c:extLst>
        </c:ser>
        <c:ser>
          <c:idx val="4"/>
          <c:order val="4"/>
          <c:tx>
            <c:strRef>
              <c:f>'Proceso de autoevaluación 2025 '!$BH$61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'!$BI$61</c:f>
              <c:numCache>
                <c:formatCode>General</c:formatCode>
                <c:ptCount val="1"/>
                <c:pt idx="0">
                  <c:v>0</c:v>
                </c:pt>
              </c:numCache>
            </c:numRef>
          </c:val>
          <c:extLst>
            <c:ext xmlns:c16="http://schemas.microsoft.com/office/drawing/2014/chart" uri="{C3380CC4-5D6E-409C-BE32-E72D297353CC}">
              <c16:uniqueId val="{00000004-8BE7-4DC5-9541-9EF0CC95CCFE}"/>
            </c:ext>
          </c:extLst>
        </c:ser>
        <c:dLbls>
          <c:dLblPos val="outEnd"/>
          <c:showLegendKey val="0"/>
          <c:showVal val="1"/>
          <c:showCatName val="0"/>
          <c:showSerName val="0"/>
          <c:showPercent val="0"/>
          <c:showBubbleSize val="0"/>
        </c:dLbls>
        <c:gapWidth val="100"/>
        <c:overlap val="-24"/>
        <c:axId val="678982296"/>
        <c:axId val="678980496"/>
      </c:barChart>
      <c:catAx>
        <c:axId val="678982296"/>
        <c:scaling>
          <c:orientation val="minMax"/>
        </c:scaling>
        <c:delete val="1"/>
        <c:axPos val="b"/>
        <c:numFmt formatCode="General" sourceLinked="1"/>
        <c:majorTickMark val="none"/>
        <c:minorTickMark val="none"/>
        <c:tickLblPos val="nextTo"/>
        <c:crossAx val="678980496"/>
        <c:crosses val="autoZero"/>
        <c:auto val="1"/>
        <c:lblAlgn val="ctr"/>
        <c:lblOffset val="100"/>
        <c:noMultiLvlLbl val="0"/>
      </c:catAx>
      <c:valAx>
        <c:axId val="67898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78982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las estrategias de flexibilidad curricular me han permitido personalizar mi formación de acuerdo con mis objetivos profesionales y académicos.</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'!$BK$57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'!$BL$57</c:f>
              <c:numCache>
                <c:formatCode>General</c:formatCode>
                <c:ptCount val="1"/>
                <c:pt idx="0">
                  <c:v>13</c:v>
                </c:pt>
              </c:numCache>
            </c:numRef>
          </c:val>
          <c:extLst>
            <c:ext xmlns:c16="http://schemas.microsoft.com/office/drawing/2014/chart" uri="{C3380CC4-5D6E-409C-BE32-E72D297353CC}">
              <c16:uniqueId val="{00000000-7BB3-4C51-913E-ADEAF20620B6}"/>
            </c:ext>
          </c:extLst>
        </c:ser>
        <c:ser>
          <c:idx val="1"/>
          <c:order val="1"/>
          <c:tx>
            <c:strRef>
              <c:f>'Proceso de autoevaluación 2025 '!$BK$58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'!$BL$58</c:f>
              <c:numCache>
                <c:formatCode>General</c:formatCode>
                <c:ptCount val="1"/>
                <c:pt idx="0">
                  <c:v>17</c:v>
                </c:pt>
              </c:numCache>
            </c:numRef>
          </c:val>
          <c:extLst>
            <c:ext xmlns:c16="http://schemas.microsoft.com/office/drawing/2014/chart" uri="{C3380CC4-5D6E-409C-BE32-E72D297353CC}">
              <c16:uniqueId val="{00000001-7BB3-4C51-913E-ADEAF20620B6}"/>
            </c:ext>
          </c:extLst>
        </c:ser>
        <c:ser>
          <c:idx val="3"/>
          <c:order val="2"/>
          <c:tx>
            <c:strRef>
              <c:f>'Proceso de autoevaluación 2025 '!$BK$60</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'!$BL$60</c:f>
              <c:numCache>
                <c:formatCode>General</c:formatCode>
                <c:ptCount val="1"/>
                <c:pt idx="0">
                  <c:v>20</c:v>
                </c:pt>
              </c:numCache>
            </c:numRef>
          </c:val>
          <c:extLst>
            <c:ext xmlns:c16="http://schemas.microsoft.com/office/drawing/2014/chart" uri="{C3380CC4-5D6E-409C-BE32-E72D297353CC}">
              <c16:uniqueId val="{00000003-7BB3-4C51-913E-ADEAF20620B6}"/>
            </c:ext>
          </c:extLst>
        </c:ser>
        <c:ser>
          <c:idx val="2"/>
          <c:order val="3"/>
          <c:tx>
            <c:strRef>
              <c:f>'Proceso de autoevaluación 2025 '!$BK$59</c:f>
              <c:strCache>
                <c:ptCount val="1"/>
                <c:pt idx="0">
                  <c:v>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'!$BL$59</c:f>
              <c:numCache>
                <c:formatCode>General</c:formatCode>
                <c:ptCount val="1"/>
                <c:pt idx="0">
                  <c:v>1</c:v>
                </c:pt>
              </c:numCache>
            </c:numRef>
          </c:val>
          <c:extLst>
            <c:ext xmlns:c16="http://schemas.microsoft.com/office/drawing/2014/chart" uri="{C3380CC4-5D6E-409C-BE32-E72D297353CC}">
              <c16:uniqueId val="{00000002-7BB3-4C51-913E-ADEAF20620B6}"/>
            </c:ext>
          </c:extLst>
        </c:ser>
        <c:ser>
          <c:idx val="4"/>
          <c:order val="4"/>
          <c:tx>
            <c:strRef>
              <c:f>'Proceso de autoevaluación 2025 '!$BK$61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'!$BL$61</c:f>
              <c:numCache>
                <c:formatCode>General</c:formatCode>
                <c:ptCount val="1"/>
                <c:pt idx="0">
                  <c:v>1</c:v>
                </c:pt>
              </c:numCache>
            </c:numRef>
          </c:val>
          <c:extLst>
            <c:ext xmlns:c16="http://schemas.microsoft.com/office/drawing/2014/chart" uri="{C3380CC4-5D6E-409C-BE32-E72D297353CC}">
              <c16:uniqueId val="{00000004-7BB3-4C51-913E-ADEAF20620B6}"/>
            </c:ext>
          </c:extLst>
        </c:ser>
        <c:dLbls>
          <c:dLblPos val="outEnd"/>
          <c:showLegendKey val="0"/>
          <c:showVal val="1"/>
          <c:showCatName val="0"/>
          <c:showSerName val="0"/>
          <c:showPercent val="0"/>
          <c:showBubbleSize val="0"/>
        </c:dLbls>
        <c:gapWidth val="100"/>
        <c:overlap val="-24"/>
        <c:axId val="676547728"/>
        <c:axId val="676548448"/>
      </c:barChart>
      <c:catAx>
        <c:axId val="676547728"/>
        <c:scaling>
          <c:orientation val="minMax"/>
        </c:scaling>
        <c:delete val="1"/>
        <c:axPos val="b"/>
        <c:numFmt formatCode="General" sourceLinked="1"/>
        <c:majorTickMark val="none"/>
        <c:minorTickMark val="none"/>
        <c:tickLblPos val="nextTo"/>
        <c:crossAx val="676548448"/>
        <c:crosses val="autoZero"/>
        <c:auto val="1"/>
        <c:lblAlgn val="ctr"/>
        <c:lblOffset val="100"/>
        <c:noMultiLvlLbl val="0"/>
      </c:catAx>
      <c:valAx>
        <c:axId val="67654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76547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las estrategias pedagógicas y escenarios de práctica utilizadas en la Maestría en Ciencias de la Información y las Comunicaciones son coherentes y efectivas para facilitar los resultados</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'!$BT$57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'!$BU$57</c:f>
              <c:numCache>
                <c:formatCode>General</c:formatCode>
                <c:ptCount val="1"/>
                <c:pt idx="0">
                  <c:v>8</c:v>
                </c:pt>
              </c:numCache>
            </c:numRef>
          </c:val>
          <c:extLst>
            <c:ext xmlns:c16="http://schemas.microsoft.com/office/drawing/2014/chart" uri="{C3380CC4-5D6E-409C-BE32-E72D297353CC}">
              <c16:uniqueId val="{00000000-14DA-4E3F-9697-70974221528C}"/>
            </c:ext>
          </c:extLst>
        </c:ser>
        <c:ser>
          <c:idx val="1"/>
          <c:order val="1"/>
          <c:tx>
            <c:strRef>
              <c:f>'Proceso de autoevaluación 2025 '!$BT$58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'!$BU$58</c:f>
              <c:numCache>
                <c:formatCode>General</c:formatCode>
                <c:ptCount val="1"/>
                <c:pt idx="0">
                  <c:v>35</c:v>
                </c:pt>
              </c:numCache>
            </c:numRef>
          </c:val>
          <c:extLst>
            <c:ext xmlns:c16="http://schemas.microsoft.com/office/drawing/2014/chart" uri="{C3380CC4-5D6E-409C-BE32-E72D297353CC}">
              <c16:uniqueId val="{00000001-14DA-4E3F-9697-70974221528C}"/>
            </c:ext>
          </c:extLst>
        </c:ser>
        <c:ser>
          <c:idx val="2"/>
          <c:order val="2"/>
          <c:tx>
            <c:strRef>
              <c:f>'Proceso de autoevaluación 2025 '!$BT$59</c:f>
              <c:strCache>
                <c:ptCount val="1"/>
                <c:pt idx="0">
                  <c:v>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'!$BU$59</c:f>
              <c:numCache>
                <c:formatCode>General</c:formatCode>
                <c:ptCount val="1"/>
                <c:pt idx="0">
                  <c:v>2</c:v>
                </c:pt>
              </c:numCache>
            </c:numRef>
          </c:val>
          <c:extLst>
            <c:ext xmlns:c16="http://schemas.microsoft.com/office/drawing/2014/chart" uri="{C3380CC4-5D6E-409C-BE32-E72D297353CC}">
              <c16:uniqueId val="{00000002-14DA-4E3F-9697-70974221528C}"/>
            </c:ext>
          </c:extLst>
        </c:ser>
        <c:ser>
          <c:idx val="3"/>
          <c:order val="3"/>
          <c:tx>
            <c:strRef>
              <c:f>'Proceso de autoevaluación 2025 '!$BT$60</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'!$BU$60</c:f>
              <c:numCache>
                <c:formatCode>General</c:formatCode>
                <c:ptCount val="1"/>
                <c:pt idx="0">
                  <c:v>7</c:v>
                </c:pt>
              </c:numCache>
            </c:numRef>
          </c:val>
          <c:extLst>
            <c:ext xmlns:c16="http://schemas.microsoft.com/office/drawing/2014/chart" uri="{C3380CC4-5D6E-409C-BE32-E72D297353CC}">
              <c16:uniqueId val="{00000003-14DA-4E3F-9697-70974221528C}"/>
            </c:ext>
          </c:extLst>
        </c:ser>
        <c:ser>
          <c:idx val="4"/>
          <c:order val="4"/>
          <c:tx>
            <c:strRef>
              <c:f>'Proceso de autoevaluación 2025 '!$BT$61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'!$BU$61</c:f>
              <c:numCache>
                <c:formatCode>General</c:formatCode>
                <c:ptCount val="1"/>
                <c:pt idx="0">
                  <c:v>0</c:v>
                </c:pt>
              </c:numCache>
            </c:numRef>
          </c:val>
          <c:extLst>
            <c:ext xmlns:c16="http://schemas.microsoft.com/office/drawing/2014/chart" uri="{C3380CC4-5D6E-409C-BE32-E72D297353CC}">
              <c16:uniqueId val="{00000004-14DA-4E3F-9697-70974221528C}"/>
            </c:ext>
          </c:extLst>
        </c:ser>
        <c:dLbls>
          <c:dLblPos val="outEnd"/>
          <c:showLegendKey val="0"/>
          <c:showVal val="1"/>
          <c:showCatName val="0"/>
          <c:showSerName val="0"/>
          <c:showPercent val="0"/>
          <c:showBubbleSize val="0"/>
        </c:dLbls>
        <c:gapWidth val="100"/>
        <c:overlap val="-24"/>
        <c:axId val="678981576"/>
        <c:axId val="678982656"/>
      </c:barChart>
      <c:catAx>
        <c:axId val="678981576"/>
        <c:scaling>
          <c:orientation val="minMax"/>
        </c:scaling>
        <c:delete val="1"/>
        <c:axPos val="b"/>
        <c:numFmt formatCode="General" sourceLinked="1"/>
        <c:majorTickMark val="none"/>
        <c:minorTickMark val="none"/>
        <c:tickLblPos val="nextTo"/>
        <c:crossAx val="678982656"/>
        <c:crosses val="autoZero"/>
        <c:auto val="1"/>
        <c:lblAlgn val="ctr"/>
        <c:lblOffset val="100"/>
        <c:noMultiLvlLbl val="0"/>
      </c:catAx>
      <c:valAx>
        <c:axId val="67898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78981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los sistemas de evaluación de los resultados de aprendizaje permiten una realimentación efectiva que contribuye a la mejora continua de la formación en los estudiantes.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'!$BW$57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'!$BX$57</c:f>
              <c:numCache>
                <c:formatCode>General</c:formatCode>
                <c:ptCount val="1"/>
                <c:pt idx="0">
                  <c:v>11</c:v>
                </c:pt>
              </c:numCache>
            </c:numRef>
          </c:val>
          <c:extLst>
            <c:ext xmlns:c16="http://schemas.microsoft.com/office/drawing/2014/chart" uri="{C3380CC4-5D6E-409C-BE32-E72D297353CC}">
              <c16:uniqueId val="{00000000-695D-4A61-B285-14B9B2DE914C}"/>
            </c:ext>
          </c:extLst>
        </c:ser>
        <c:ser>
          <c:idx val="1"/>
          <c:order val="1"/>
          <c:tx>
            <c:strRef>
              <c:f>'Proceso de autoevaluación 2025 '!$BW$58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'!$BX$58</c:f>
              <c:numCache>
                <c:formatCode>General</c:formatCode>
                <c:ptCount val="1"/>
                <c:pt idx="0">
                  <c:v>32</c:v>
                </c:pt>
              </c:numCache>
            </c:numRef>
          </c:val>
          <c:extLst>
            <c:ext xmlns:c16="http://schemas.microsoft.com/office/drawing/2014/chart" uri="{C3380CC4-5D6E-409C-BE32-E72D297353CC}">
              <c16:uniqueId val="{00000001-695D-4A61-B285-14B9B2DE914C}"/>
            </c:ext>
          </c:extLst>
        </c:ser>
        <c:ser>
          <c:idx val="2"/>
          <c:order val="2"/>
          <c:tx>
            <c:strRef>
              <c:f>'Proceso de autoevaluación 2025 '!$BW$59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'!$BX$59</c:f>
              <c:numCache>
                <c:formatCode>General</c:formatCode>
                <c:ptCount val="1"/>
                <c:pt idx="0">
                  <c:v>8</c:v>
                </c:pt>
              </c:numCache>
            </c:numRef>
          </c:val>
          <c:extLst>
            <c:ext xmlns:c16="http://schemas.microsoft.com/office/drawing/2014/chart" uri="{C3380CC4-5D6E-409C-BE32-E72D297353CC}">
              <c16:uniqueId val="{00000002-695D-4A61-B285-14B9B2DE914C}"/>
            </c:ext>
          </c:extLst>
        </c:ser>
        <c:ser>
          <c:idx val="3"/>
          <c:order val="3"/>
          <c:tx>
            <c:strRef>
              <c:f>'Proceso de autoevaluación 2025 '!$BW$60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'!$BX$60</c:f>
              <c:numCache>
                <c:formatCode>General</c:formatCode>
                <c:ptCount val="1"/>
                <c:pt idx="0">
                  <c:v>1</c:v>
                </c:pt>
              </c:numCache>
            </c:numRef>
          </c:val>
          <c:extLst>
            <c:ext xmlns:c16="http://schemas.microsoft.com/office/drawing/2014/chart" uri="{C3380CC4-5D6E-409C-BE32-E72D297353CC}">
              <c16:uniqueId val="{00000003-695D-4A61-B285-14B9B2DE914C}"/>
            </c:ext>
          </c:extLst>
        </c:ser>
        <c:ser>
          <c:idx val="4"/>
          <c:order val="4"/>
          <c:tx>
            <c:strRef>
              <c:f>'Proceso de autoevaluación 2025 '!$BW$61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'!$BX$61</c:f>
              <c:numCache>
                <c:formatCode>General</c:formatCode>
                <c:ptCount val="1"/>
                <c:pt idx="0">
                  <c:v>0</c:v>
                </c:pt>
              </c:numCache>
            </c:numRef>
          </c:val>
          <c:extLst>
            <c:ext xmlns:c16="http://schemas.microsoft.com/office/drawing/2014/chart" uri="{C3380CC4-5D6E-409C-BE32-E72D297353CC}">
              <c16:uniqueId val="{00000004-695D-4A61-B285-14B9B2DE914C}"/>
            </c:ext>
          </c:extLst>
        </c:ser>
        <c:dLbls>
          <c:dLblPos val="outEnd"/>
          <c:showLegendKey val="0"/>
          <c:showVal val="1"/>
          <c:showCatName val="0"/>
          <c:showSerName val="0"/>
          <c:showPercent val="0"/>
          <c:showBubbleSize val="0"/>
        </c:dLbls>
        <c:gapWidth val="100"/>
        <c:overlap val="-24"/>
        <c:axId val="528005352"/>
        <c:axId val="528006072"/>
      </c:barChart>
      <c:catAx>
        <c:axId val="528005352"/>
        <c:scaling>
          <c:orientation val="minMax"/>
        </c:scaling>
        <c:delete val="1"/>
        <c:axPos val="b"/>
        <c:numFmt formatCode="General" sourceLinked="1"/>
        <c:majorTickMark val="none"/>
        <c:minorTickMark val="none"/>
        <c:tickLblPos val="nextTo"/>
        <c:crossAx val="528006072"/>
        <c:crosses val="autoZero"/>
        <c:auto val="1"/>
        <c:lblAlgn val="ctr"/>
        <c:lblOffset val="100"/>
        <c:noMultiLvlLbl val="0"/>
      </c:catAx>
      <c:valAx>
        <c:axId val="528006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28005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el proceso de evaluación y autorregulación de la Maestría en Ciencias de la Información y las Comunicaciones tiene en cuenta de manera efectiva las necesidades y expectativas de los estudiantes</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'!$BZ$57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'!$CA$57</c:f>
              <c:numCache>
                <c:formatCode>General</c:formatCode>
                <c:ptCount val="1"/>
                <c:pt idx="0">
                  <c:v>6</c:v>
                </c:pt>
              </c:numCache>
            </c:numRef>
          </c:val>
          <c:extLst>
            <c:ext xmlns:c16="http://schemas.microsoft.com/office/drawing/2014/chart" uri="{C3380CC4-5D6E-409C-BE32-E72D297353CC}">
              <c16:uniqueId val="{00000000-2CE6-4DD6-88A4-3B5AC9EC9B24}"/>
            </c:ext>
          </c:extLst>
        </c:ser>
        <c:ser>
          <c:idx val="1"/>
          <c:order val="1"/>
          <c:tx>
            <c:strRef>
              <c:f>'Proceso de autoevaluación 2025 '!$BZ$58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'!$CA$58</c:f>
              <c:numCache>
                <c:formatCode>General</c:formatCode>
                <c:ptCount val="1"/>
                <c:pt idx="0">
                  <c:v>28</c:v>
                </c:pt>
              </c:numCache>
            </c:numRef>
          </c:val>
          <c:extLst>
            <c:ext xmlns:c16="http://schemas.microsoft.com/office/drawing/2014/chart" uri="{C3380CC4-5D6E-409C-BE32-E72D297353CC}">
              <c16:uniqueId val="{00000001-2CE6-4DD6-88A4-3B5AC9EC9B24}"/>
            </c:ext>
          </c:extLst>
        </c:ser>
        <c:ser>
          <c:idx val="2"/>
          <c:order val="2"/>
          <c:tx>
            <c:strRef>
              <c:f>'Proceso de autoevaluación 2025 '!$BZ$59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'!$CA$59</c:f>
              <c:numCache>
                <c:formatCode>General</c:formatCode>
                <c:ptCount val="1"/>
                <c:pt idx="0">
                  <c:v>16</c:v>
                </c:pt>
              </c:numCache>
            </c:numRef>
          </c:val>
          <c:extLst>
            <c:ext xmlns:c16="http://schemas.microsoft.com/office/drawing/2014/chart" uri="{C3380CC4-5D6E-409C-BE32-E72D297353CC}">
              <c16:uniqueId val="{00000002-2CE6-4DD6-88A4-3B5AC9EC9B24}"/>
            </c:ext>
          </c:extLst>
        </c:ser>
        <c:ser>
          <c:idx val="3"/>
          <c:order val="3"/>
          <c:tx>
            <c:strRef>
              <c:f>'Proceso de autoevaluación 2025 '!$BZ$60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'!$CA$60</c:f>
              <c:numCache>
                <c:formatCode>General</c:formatCode>
                <c:ptCount val="1"/>
                <c:pt idx="0">
                  <c:v>2</c:v>
                </c:pt>
              </c:numCache>
            </c:numRef>
          </c:val>
          <c:extLst>
            <c:ext xmlns:c16="http://schemas.microsoft.com/office/drawing/2014/chart" uri="{C3380CC4-5D6E-409C-BE32-E72D297353CC}">
              <c16:uniqueId val="{00000003-2CE6-4DD6-88A4-3B5AC9EC9B24}"/>
            </c:ext>
          </c:extLst>
        </c:ser>
        <c:ser>
          <c:idx val="4"/>
          <c:order val="4"/>
          <c:tx>
            <c:strRef>
              <c:f>'Proceso de autoevaluación 2025 '!$BZ$61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'!$CA$61</c:f>
              <c:numCache>
                <c:formatCode>General</c:formatCode>
                <c:ptCount val="1"/>
                <c:pt idx="0">
                  <c:v>0</c:v>
                </c:pt>
              </c:numCache>
            </c:numRef>
          </c:val>
          <c:extLst>
            <c:ext xmlns:c16="http://schemas.microsoft.com/office/drawing/2014/chart" uri="{C3380CC4-5D6E-409C-BE32-E72D297353CC}">
              <c16:uniqueId val="{00000004-2CE6-4DD6-88A4-3B5AC9EC9B24}"/>
            </c:ext>
          </c:extLst>
        </c:ser>
        <c:dLbls>
          <c:dLblPos val="outEnd"/>
          <c:showLegendKey val="0"/>
          <c:showVal val="1"/>
          <c:showCatName val="0"/>
          <c:showSerName val="0"/>
          <c:showPercent val="0"/>
          <c:showBubbleSize val="0"/>
        </c:dLbls>
        <c:gapWidth val="100"/>
        <c:overlap val="-24"/>
        <c:axId val="597249536"/>
        <c:axId val="597249176"/>
      </c:barChart>
      <c:catAx>
        <c:axId val="597249536"/>
        <c:scaling>
          <c:orientation val="minMax"/>
        </c:scaling>
        <c:delete val="1"/>
        <c:axPos val="b"/>
        <c:numFmt formatCode="General" sourceLinked="1"/>
        <c:majorTickMark val="none"/>
        <c:minorTickMark val="none"/>
        <c:tickLblPos val="nextTo"/>
        <c:crossAx val="597249176"/>
        <c:crosses val="autoZero"/>
        <c:auto val="1"/>
        <c:lblAlgn val="ctr"/>
        <c:lblOffset val="100"/>
        <c:noMultiLvlLbl val="0"/>
      </c:catAx>
      <c:valAx>
        <c:axId val="597249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49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las intervenciones y el apoyo proporcionados para alertarme de forma temprana, han sido útiles para mejorar mi rendimiento académico y facilitar mi progreso hacia la graduación.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'!$CC$57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'!$CD$57</c:f>
              <c:numCache>
                <c:formatCode>General</c:formatCode>
                <c:ptCount val="1"/>
                <c:pt idx="0">
                  <c:v>11</c:v>
                </c:pt>
              </c:numCache>
            </c:numRef>
          </c:val>
          <c:extLst>
            <c:ext xmlns:c16="http://schemas.microsoft.com/office/drawing/2014/chart" uri="{C3380CC4-5D6E-409C-BE32-E72D297353CC}">
              <c16:uniqueId val="{00000000-F209-48E0-AABA-C55B4F9EAF79}"/>
            </c:ext>
          </c:extLst>
        </c:ser>
        <c:ser>
          <c:idx val="1"/>
          <c:order val="1"/>
          <c:tx>
            <c:strRef>
              <c:f>'Proceso de autoevaluación 2025 '!$CC$58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'!$CD$58</c:f>
              <c:numCache>
                <c:formatCode>General</c:formatCode>
                <c:ptCount val="1"/>
                <c:pt idx="0">
                  <c:v>25</c:v>
                </c:pt>
              </c:numCache>
            </c:numRef>
          </c:val>
          <c:extLst>
            <c:ext xmlns:c16="http://schemas.microsoft.com/office/drawing/2014/chart" uri="{C3380CC4-5D6E-409C-BE32-E72D297353CC}">
              <c16:uniqueId val="{00000001-F209-48E0-AABA-C55B4F9EAF79}"/>
            </c:ext>
          </c:extLst>
        </c:ser>
        <c:ser>
          <c:idx val="2"/>
          <c:order val="2"/>
          <c:tx>
            <c:strRef>
              <c:f>'Proceso de autoevaluación 2025 '!$CC$59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'!$CD$59</c:f>
              <c:numCache>
                <c:formatCode>General</c:formatCode>
                <c:ptCount val="1"/>
                <c:pt idx="0">
                  <c:v>14</c:v>
                </c:pt>
              </c:numCache>
            </c:numRef>
          </c:val>
          <c:extLst>
            <c:ext xmlns:c16="http://schemas.microsoft.com/office/drawing/2014/chart" uri="{C3380CC4-5D6E-409C-BE32-E72D297353CC}">
              <c16:uniqueId val="{00000002-F209-48E0-AABA-C55B4F9EAF79}"/>
            </c:ext>
          </c:extLst>
        </c:ser>
        <c:ser>
          <c:idx val="3"/>
          <c:order val="3"/>
          <c:tx>
            <c:strRef>
              <c:f>'Proceso de autoevaluación 2025 '!$CC$60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'!$CD$60</c:f>
              <c:numCache>
                <c:formatCode>General</c:formatCode>
                <c:ptCount val="1"/>
                <c:pt idx="0">
                  <c:v>2</c:v>
                </c:pt>
              </c:numCache>
            </c:numRef>
          </c:val>
          <c:extLst>
            <c:ext xmlns:c16="http://schemas.microsoft.com/office/drawing/2014/chart" uri="{C3380CC4-5D6E-409C-BE32-E72D297353CC}">
              <c16:uniqueId val="{00000003-F209-48E0-AABA-C55B4F9EAF79}"/>
            </c:ext>
          </c:extLst>
        </c:ser>
        <c:ser>
          <c:idx val="4"/>
          <c:order val="4"/>
          <c:tx>
            <c:strRef>
              <c:f>'Proceso de autoevaluación 2025 '!$CC$61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'!$CD$61</c:f>
              <c:numCache>
                <c:formatCode>General</c:formatCode>
                <c:ptCount val="1"/>
                <c:pt idx="0">
                  <c:v>0</c:v>
                </c:pt>
              </c:numCache>
            </c:numRef>
          </c:val>
          <c:extLst>
            <c:ext xmlns:c16="http://schemas.microsoft.com/office/drawing/2014/chart" uri="{C3380CC4-5D6E-409C-BE32-E72D297353CC}">
              <c16:uniqueId val="{00000004-F209-48E0-AABA-C55B4F9EAF79}"/>
            </c:ext>
          </c:extLst>
        </c:ser>
        <c:dLbls>
          <c:dLblPos val="outEnd"/>
          <c:showLegendKey val="0"/>
          <c:showVal val="1"/>
          <c:showCatName val="0"/>
          <c:showSerName val="0"/>
          <c:showPercent val="0"/>
          <c:showBubbleSize val="0"/>
        </c:dLbls>
        <c:gapWidth val="100"/>
        <c:overlap val="-24"/>
        <c:axId val="597265736"/>
        <c:axId val="597266096"/>
      </c:barChart>
      <c:catAx>
        <c:axId val="59726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66096"/>
        <c:crosses val="autoZero"/>
        <c:auto val="1"/>
        <c:lblAlgn val="ctr"/>
        <c:lblOffset val="100"/>
        <c:noMultiLvlLbl val="0"/>
      </c:catAx>
      <c:valAx>
        <c:axId val="59726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65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la interacción con homólogos nacionales e internacionales ha mejorado mis competencias académicas y científicas, así como las oportunidades de desarrollo profesional.</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'!$CF$57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'!$CG$57</c:f>
              <c:numCache>
                <c:formatCode>General</c:formatCode>
                <c:ptCount val="1"/>
                <c:pt idx="0">
                  <c:v>7</c:v>
                </c:pt>
              </c:numCache>
            </c:numRef>
          </c:val>
          <c:extLst>
            <c:ext xmlns:c16="http://schemas.microsoft.com/office/drawing/2014/chart" uri="{C3380CC4-5D6E-409C-BE32-E72D297353CC}">
              <c16:uniqueId val="{00000000-B863-4E15-8C21-188DA4B91BEC}"/>
            </c:ext>
          </c:extLst>
        </c:ser>
        <c:ser>
          <c:idx val="1"/>
          <c:order val="1"/>
          <c:tx>
            <c:strRef>
              <c:f>'Proceso de autoevaluación 2025 '!$CF$58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'!$CG$58</c:f>
              <c:numCache>
                <c:formatCode>General</c:formatCode>
                <c:ptCount val="1"/>
                <c:pt idx="0">
                  <c:v>10</c:v>
                </c:pt>
              </c:numCache>
            </c:numRef>
          </c:val>
          <c:extLst>
            <c:ext xmlns:c16="http://schemas.microsoft.com/office/drawing/2014/chart" uri="{C3380CC4-5D6E-409C-BE32-E72D297353CC}">
              <c16:uniqueId val="{00000001-B863-4E15-8C21-188DA4B91BEC}"/>
            </c:ext>
          </c:extLst>
        </c:ser>
        <c:ser>
          <c:idx val="2"/>
          <c:order val="2"/>
          <c:tx>
            <c:strRef>
              <c:f>'Proceso de autoevaluación 2025 '!$CF$59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'!$CG$59</c:f>
              <c:numCache>
                <c:formatCode>General</c:formatCode>
                <c:ptCount val="1"/>
                <c:pt idx="0">
                  <c:v>34</c:v>
                </c:pt>
              </c:numCache>
            </c:numRef>
          </c:val>
          <c:extLst>
            <c:ext xmlns:c16="http://schemas.microsoft.com/office/drawing/2014/chart" uri="{C3380CC4-5D6E-409C-BE32-E72D297353CC}">
              <c16:uniqueId val="{00000002-B863-4E15-8C21-188DA4B91BEC}"/>
            </c:ext>
          </c:extLst>
        </c:ser>
        <c:ser>
          <c:idx val="3"/>
          <c:order val="3"/>
          <c:tx>
            <c:strRef>
              <c:f>'Proceso de autoevaluación 2025 '!$CF$60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'!$CG$60</c:f>
              <c:numCache>
                <c:formatCode>General</c:formatCode>
                <c:ptCount val="1"/>
                <c:pt idx="0">
                  <c:v>0</c:v>
                </c:pt>
              </c:numCache>
            </c:numRef>
          </c:val>
          <c:extLst>
            <c:ext xmlns:c16="http://schemas.microsoft.com/office/drawing/2014/chart" uri="{C3380CC4-5D6E-409C-BE32-E72D297353CC}">
              <c16:uniqueId val="{00000003-B863-4E15-8C21-188DA4B91BEC}"/>
            </c:ext>
          </c:extLst>
        </c:ser>
        <c:ser>
          <c:idx val="4"/>
          <c:order val="4"/>
          <c:tx>
            <c:strRef>
              <c:f>'Proceso de autoevaluación 2025 '!$CF$61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'!$CG$61</c:f>
              <c:numCache>
                <c:formatCode>General</c:formatCode>
                <c:ptCount val="1"/>
                <c:pt idx="0">
                  <c:v>1</c:v>
                </c:pt>
              </c:numCache>
            </c:numRef>
          </c:val>
          <c:extLst>
            <c:ext xmlns:c16="http://schemas.microsoft.com/office/drawing/2014/chart" uri="{C3380CC4-5D6E-409C-BE32-E72D297353CC}">
              <c16:uniqueId val="{00000004-B863-4E15-8C21-188DA4B91BEC}"/>
            </c:ext>
          </c:extLst>
        </c:ser>
        <c:dLbls>
          <c:dLblPos val="outEnd"/>
          <c:showLegendKey val="0"/>
          <c:showVal val="1"/>
          <c:showCatName val="0"/>
          <c:showSerName val="0"/>
          <c:showPercent val="0"/>
          <c:showBubbleSize val="0"/>
        </c:dLbls>
        <c:gapWidth val="100"/>
        <c:overlap val="-24"/>
        <c:axId val="597265016"/>
        <c:axId val="597272216"/>
      </c:barChart>
      <c:catAx>
        <c:axId val="597265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72216"/>
        <c:crosses val="autoZero"/>
        <c:auto val="1"/>
        <c:lblAlgn val="ctr"/>
        <c:lblOffset val="100"/>
        <c:noMultiLvlLbl val="0"/>
      </c:catAx>
      <c:valAx>
        <c:axId val="597272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65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la Maestría en Ciencias de la Información y las Comunicaciones me proporciona una formación adecuada para la investigación, fomentando el desarrollo de un pensamiento crítico, creativo e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'!$CL$57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'!$CM$57</c:f>
              <c:numCache>
                <c:formatCode>General</c:formatCode>
                <c:ptCount val="1"/>
                <c:pt idx="0">
                  <c:v>17</c:v>
                </c:pt>
              </c:numCache>
            </c:numRef>
          </c:val>
          <c:extLst>
            <c:ext xmlns:c16="http://schemas.microsoft.com/office/drawing/2014/chart" uri="{C3380CC4-5D6E-409C-BE32-E72D297353CC}">
              <c16:uniqueId val="{00000000-ED32-40C5-A21C-BBB67D0BB9CC}"/>
            </c:ext>
          </c:extLst>
        </c:ser>
        <c:ser>
          <c:idx val="1"/>
          <c:order val="1"/>
          <c:tx>
            <c:strRef>
              <c:f>'Proceso de autoevaluación 2025 '!$CL$58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'!$CM$58</c:f>
              <c:numCache>
                <c:formatCode>General</c:formatCode>
                <c:ptCount val="1"/>
                <c:pt idx="0">
                  <c:v>29</c:v>
                </c:pt>
              </c:numCache>
            </c:numRef>
          </c:val>
          <c:extLst>
            <c:ext xmlns:c16="http://schemas.microsoft.com/office/drawing/2014/chart" uri="{C3380CC4-5D6E-409C-BE32-E72D297353CC}">
              <c16:uniqueId val="{00000001-ED32-40C5-A21C-BBB67D0BB9CC}"/>
            </c:ext>
          </c:extLst>
        </c:ser>
        <c:ser>
          <c:idx val="2"/>
          <c:order val="2"/>
          <c:tx>
            <c:strRef>
              <c:f>'Proceso de autoevaluación 2025 '!$CL$59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'!$CM$59</c:f>
              <c:numCache>
                <c:formatCode>General</c:formatCode>
                <c:ptCount val="1"/>
                <c:pt idx="0">
                  <c:v>3</c:v>
                </c:pt>
              </c:numCache>
            </c:numRef>
          </c:val>
          <c:extLst>
            <c:ext xmlns:c16="http://schemas.microsoft.com/office/drawing/2014/chart" uri="{C3380CC4-5D6E-409C-BE32-E72D297353CC}">
              <c16:uniqueId val="{00000002-ED32-40C5-A21C-BBB67D0BB9CC}"/>
            </c:ext>
          </c:extLst>
        </c:ser>
        <c:ser>
          <c:idx val="3"/>
          <c:order val="3"/>
          <c:tx>
            <c:strRef>
              <c:f>'Proceso de autoevaluación 2025 '!$CL$60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'!$CM$60</c:f>
              <c:numCache>
                <c:formatCode>General</c:formatCode>
                <c:ptCount val="1"/>
                <c:pt idx="0">
                  <c:v>3</c:v>
                </c:pt>
              </c:numCache>
            </c:numRef>
          </c:val>
          <c:extLst>
            <c:ext xmlns:c16="http://schemas.microsoft.com/office/drawing/2014/chart" uri="{C3380CC4-5D6E-409C-BE32-E72D297353CC}">
              <c16:uniqueId val="{00000003-ED32-40C5-A21C-BBB67D0BB9CC}"/>
            </c:ext>
          </c:extLst>
        </c:ser>
        <c:ser>
          <c:idx val="4"/>
          <c:order val="4"/>
          <c:tx>
            <c:strRef>
              <c:f>'Proceso de autoevaluación 2025 '!$CL$61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'!$CM$61</c:f>
              <c:numCache>
                <c:formatCode>General</c:formatCode>
                <c:ptCount val="1"/>
                <c:pt idx="0">
                  <c:v>0</c:v>
                </c:pt>
              </c:numCache>
            </c:numRef>
          </c:val>
          <c:extLst>
            <c:ext xmlns:c16="http://schemas.microsoft.com/office/drawing/2014/chart" uri="{C3380CC4-5D6E-409C-BE32-E72D297353CC}">
              <c16:uniqueId val="{00000004-ED32-40C5-A21C-BBB67D0BB9CC}"/>
            </c:ext>
          </c:extLst>
        </c:ser>
        <c:dLbls>
          <c:dLblPos val="outEnd"/>
          <c:showLegendKey val="0"/>
          <c:showVal val="1"/>
          <c:showCatName val="0"/>
          <c:showSerName val="0"/>
          <c:showPercent val="0"/>
          <c:showBubbleSize val="0"/>
        </c:dLbls>
        <c:gapWidth val="100"/>
        <c:overlap val="-24"/>
        <c:axId val="597259256"/>
        <c:axId val="597254216"/>
      </c:barChart>
      <c:catAx>
        <c:axId val="597259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54216"/>
        <c:crosses val="autoZero"/>
        <c:auto val="1"/>
        <c:lblAlgn val="ctr"/>
        <c:lblOffset val="100"/>
        <c:noMultiLvlLbl val="0"/>
      </c:catAx>
      <c:valAx>
        <c:axId val="597254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59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las políticas, programas y servicios de bienestar implementados en Maestría en Ciencias de la Información y las Comunicaciones son coherentes con las condiciones y necesidades específica</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'!$CR$57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'!$CS$57</c:f>
              <c:numCache>
                <c:formatCode>General</c:formatCode>
                <c:ptCount val="1"/>
                <c:pt idx="0">
                  <c:v>6</c:v>
                </c:pt>
              </c:numCache>
            </c:numRef>
          </c:val>
          <c:extLst>
            <c:ext xmlns:c16="http://schemas.microsoft.com/office/drawing/2014/chart" uri="{C3380CC4-5D6E-409C-BE32-E72D297353CC}">
              <c16:uniqueId val="{00000000-0919-472B-AE6E-279E00C86C2B}"/>
            </c:ext>
          </c:extLst>
        </c:ser>
        <c:ser>
          <c:idx val="1"/>
          <c:order val="1"/>
          <c:tx>
            <c:strRef>
              <c:f>'Proceso de autoevaluación 2025 '!$CR$58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'!$CS$58</c:f>
              <c:numCache>
                <c:formatCode>General</c:formatCode>
                <c:ptCount val="1"/>
                <c:pt idx="0">
                  <c:v>23</c:v>
                </c:pt>
              </c:numCache>
            </c:numRef>
          </c:val>
          <c:extLst>
            <c:ext xmlns:c16="http://schemas.microsoft.com/office/drawing/2014/chart" uri="{C3380CC4-5D6E-409C-BE32-E72D297353CC}">
              <c16:uniqueId val="{00000001-0919-472B-AE6E-279E00C86C2B}"/>
            </c:ext>
          </c:extLst>
        </c:ser>
        <c:ser>
          <c:idx val="2"/>
          <c:order val="2"/>
          <c:tx>
            <c:strRef>
              <c:f>'Proceso de autoevaluación 2025 '!$CR$59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'!$CS$59</c:f>
              <c:numCache>
                <c:formatCode>General</c:formatCode>
                <c:ptCount val="1"/>
                <c:pt idx="0">
                  <c:v>19</c:v>
                </c:pt>
              </c:numCache>
            </c:numRef>
          </c:val>
          <c:extLst>
            <c:ext xmlns:c16="http://schemas.microsoft.com/office/drawing/2014/chart" uri="{C3380CC4-5D6E-409C-BE32-E72D297353CC}">
              <c16:uniqueId val="{00000002-0919-472B-AE6E-279E00C86C2B}"/>
            </c:ext>
          </c:extLst>
        </c:ser>
        <c:ser>
          <c:idx val="3"/>
          <c:order val="3"/>
          <c:tx>
            <c:strRef>
              <c:f>'Proceso de autoevaluación 2025 '!$CR$60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'!$CS$60</c:f>
              <c:numCache>
                <c:formatCode>General</c:formatCode>
                <c:ptCount val="1"/>
                <c:pt idx="0">
                  <c:v>4</c:v>
                </c:pt>
              </c:numCache>
            </c:numRef>
          </c:val>
          <c:extLst>
            <c:ext xmlns:c16="http://schemas.microsoft.com/office/drawing/2014/chart" uri="{C3380CC4-5D6E-409C-BE32-E72D297353CC}">
              <c16:uniqueId val="{00000003-0919-472B-AE6E-279E00C86C2B}"/>
            </c:ext>
          </c:extLst>
        </c:ser>
        <c:ser>
          <c:idx val="4"/>
          <c:order val="4"/>
          <c:tx>
            <c:strRef>
              <c:f>'Proceso de autoevaluación 2025 '!$CR$61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'!$CS$61</c:f>
              <c:numCache>
                <c:formatCode>General</c:formatCode>
                <c:ptCount val="1"/>
                <c:pt idx="0">
                  <c:v>0</c:v>
                </c:pt>
              </c:numCache>
            </c:numRef>
          </c:val>
          <c:extLst>
            <c:ext xmlns:c16="http://schemas.microsoft.com/office/drawing/2014/chart" uri="{C3380CC4-5D6E-409C-BE32-E72D297353CC}">
              <c16:uniqueId val="{00000004-0919-472B-AE6E-279E00C86C2B}"/>
            </c:ext>
          </c:extLst>
        </c:ser>
        <c:dLbls>
          <c:dLblPos val="outEnd"/>
          <c:showLegendKey val="0"/>
          <c:showVal val="1"/>
          <c:showCatName val="0"/>
          <c:showSerName val="0"/>
          <c:showPercent val="0"/>
          <c:showBubbleSize val="0"/>
        </c:dLbls>
        <c:gapWidth val="100"/>
        <c:overlap val="-24"/>
        <c:axId val="636250272"/>
        <c:axId val="636249912"/>
      </c:barChart>
      <c:catAx>
        <c:axId val="63625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6249912"/>
        <c:crosses val="autoZero"/>
        <c:auto val="1"/>
        <c:lblAlgn val="ctr"/>
        <c:lblOffset val="100"/>
        <c:noMultiLvlLbl val="0"/>
      </c:catAx>
      <c:valAx>
        <c:axId val="63624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6250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el acompañamiento proporcionado en la Maestría en Ciencias de la Información y las Comunicaciones facilita una comunicación efectiva y una interacción constructiva entre profesores y estudiantes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'!$CU$57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'!$CV$57</c:f>
              <c:numCache>
                <c:formatCode>General</c:formatCode>
                <c:ptCount val="1"/>
                <c:pt idx="0">
                  <c:v>8</c:v>
                </c:pt>
              </c:numCache>
            </c:numRef>
          </c:val>
          <c:extLst>
            <c:ext xmlns:c16="http://schemas.microsoft.com/office/drawing/2014/chart" uri="{C3380CC4-5D6E-409C-BE32-E72D297353CC}">
              <c16:uniqueId val="{00000000-2C18-42BF-8049-DC44D3F8D8CD}"/>
            </c:ext>
          </c:extLst>
        </c:ser>
        <c:ser>
          <c:idx val="1"/>
          <c:order val="1"/>
          <c:tx>
            <c:strRef>
              <c:f>'Proceso de autoevaluación 2025 '!$CU$58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'!$CV$58</c:f>
              <c:numCache>
                <c:formatCode>General</c:formatCode>
                <c:ptCount val="1"/>
                <c:pt idx="0">
                  <c:v>32</c:v>
                </c:pt>
              </c:numCache>
            </c:numRef>
          </c:val>
          <c:extLst>
            <c:ext xmlns:c16="http://schemas.microsoft.com/office/drawing/2014/chart" uri="{C3380CC4-5D6E-409C-BE32-E72D297353CC}">
              <c16:uniqueId val="{00000001-2C18-42BF-8049-DC44D3F8D8CD}"/>
            </c:ext>
          </c:extLst>
        </c:ser>
        <c:ser>
          <c:idx val="2"/>
          <c:order val="2"/>
          <c:tx>
            <c:strRef>
              <c:f>'Proceso de autoevaluación 2025 '!$CU$59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'!$CV$59</c:f>
              <c:numCache>
                <c:formatCode>General</c:formatCode>
                <c:ptCount val="1"/>
                <c:pt idx="0">
                  <c:v>9</c:v>
                </c:pt>
              </c:numCache>
            </c:numRef>
          </c:val>
          <c:extLst>
            <c:ext xmlns:c16="http://schemas.microsoft.com/office/drawing/2014/chart" uri="{C3380CC4-5D6E-409C-BE32-E72D297353CC}">
              <c16:uniqueId val="{00000002-2C18-42BF-8049-DC44D3F8D8CD}"/>
            </c:ext>
          </c:extLst>
        </c:ser>
        <c:ser>
          <c:idx val="3"/>
          <c:order val="3"/>
          <c:tx>
            <c:strRef>
              <c:f>'Proceso de autoevaluación 2025 '!$CU$60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'!$CV$60</c:f>
              <c:numCache>
                <c:formatCode>General</c:formatCode>
                <c:ptCount val="1"/>
                <c:pt idx="0">
                  <c:v>3</c:v>
                </c:pt>
              </c:numCache>
            </c:numRef>
          </c:val>
          <c:extLst>
            <c:ext xmlns:c16="http://schemas.microsoft.com/office/drawing/2014/chart" uri="{C3380CC4-5D6E-409C-BE32-E72D297353CC}">
              <c16:uniqueId val="{00000003-2C18-42BF-8049-DC44D3F8D8CD}"/>
            </c:ext>
          </c:extLst>
        </c:ser>
        <c:ser>
          <c:idx val="4"/>
          <c:order val="4"/>
          <c:tx>
            <c:strRef>
              <c:f>'Proceso de autoevaluación 2025 '!$CU$61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'!$CV$61</c:f>
              <c:numCache>
                <c:formatCode>General</c:formatCode>
                <c:ptCount val="1"/>
                <c:pt idx="0">
                  <c:v>0</c:v>
                </c:pt>
              </c:numCache>
            </c:numRef>
          </c:val>
          <c:extLst>
            <c:ext xmlns:c16="http://schemas.microsoft.com/office/drawing/2014/chart" uri="{C3380CC4-5D6E-409C-BE32-E72D297353CC}">
              <c16:uniqueId val="{00000004-2C18-42BF-8049-DC44D3F8D8CD}"/>
            </c:ext>
          </c:extLst>
        </c:ser>
        <c:dLbls>
          <c:dLblPos val="outEnd"/>
          <c:showLegendKey val="0"/>
          <c:showVal val="1"/>
          <c:showCatName val="0"/>
          <c:showSerName val="0"/>
          <c:showPercent val="0"/>
          <c:showBubbleSize val="0"/>
        </c:dLbls>
        <c:gapWidth val="100"/>
        <c:overlap val="-24"/>
        <c:axId val="636248112"/>
        <c:axId val="636254952"/>
      </c:barChart>
      <c:catAx>
        <c:axId val="636248112"/>
        <c:scaling>
          <c:orientation val="minMax"/>
        </c:scaling>
        <c:delete val="1"/>
        <c:axPos val="b"/>
        <c:numFmt formatCode="General" sourceLinked="1"/>
        <c:majorTickMark val="none"/>
        <c:minorTickMark val="none"/>
        <c:tickLblPos val="nextTo"/>
        <c:crossAx val="636254952"/>
        <c:crosses val="autoZero"/>
        <c:auto val="1"/>
        <c:lblAlgn val="ctr"/>
        <c:lblOffset val="100"/>
        <c:noMultiLvlLbl val="0"/>
      </c:catAx>
      <c:valAx>
        <c:axId val="636254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6248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los espacios, recurso, herramientas y equipos de apoyo ofrecidos son pertinentes y se ajustan adecuadamente a mis necesidades formativas en los diferentes contextos que requiero. </a:t>
            </a:r>
          </a:p>
        </c:rich>
      </c:tx>
      <c:layout>
        <c:manualLayout>
          <c:xMode val="edge"/>
          <c:yMode val="edge"/>
          <c:x val="0.10646522309711286"/>
          <c:y val="3.240740740740740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'!$CX$57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'!$CY$57</c:f>
              <c:numCache>
                <c:formatCode>General</c:formatCode>
                <c:ptCount val="1"/>
                <c:pt idx="0">
                  <c:v>12</c:v>
                </c:pt>
              </c:numCache>
            </c:numRef>
          </c:val>
          <c:extLst>
            <c:ext xmlns:c16="http://schemas.microsoft.com/office/drawing/2014/chart" uri="{C3380CC4-5D6E-409C-BE32-E72D297353CC}">
              <c16:uniqueId val="{00000000-3F25-4BF7-9672-81A3A5F87B3A}"/>
            </c:ext>
          </c:extLst>
        </c:ser>
        <c:ser>
          <c:idx val="1"/>
          <c:order val="1"/>
          <c:tx>
            <c:strRef>
              <c:f>'Proceso de autoevaluación 2025 '!$CX$58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'!$CY$58</c:f>
              <c:numCache>
                <c:formatCode>General</c:formatCode>
                <c:ptCount val="1"/>
                <c:pt idx="0">
                  <c:v>26</c:v>
                </c:pt>
              </c:numCache>
            </c:numRef>
          </c:val>
          <c:extLst>
            <c:ext xmlns:c16="http://schemas.microsoft.com/office/drawing/2014/chart" uri="{C3380CC4-5D6E-409C-BE32-E72D297353CC}">
              <c16:uniqueId val="{00000005-3F25-4BF7-9672-81A3A5F87B3A}"/>
            </c:ext>
          </c:extLst>
        </c:ser>
        <c:ser>
          <c:idx val="2"/>
          <c:order val="2"/>
          <c:tx>
            <c:strRef>
              <c:f>'Proceso de autoevaluación 2025 '!$CX$59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'!$CY$59</c:f>
              <c:numCache>
                <c:formatCode>General</c:formatCode>
                <c:ptCount val="1"/>
                <c:pt idx="0">
                  <c:v>11</c:v>
                </c:pt>
              </c:numCache>
            </c:numRef>
          </c:val>
          <c:extLst>
            <c:ext xmlns:c16="http://schemas.microsoft.com/office/drawing/2014/chart" uri="{C3380CC4-5D6E-409C-BE32-E72D297353CC}">
              <c16:uniqueId val="{00000006-3F25-4BF7-9672-81A3A5F87B3A}"/>
            </c:ext>
          </c:extLst>
        </c:ser>
        <c:ser>
          <c:idx val="3"/>
          <c:order val="3"/>
          <c:tx>
            <c:strRef>
              <c:f>'Proceso de autoevaluación 2025 '!$CX$60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'!$CY$60</c:f>
              <c:numCache>
                <c:formatCode>General</c:formatCode>
                <c:ptCount val="1"/>
                <c:pt idx="0">
                  <c:v>3</c:v>
                </c:pt>
              </c:numCache>
            </c:numRef>
          </c:val>
          <c:extLst>
            <c:ext xmlns:c16="http://schemas.microsoft.com/office/drawing/2014/chart" uri="{C3380CC4-5D6E-409C-BE32-E72D297353CC}">
              <c16:uniqueId val="{00000007-3F25-4BF7-9672-81A3A5F87B3A}"/>
            </c:ext>
          </c:extLst>
        </c:ser>
        <c:ser>
          <c:idx val="4"/>
          <c:order val="4"/>
          <c:tx>
            <c:strRef>
              <c:f>'Proceso de autoevaluación 2025 '!$CX$61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'!$CY$61</c:f>
              <c:numCache>
                <c:formatCode>General</c:formatCode>
                <c:ptCount val="1"/>
                <c:pt idx="0">
                  <c:v>0</c:v>
                </c:pt>
              </c:numCache>
            </c:numRef>
          </c:val>
          <c:extLst>
            <c:ext xmlns:c16="http://schemas.microsoft.com/office/drawing/2014/chart" uri="{C3380CC4-5D6E-409C-BE32-E72D297353CC}">
              <c16:uniqueId val="{00000008-3F25-4BF7-9672-81A3A5F87B3A}"/>
            </c:ext>
          </c:extLst>
        </c:ser>
        <c:dLbls>
          <c:dLblPos val="outEnd"/>
          <c:showLegendKey val="0"/>
          <c:showVal val="1"/>
          <c:showCatName val="0"/>
          <c:showSerName val="0"/>
          <c:showPercent val="0"/>
          <c:showBubbleSize val="0"/>
        </c:dLbls>
        <c:gapWidth val="100"/>
        <c:overlap val="-24"/>
        <c:axId val="636229752"/>
        <c:axId val="636227952"/>
      </c:barChart>
      <c:catAx>
        <c:axId val="636229752"/>
        <c:scaling>
          <c:orientation val="minMax"/>
        </c:scaling>
        <c:delete val="1"/>
        <c:axPos val="b"/>
        <c:numFmt formatCode="General" sourceLinked="1"/>
        <c:majorTickMark val="none"/>
        <c:minorTickMark val="none"/>
        <c:tickLblPos val="nextTo"/>
        <c:crossAx val="636227952"/>
        <c:crosses val="autoZero"/>
        <c:auto val="1"/>
        <c:lblAlgn val="ctr"/>
        <c:lblOffset val="100"/>
        <c:noMultiLvlLbl val="0"/>
      </c:catAx>
      <c:valAx>
        <c:axId val="63622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6229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¿Has notado alguna mejora en las estrategias y recursos de apoyo como resultado de retroalimentaciones previas?</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D8F-45EC-B95F-7B82F6840EC0}"/>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D8F-45EC-B95F-7B82F6840EC0}"/>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5D8F-45EC-B95F-7B82F6840E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'Proceso de autoevaluación 2025 '!$DA$57:$DA$59</c:f>
              <c:strCache>
                <c:ptCount val="3"/>
                <c:pt idx="0">
                  <c:v>Sí.</c:v>
                </c:pt>
                <c:pt idx="1">
                  <c:v>No.</c:v>
                </c:pt>
                <c:pt idx="2">
                  <c:v>No sabe/ No responde.</c:v>
                </c:pt>
              </c:strCache>
            </c:strRef>
          </c:cat>
          <c:val>
            <c:numRef>
              <c:f>'Proceso de autoevaluación 2025 '!$DB$57:$DB$59</c:f>
              <c:numCache>
                <c:formatCode>General</c:formatCode>
                <c:ptCount val="3"/>
                <c:pt idx="0">
                  <c:v>17</c:v>
                </c:pt>
                <c:pt idx="1">
                  <c:v>8</c:v>
                </c:pt>
                <c:pt idx="2">
                  <c:v>27</c:v>
                </c:pt>
              </c:numCache>
            </c:numRef>
          </c:val>
          <c:extLst>
            <c:ext xmlns:c16="http://schemas.microsoft.com/office/drawing/2014/chart" uri="{C3380CC4-5D6E-409C-BE32-E72D297353CC}">
              <c16:uniqueId val="{00000000-72E2-4ED2-B871-EC3BDFEE4EB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el material bibliográfico y de información disponible en la Maestría en Ciencias de la Información y las Comunicaciones es pertinente y adecuado para apoyar el desarrollo de las distinta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'!$DD$57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'!$DE$57</c:f>
              <c:numCache>
                <c:formatCode>General</c:formatCode>
                <c:ptCount val="1"/>
                <c:pt idx="0">
                  <c:v>15</c:v>
                </c:pt>
              </c:numCache>
            </c:numRef>
          </c:val>
          <c:extLst>
            <c:ext xmlns:c16="http://schemas.microsoft.com/office/drawing/2014/chart" uri="{C3380CC4-5D6E-409C-BE32-E72D297353CC}">
              <c16:uniqueId val="{00000000-D846-440C-9596-8CBBC79C0081}"/>
            </c:ext>
          </c:extLst>
        </c:ser>
        <c:ser>
          <c:idx val="1"/>
          <c:order val="1"/>
          <c:tx>
            <c:strRef>
              <c:f>'Proceso de autoevaluación 2025 '!$DD$58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'!$DE$58</c:f>
              <c:numCache>
                <c:formatCode>General</c:formatCode>
                <c:ptCount val="1"/>
                <c:pt idx="0">
                  <c:v>27</c:v>
                </c:pt>
              </c:numCache>
            </c:numRef>
          </c:val>
          <c:extLst>
            <c:ext xmlns:c16="http://schemas.microsoft.com/office/drawing/2014/chart" uri="{C3380CC4-5D6E-409C-BE32-E72D297353CC}">
              <c16:uniqueId val="{00000001-D846-440C-9596-8CBBC79C0081}"/>
            </c:ext>
          </c:extLst>
        </c:ser>
        <c:ser>
          <c:idx val="2"/>
          <c:order val="2"/>
          <c:tx>
            <c:strRef>
              <c:f>'Proceso de autoevaluación 2025 '!$DD$59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'!$DE$59</c:f>
              <c:numCache>
                <c:formatCode>General</c:formatCode>
                <c:ptCount val="1"/>
                <c:pt idx="0">
                  <c:v>8</c:v>
                </c:pt>
              </c:numCache>
            </c:numRef>
          </c:val>
          <c:extLst>
            <c:ext xmlns:c16="http://schemas.microsoft.com/office/drawing/2014/chart" uri="{C3380CC4-5D6E-409C-BE32-E72D297353CC}">
              <c16:uniqueId val="{00000002-D846-440C-9596-8CBBC79C0081}"/>
            </c:ext>
          </c:extLst>
        </c:ser>
        <c:ser>
          <c:idx val="3"/>
          <c:order val="3"/>
          <c:tx>
            <c:strRef>
              <c:f>'Proceso de autoevaluación 2025 '!$DD$60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'!$DE$60</c:f>
              <c:numCache>
                <c:formatCode>General</c:formatCode>
                <c:ptCount val="1"/>
                <c:pt idx="0">
                  <c:v>2</c:v>
                </c:pt>
              </c:numCache>
            </c:numRef>
          </c:val>
          <c:extLst>
            <c:ext xmlns:c16="http://schemas.microsoft.com/office/drawing/2014/chart" uri="{C3380CC4-5D6E-409C-BE32-E72D297353CC}">
              <c16:uniqueId val="{00000003-D846-440C-9596-8CBBC79C0081}"/>
            </c:ext>
          </c:extLst>
        </c:ser>
        <c:ser>
          <c:idx val="4"/>
          <c:order val="4"/>
          <c:tx>
            <c:strRef>
              <c:f>'Proceso de autoevaluación 2025 '!$DD$61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'!$DE$61</c:f>
              <c:numCache>
                <c:formatCode>General</c:formatCode>
                <c:ptCount val="1"/>
                <c:pt idx="0">
                  <c:v>0</c:v>
                </c:pt>
              </c:numCache>
            </c:numRef>
          </c:val>
          <c:extLst>
            <c:ext xmlns:c16="http://schemas.microsoft.com/office/drawing/2014/chart" uri="{C3380CC4-5D6E-409C-BE32-E72D297353CC}">
              <c16:uniqueId val="{00000004-D846-440C-9596-8CBBC79C0081}"/>
            </c:ext>
          </c:extLst>
        </c:ser>
        <c:dLbls>
          <c:dLblPos val="outEnd"/>
          <c:showLegendKey val="0"/>
          <c:showVal val="1"/>
          <c:showCatName val="0"/>
          <c:showSerName val="0"/>
          <c:showPercent val="0"/>
          <c:showBubbleSize val="0"/>
        </c:dLbls>
        <c:gapWidth val="100"/>
        <c:overlap val="-24"/>
        <c:axId val="597259616"/>
        <c:axId val="597257096"/>
      </c:barChart>
      <c:catAx>
        <c:axId val="59725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57096"/>
        <c:crosses val="autoZero"/>
        <c:auto val="1"/>
        <c:lblAlgn val="ctr"/>
        <c:lblOffset val="100"/>
        <c:noMultiLvlLbl val="0"/>
      </c:catAx>
      <c:valAx>
        <c:axId val="597257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59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el material bibliográfico y de información disponible en la Maestría en Ciencias de la Información y las Comunicaciones es pertinente y adecuado para apoyar el desarrollo de las distinta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'!$DD$57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'!$DE$57</c:f>
              <c:numCache>
                <c:formatCode>General</c:formatCode>
                <c:ptCount val="1"/>
                <c:pt idx="0">
                  <c:v>15</c:v>
                </c:pt>
              </c:numCache>
            </c:numRef>
          </c:val>
          <c:extLst>
            <c:ext xmlns:c16="http://schemas.microsoft.com/office/drawing/2014/chart" uri="{C3380CC4-5D6E-409C-BE32-E72D297353CC}">
              <c16:uniqueId val="{00000000-9B1F-4BB1-A624-EDD7B17B8237}"/>
            </c:ext>
          </c:extLst>
        </c:ser>
        <c:ser>
          <c:idx val="1"/>
          <c:order val="1"/>
          <c:tx>
            <c:strRef>
              <c:f>'Proceso de autoevaluación 2025 '!$DD$58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'!$DE$58</c:f>
              <c:numCache>
                <c:formatCode>General</c:formatCode>
                <c:ptCount val="1"/>
                <c:pt idx="0">
                  <c:v>27</c:v>
                </c:pt>
              </c:numCache>
            </c:numRef>
          </c:val>
          <c:extLst>
            <c:ext xmlns:c16="http://schemas.microsoft.com/office/drawing/2014/chart" uri="{C3380CC4-5D6E-409C-BE32-E72D297353CC}">
              <c16:uniqueId val="{00000005-9B1F-4BB1-A624-EDD7B17B8237}"/>
            </c:ext>
          </c:extLst>
        </c:ser>
        <c:ser>
          <c:idx val="2"/>
          <c:order val="2"/>
          <c:tx>
            <c:strRef>
              <c:f>'Proceso de autoevaluación 2025 '!$DD$59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'!$DE$59</c:f>
              <c:numCache>
                <c:formatCode>General</c:formatCode>
                <c:ptCount val="1"/>
                <c:pt idx="0">
                  <c:v>8</c:v>
                </c:pt>
              </c:numCache>
            </c:numRef>
          </c:val>
          <c:extLst>
            <c:ext xmlns:c16="http://schemas.microsoft.com/office/drawing/2014/chart" uri="{C3380CC4-5D6E-409C-BE32-E72D297353CC}">
              <c16:uniqueId val="{00000006-9B1F-4BB1-A624-EDD7B17B8237}"/>
            </c:ext>
          </c:extLst>
        </c:ser>
        <c:ser>
          <c:idx val="3"/>
          <c:order val="3"/>
          <c:tx>
            <c:strRef>
              <c:f>'Proceso de autoevaluación 2025 '!$DD$60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'!$DE$60</c:f>
              <c:numCache>
                <c:formatCode>General</c:formatCode>
                <c:ptCount val="1"/>
                <c:pt idx="0">
                  <c:v>2</c:v>
                </c:pt>
              </c:numCache>
            </c:numRef>
          </c:val>
          <c:extLst>
            <c:ext xmlns:c16="http://schemas.microsoft.com/office/drawing/2014/chart" uri="{C3380CC4-5D6E-409C-BE32-E72D297353CC}">
              <c16:uniqueId val="{00000007-9B1F-4BB1-A624-EDD7B17B8237}"/>
            </c:ext>
          </c:extLst>
        </c:ser>
        <c:ser>
          <c:idx val="4"/>
          <c:order val="4"/>
          <c:tx>
            <c:strRef>
              <c:f>'Proceso de autoevaluación 2025 '!$DD$61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'!$DE$61</c:f>
              <c:numCache>
                <c:formatCode>General</c:formatCode>
                <c:ptCount val="1"/>
                <c:pt idx="0">
                  <c:v>0</c:v>
                </c:pt>
              </c:numCache>
            </c:numRef>
          </c:val>
          <c:extLst>
            <c:ext xmlns:c16="http://schemas.microsoft.com/office/drawing/2014/chart" uri="{C3380CC4-5D6E-409C-BE32-E72D297353CC}">
              <c16:uniqueId val="{00000008-9B1F-4BB1-A624-EDD7B17B8237}"/>
            </c:ext>
          </c:extLst>
        </c:ser>
        <c:dLbls>
          <c:dLblPos val="outEnd"/>
          <c:showLegendKey val="0"/>
          <c:showVal val="1"/>
          <c:showCatName val="0"/>
          <c:showSerName val="0"/>
          <c:showPercent val="0"/>
          <c:showBubbleSize val="0"/>
        </c:dLbls>
        <c:gapWidth val="100"/>
        <c:overlap val="-24"/>
        <c:axId val="597252776"/>
        <c:axId val="597241976"/>
      </c:barChart>
      <c:catAx>
        <c:axId val="597252776"/>
        <c:scaling>
          <c:orientation val="minMax"/>
        </c:scaling>
        <c:delete val="1"/>
        <c:axPos val="b"/>
        <c:numFmt formatCode="General" sourceLinked="1"/>
        <c:majorTickMark val="none"/>
        <c:minorTickMark val="none"/>
        <c:tickLblPos val="nextTo"/>
        <c:crossAx val="597241976"/>
        <c:crosses val="autoZero"/>
        <c:auto val="1"/>
        <c:lblAlgn val="ctr"/>
        <c:lblOffset val="100"/>
        <c:noMultiLvlLbl val="0"/>
      </c:catAx>
      <c:valAx>
        <c:axId val="597241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97252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Considero que el representante estudiantil en los diferentes escenarios institucionales ha sido valorada y ha influido en las decisiones orientadas al mejoramiento de la Maestría en Ciencias de la Información</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'!$DG$57</c:f>
              <c:strCache>
                <c:ptCount val="1"/>
                <c:pt idx="0">
                  <c:v>Totalmente de acuerdo.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'!$DH$57</c:f>
              <c:numCache>
                <c:formatCode>General</c:formatCode>
                <c:ptCount val="1"/>
                <c:pt idx="0">
                  <c:v>2</c:v>
                </c:pt>
              </c:numCache>
            </c:numRef>
          </c:val>
          <c:extLst>
            <c:ext xmlns:c16="http://schemas.microsoft.com/office/drawing/2014/chart" uri="{C3380CC4-5D6E-409C-BE32-E72D297353CC}">
              <c16:uniqueId val="{00000000-FF87-4027-80E6-5E82AC26A657}"/>
            </c:ext>
          </c:extLst>
        </c:ser>
        <c:ser>
          <c:idx val="1"/>
          <c:order val="1"/>
          <c:tx>
            <c:strRef>
              <c:f>'Proceso de autoevaluación 2025 '!$DG$58</c:f>
              <c:strCache>
                <c:ptCount val="1"/>
                <c:pt idx="0">
                  <c:v> De acuerdo.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'!$DH$58</c:f>
              <c:numCache>
                <c:formatCode>General</c:formatCode>
                <c:ptCount val="1"/>
                <c:pt idx="0">
                  <c:v>9</c:v>
                </c:pt>
              </c:numCache>
            </c:numRef>
          </c:val>
          <c:extLst>
            <c:ext xmlns:c16="http://schemas.microsoft.com/office/drawing/2014/chart" uri="{C3380CC4-5D6E-409C-BE32-E72D297353CC}">
              <c16:uniqueId val="{00000001-FF87-4027-80E6-5E82AC26A657}"/>
            </c:ext>
          </c:extLst>
        </c:ser>
        <c:ser>
          <c:idx val="2"/>
          <c:order val="2"/>
          <c:tx>
            <c:strRef>
              <c:f>'Proceso de autoevaluación 2025 '!$DG$59</c:f>
              <c:strCache>
                <c:ptCount val="1"/>
                <c:pt idx="0">
                  <c:v>Ni en acuerdo, ni en desacuerdo.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'!$DH$59</c:f>
              <c:numCache>
                <c:formatCode>General</c:formatCode>
                <c:ptCount val="1"/>
                <c:pt idx="0">
                  <c:v>36</c:v>
                </c:pt>
              </c:numCache>
            </c:numRef>
          </c:val>
          <c:extLst>
            <c:ext xmlns:c16="http://schemas.microsoft.com/office/drawing/2014/chart" uri="{C3380CC4-5D6E-409C-BE32-E72D297353CC}">
              <c16:uniqueId val="{00000002-FF87-4027-80E6-5E82AC26A657}"/>
            </c:ext>
          </c:extLst>
        </c:ser>
        <c:ser>
          <c:idx val="3"/>
          <c:order val="3"/>
          <c:tx>
            <c:strRef>
              <c:f>'Proceso de autoevaluación 2025 '!$DG$60</c:f>
              <c:strCache>
                <c:ptCount val="1"/>
                <c:pt idx="0">
                  <c:v> En desacuerdo.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'!$DH$60</c:f>
              <c:numCache>
                <c:formatCode>General</c:formatCode>
                <c:ptCount val="1"/>
                <c:pt idx="0">
                  <c:v>4</c:v>
                </c:pt>
              </c:numCache>
            </c:numRef>
          </c:val>
          <c:extLst>
            <c:ext xmlns:c16="http://schemas.microsoft.com/office/drawing/2014/chart" uri="{C3380CC4-5D6E-409C-BE32-E72D297353CC}">
              <c16:uniqueId val="{00000003-FF87-4027-80E6-5E82AC26A657}"/>
            </c:ext>
          </c:extLst>
        </c:ser>
        <c:ser>
          <c:idx val="4"/>
          <c:order val="4"/>
          <c:tx>
            <c:strRef>
              <c:f>'Proceso de autoevaluación 2025 '!$DG$61</c:f>
              <c:strCache>
                <c:ptCount val="1"/>
                <c:pt idx="0">
                  <c:v>Totalmente en desacuerdo.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'!$DH$61</c:f>
              <c:numCache>
                <c:formatCode>General</c:formatCode>
                <c:ptCount val="1"/>
                <c:pt idx="0">
                  <c:v>1</c:v>
                </c:pt>
              </c:numCache>
            </c:numRef>
          </c:val>
          <c:extLst>
            <c:ext xmlns:c16="http://schemas.microsoft.com/office/drawing/2014/chart" uri="{C3380CC4-5D6E-409C-BE32-E72D297353CC}">
              <c16:uniqueId val="{00000004-FF87-4027-80E6-5E82AC26A657}"/>
            </c:ext>
          </c:extLst>
        </c:ser>
        <c:dLbls>
          <c:dLblPos val="outEnd"/>
          <c:showLegendKey val="0"/>
          <c:showVal val="1"/>
          <c:showCatName val="0"/>
          <c:showSerName val="0"/>
          <c:showPercent val="0"/>
          <c:showBubbleSize val="0"/>
        </c:dLbls>
        <c:gapWidth val="219"/>
        <c:overlap val="-27"/>
        <c:axId val="597243056"/>
        <c:axId val="597245216"/>
      </c:barChart>
      <c:catAx>
        <c:axId val="59724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97245216"/>
        <c:crosses val="autoZero"/>
        <c:auto val="1"/>
        <c:lblAlgn val="ctr"/>
        <c:lblOffset val="100"/>
        <c:noMultiLvlLbl val="0"/>
      </c:catAx>
      <c:valAx>
        <c:axId val="59724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9724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Creo que los procesos administrativos están orientados adecuadamente y son eficaces para apoyar el desarrollo integral de las labores formativas, académicas, docentes, científicas, culturales y de ext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'!$DJ$57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'!$DK$57</c:f>
              <c:numCache>
                <c:formatCode>General</c:formatCode>
                <c:ptCount val="1"/>
                <c:pt idx="0">
                  <c:v>6</c:v>
                </c:pt>
              </c:numCache>
            </c:numRef>
          </c:val>
          <c:extLst>
            <c:ext xmlns:c16="http://schemas.microsoft.com/office/drawing/2014/chart" uri="{C3380CC4-5D6E-409C-BE32-E72D297353CC}">
              <c16:uniqueId val="{00000000-7169-44C3-B4A5-009B2D3C7F0E}"/>
            </c:ext>
          </c:extLst>
        </c:ser>
        <c:ser>
          <c:idx val="1"/>
          <c:order val="1"/>
          <c:tx>
            <c:strRef>
              <c:f>'Proceso de autoevaluación 2025 '!$DJ$58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'!$DK$58</c:f>
              <c:numCache>
                <c:formatCode>General</c:formatCode>
                <c:ptCount val="1"/>
                <c:pt idx="0">
                  <c:v>32</c:v>
                </c:pt>
              </c:numCache>
            </c:numRef>
          </c:val>
          <c:extLst>
            <c:ext xmlns:c16="http://schemas.microsoft.com/office/drawing/2014/chart" uri="{C3380CC4-5D6E-409C-BE32-E72D297353CC}">
              <c16:uniqueId val="{00000001-7169-44C3-B4A5-009B2D3C7F0E}"/>
            </c:ext>
          </c:extLst>
        </c:ser>
        <c:ser>
          <c:idx val="2"/>
          <c:order val="2"/>
          <c:tx>
            <c:strRef>
              <c:f>'Proceso de autoevaluación 2025 '!$DJ$59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'!$DK$59</c:f>
              <c:numCache>
                <c:formatCode>General</c:formatCode>
                <c:ptCount val="1"/>
                <c:pt idx="0">
                  <c:v>11</c:v>
                </c:pt>
              </c:numCache>
            </c:numRef>
          </c:val>
          <c:extLst>
            <c:ext xmlns:c16="http://schemas.microsoft.com/office/drawing/2014/chart" uri="{C3380CC4-5D6E-409C-BE32-E72D297353CC}">
              <c16:uniqueId val="{00000002-7169-44C3-B4A5-009B2D3C7F0E}"/>
            </c:ext>
          </c:extLst>
        </c:ser>
        <c:ser>
          <c:idx val="3"/>
          <c:order val="3"/>
          <c:tx>
            <c:strRef>
              <c:f>'Proceso de autoevaluación 2025 '!$DJ$60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'!$DK$60</c:f>
              <c:numCache>
                <c:formatCode>General</c:formatCode>
                <c:ptCount val="1"/>
                <c:pt idx="0">
                  <c:v>3</c:v>
                </c:pt>
              </c:numCache>
            </c:numRef>
          </c:val>
          <c:extLst>
            <c:ext xmlns:c16="http://schemas.microsoft.com/office/drawing/2014/chart" uri="{C3380CC4-5D6E-409C-BE32-E72D297353CC}">
              <c16:uniqueId val="{00000003-7169-44C3-B4A5-009B2D3C7F0E}"/>
            </c:ext>
          </c:extLst>
        </c:ser>
        <c:ser>
          <c:idx val="4"/>
          <c:order val="4"/>
          <c:tx>
            <c:strRef>
              <c:f>'Proceso de autoevaluación 2025 '!$DJ$61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'!$DK$61</c:f>
              <c:numCache>
                <c:formatCode>General</c:formatCode>
                <c:ptCount val="1"/>
                <c:pt idx="0">
                  <c:v>0</c:v>
                </c:pt>
              </c:numCache>
            </c:numRef>
          </c:val>
          <c:extLst>
            <c:ext xmlns:c16="http://schemas.microsoft.com/office/drawing/2014/chart" uri="{C3380CC4-5D6E-409C-BE32-E72D297353CC}">
              <c16:uniqueId val="{00000004-7169-44C3-B4A5-009B2D3C7F0E}"/>
            </c:ext>
          </c:extLst>
        </c:ser>
        <c:dLbls>
          <c:dLblPos val="outEnd"/>
          <c:showLegendKey val="0"/>
          <c:showVal val="1"/>
          <c:showCatName val="0"/>
          <c:showSerName val="0"/>
          <c:showPercent val="0"/>
          <c:showBubbleSize val="0"/>
        </c:dLbls>
        <c:gapWidth val="100"/>
        <c:overlap val="-24"/>
        <c:axId val="636230112"/>
        <c:axId val="636226872"/>
      </c:barChart>
      <c:catAx>
        <c:axId val="636230112"/>
        <c:scaling>
          <c:orientation val="minMax"/>
        </c:scaling>
        <c:delete val="1"/>
        <c:axPos val="b"/>
        <c:numFmt formatCode="General" sourceLinked="1"/>
        <c:majorTickMark val="none"/>
        <c:minorTickMark val="none"/>
        <c:tickLblPos val="nextTo"/>
        <c:crossAx val="636226872"/>
        <c:crosses val="autoZero"/>
        <c:auto val="1"/>
        <c:lblAlgn val="ctr"/>
        <c:lblOffset val="100"/>
        <c:noMultiLvlLbl val="0"/>
      </c:catAx>
      <c:valAx>
        <c:axId val="636226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6230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los recursos humanos (profesores, personal administrativo, etc.) disponibles en la Maestría en Ciencias de la Información y las Comunicaciones son suficientes y adecuados para atender el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'!$DM$57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'!$DN$57</c:f>
              <c:numCache>
                <c:formatCode>General</c:formatCode>
                <c:ptCount val="1"/>
                <c:pt idx="0">
                  <c:v>12</c:v>
                </c:pt>
              </c:numCache>
            </c:numRef>
          </c:val>
          <c:extLst>
            <c:ext xmlns:c16="http://schemas.microsoft.com/office/drawing/2014/chart" uri="{C3380CC4-5D6E-409C-BE32-E72D297353CC}">
              <c16:uniqueId val="{00000000-7D23-4DA6-872E-D403CEB9A06D}"/>
            </c:ext>
          </c:extLst>
        </c:ser>
        <c:ser>
          <c:idx val="1"/>
          <c:order val="1"/>
          <c:tx>
            <c:strRef>
              <c:f>'Proceso de autoevaluación 2025 '!$DM$58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'!$DN$58</c:f>
              <c:numCache>
                <c:formatCode>General</c:formatCode>
                <c:ptCount val="1"/>
                <c:pt idx="0">
                  <c:v>28</c:v>
                </c:pt>
              </c:numCache>
            </c:numRef>
          </c:val>
          <c:extLst>
            <c:ext xmlns:c16="http://schemas.microsoft.com/office/drawing/2014/chart" uri="{C3380CC4-5D6E-409C-BE32-E72D297353CC}">
              <c16:uniqueId val="{00000001-7D23-4DA6-872E-D403CEB9A06D}"/>
            </c:ext>
          </c:extLst>
        </c:ser>
        <c:ser>
          <c:idx val="2"/>
          <c:order val="2"/>
          <c:tx>
            <c:strRef>
              <c:f>'Proceso de autoevaluación 2025 '!$DM$59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'!$DN$59</c:f>
              <c:numCache>
                <c:formatCode>General</c:formatCode>
                <c:ptCount val="1"/>
                <c:pt idx="0">
                  <c:v>5</c:v>
                </c:pt>
              </c:numCache>
            </c:numRef>
          </c:val>
          <c:extLst>
            <c:ext xmlns:c16="http://schemas.microsoft.com/office/drawing/2014/chart" uri="{C3380CC4-5D6E-409C-BE32-E72D297353CC}">
              <c16:uniqueId val="{00000002-7D23-4DA6-872E-D403CEB9A06D}"/>
            </c:ext>
          </c:extLst>
        </c:ser>
        <c:ser>
          <c:idx val="3"/>
          <c:order val="3"/>
          <c:tx>
            <c:strRef>
              <c:f>'Proceso de autoevaluación 2025 '!$DM$60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'!$DN$60</c:f>
              <c:numCache>
                <c:formatCode>General</c:formatCode>
                <c:ptCount val="1"/>
                <c:pt idx="0">
                  <c:v>7</c:v>
                </c:pt>
              </c:numCache>
            </c:numRef>
          </c:val>
          <c:extLst>
            <c:ext xmlns:c16="http://schemas.microsoft.com/office/drawing/2014/chart" uri="{C3380CC4-5D6E-409C-BE32-E72D297353CC}">
              <c16:uniqueId val="{00000003-7D23-4DA6-872E-D403CEB9A06D}"/>
            </c:ext>
          </c:extLst>
        </c:ser>
        <c:ser>
          <c:idx val="4"/>
          <c:order val="4"/>
          <c:tx>
            <c:strRef>
              <c:f>'Proceso de autoevaluación 2025 '!$DM$61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'!$DN$61</c:f>
              <c:numCache>
                <c:formatCode>General</c:formatCode>
                <c:ptCount val="1"/>
                <c:pt idx="0">
                  <c:v>0</c:v>
                </c:pt>
              </c:numCache>
            </c:numRef>
          </c:val>
          <c:extLst>
            <c:ext xmlns:c16="http://schemas.microsoft.com/office/drawing/2014/chart" uri="{C3380CC4-5D6E-409C-BE32-E72D297353CC}">
              <c16:uniqueId val="{00000004-7D23-4DA6-872E-D403CEB9A06D}"/>
            </c:ext>
          </c:extLst>
        </c:ser>
        <c:dLbls>
          <c:dLblPos val="outEnd"/>
          <c:showLegendKey val="0"/>
          <c:showVal val="1"/>
          <c:showCatName val="0"/>
          <c:showSerName val="0"/>
          <c:showPercent val="0"/>
          <c:showBubbleSize val="0"/>
        </c:dLbls>
        <c:gapWidth val="100"/>
        <c:overlap val="-24"/>
        <c:axId val="636242712"/>
        <c:axId val="636246312"/>
      </c:barChart>
      <c:catAx>
        <c:axId val="636242712"/>
        <c:scaling>
          <c:orientation val="minMax"/>
        </c:scaling>
        <c:delete val="1"/>
        <c:axPos val="b"/>
        <c:numFmt formatCode="General" sourceLinked="1"/>
        <c:majorTickMark val="none"/>
        <c:minorTickMark val="none"/>
        <c:tickLblPos val="nextTo"/>
        <c:crossAx val="636246312"/>
        <c:crosses val="autoZero"/>
        <c:auto val="1"/>
        <c:lblAlgn val="ctr"/>
        <c:lblOffset val="100"/>
        <c:noMultiLvlLbl val="0"/>
      </c:catAx>
      <c:valAx>
        <c:axId val="636246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6242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los recursos informáticos disponibles, corresponden adecuadamente con las</a:t>
            </a:r>
            <a:br>
              <a:rPr lang="es-CO"/>
            </a:br>
            <a:r>
              <a:rPr lang="es-CO"/>
              <a:t>necesidades tecnológicas de la Maestría en Ciencias de la Información y las Comunicaciones y de sus miembros (pr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'!$DP$57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'!$DQ$57</c:f>
              <c:numCache>
                <c:formatCode>General</c:formatCode>
                <c:ptCount val="1"/>
                <c:pt idx="0">
                  <c:v>13</c:v>
                </c:pt>
              </c:numCache>
            </c:numRef>
          </c:val>
          <c:extLst>
            <c:ext xmlns:c16="http://schemas.microsoft.com/office/drawing/2014/chart" uri="{C3380CC4-5D6E-409C-BE32-E72D297353CC}">
              <c16:uniqueId val="{00000000-5BBF-40E4-BEDE-379ED65B8B1B}"/>
            </c:ext>
          </c:extLst>
        </c:ser>
        <c:ser>
          <c:idx val="1"/>
          <c:order val="1"/>
          <c:tx>
            <c:strRef>
              <c:f>'Proceso de autoevaluación 2025 '!$DP$58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'!$DQ$58</c:f>
              <c:numCache>
                <c:formatCode>General</c:formatCode>
                <c:ptCount val="1"/>
                <c:pt idx="0">
                  <c:v>27</c:v>
                </c:pt>
              </c:numCache>
            </c:numRef>
          </c:val>
          <c:extLst>
            <c:ext xmlns:c16="http://schemas.microsoft.com/office/drawing/2014/chart" uri="{C3380CC4-5D6E-409C-BE32-E72D297353CC}">
              <c16:uniqueId val="{00000001-5BBF-40E4-BEDE-379ED65B8B1B}"/>
            </c:ext>
          </c:extLst>
        </c:ser>
        <c:ser>
          <c:idx val="2"/>
          <c:order val="2"/>
          <c:tx>
            <c:strRef>
              <c:f>'Proceso de autoevaluación 2025 '!$DP$59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'!$DQ$59</c:f>
              <c:numCache>
                <c:formatCode>General</c:formatCode>
                <c:ptCount val="1"/>
                <c:pt idx="0">
                  <c:v>9</c:v>
                </c:pt>
              </c:numCache>
            </c:numRef>
          </c:val>
          <c:extLst>
            <c:ext xmlns:c16="http://schemas.microsoft.com/office/drawing/2014/chart" uri="{C3380CC4-5D6E-409C-BE32-E72D297353CC}">
              <c16:uniqueId val="{00000002-5BBF-40E4-BEDE-379ED65B8B1B}"/>
            </c:ext>
          </c:extLst>
        </c:ser>
        <c:ser>
          <c:idx val="3"/>
          <c:order val="3"/>
          <c:tx>
            <c:strRef>
              <c:f>'Proceso de autoevaluación 2025 '!$DP$60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'!$DQ$60</c:f>
              <c:numCache>
                <c:formatCode>General</c:formatCode>
                <c:ptCount val="1"/>
                <c:pt idx="0">
                  <c:v>3</c:v>
                </c:pt>
              </c:numCache>
            </c:numRef>
          </c:val>
          <c:extLst>
            <c:ext xmlns:c16="http://schemas.microsoft.com/office/drawing/2014/chart" uri="{C3380CC4-5D6E-409C-BE32-E72D297353CC}">
              <c16:uniqueId val="{00000003-5BBF-40E4-BEDE-379ED65B8B1B}"/>
            </c:ext>
          </c:extLst>
        </c:ser>
        <c:ser>
          <c:idx val="4"/>
          <c:order val="4"/>
          <c:tx>
            <c:strRef>
              <c:f>'Proceso de autoevaluación 2025 '!$DP$61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'!$DQ$61</c:f>
              <c:numCache>
                <c:formatCode>General</c:formatCode>
                <c:ptCount val="1"/>
                <c:pt idx="0">
                  <c:v>0</c:v>
                </c:pt>
              </c:numCache>
            </c:numRef>
          </c:val>
          <c:extLst>
            <c:ext xmlns:c16="http://schemas.microsoft.com/office/drawing/2014/chart" uri="{C3380CC4-5D6E-409C-BE32-E72D297353CC}">
              <c16:uniqueId val="{00000004-5BBF-40E4-BEDE-379ED65B8B1B}"/>
            </c:ext>
          </c:extLst>
        </c:ser>
        <c:dLbls>
          <c:dLblPos val="outEnd"/>
          <c:showLegendKey val="0"/>
          <c:showVal val="1"/>
          <c:showCatName val="0"/>
          <c:showSerName val="0"/>
          <c:showPercent val="0"/>
          <c:showBubbleSize val="0"/>
        </c:dLbls>
        <c:gapWidth val="100"/>
        <c:overlap val="-24"/>
        <c:axId val="621978152"/>
        <c:axId val="621978512"/>
      </c:barChart>
      <c:catAx>
        <c:axId val="621978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21978512"/>
        <c:crosses val="autoZero"/>
        <c:auto val="1"/>
        <c:lblAlgn val="ctr"/>
        <c:lblOffset val="100"/>
        <c:noMultiLvlLbl val="0"/>
      </c:catAx>
      <c:valAx>
        <c:axId val="62197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21978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¿En qué sector se desempeña su trabajo actual?</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bar"/>
        <c:grouping val="clustered"/>
        <c:varyColors val="0"/>
        <c:ser>
          <c:idx val="0"/>
          <c:order val="0"/>
          <c:tx>
            <c:strRef>
              <c:f>'Proceso de autoevaluación 2025 '!$DS$57</c:f>
              <c:strCache>
                <c:ptCount val="1"/>
                <c:pt idx="0">
                  <c:v>Sector primario (agricultura, ganadería, pesca, minería)</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'!$DT$57</c:f>
              <c:numCache>
                <c:formatCode>General</c:formatCode>
                <c:ptCount val="1"/>
                <c:pt idx="0">
                  <c:v>1</c:v>
                </c:pt>
              </c:numCache>
            </c:numRef>
          </c:val>
          <c:extLst>
            <c:ext xmlns:c16="http://schemas.microsoft.com/office/drawing/2014/chart" uri="{C3380CC4-5D6E-409C-BE32-E72D297353CC}">
              <c16:uniqueId val="{00000000-25DE-4394-B2F2-8F91BC9DC02A}"/>
            </c:ext>
          </c:extLst>
        </c:ser>
        <c:ser>
          <c:idx val="1"/>
          <c:order val="1"/>
          <c:tx>
            <c:strRef>
              <c:f>'Proceso de autoevaluación 2025 '!$DS$58</c:f>
              <c:strCache>
                <c:ptCount val="1"/>
                <c:pt idx="0">
                  <c:v>Sector público (administración pública, gobierno)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'!$DT$58</c:f>
              <c:numCache>
                <c:formatCode>General</c:formatCode>
                <c:ptCount val="1"/>
                <c:pt idx="0">
                  <c:v>10</c:v>
                </c:pt>
              </c:numCache>
            </c:numRef>
          </c:val>
          <c:extLst>
            <c:ext xmlns:c16="http://schemas.microsoft.com/office/drawing/2014/chart" uri="{C3380CC4-5D6E-409C-BE32-E72D297353CC}">
              <c16:uniqueId val="{00000001-25DE-4394-B2F2-8F91BC9DC02A}"/>
            </c:ext>
          </c:extLst>
        </c:ser>
        <c:ser>
          <c:idx val="2"/>
          <c:order val="2"/>
          <c:tx>
            <c:strRef>
              <c:f>'Proceso de autoevaluación 2025 '!$DS$59</c:f>
              <c:strCache>
                <c:ptCount val="1"/>
                <c:pt idx="0">
                  <c:v>Sector secundario (industria manufacturera, construcción, energía)</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'!$DT$59</c:f>
              <c:numCache>
                <c:formatCode>General</c:formatCode>
                <c:ptCount val="1"/>
                <c:pt idx="0">
                  <c:v>3</c:v>
                </c:pt>
              </c:numCache>
            </c:numRef>
          </c:val>
          <c:extLst>
            <c:ext xmlns:c16="http://schemas.microsoft.com/office/drawing/2014/chart" uri="{C3380CC4-5D6E-409C-BE32-E72D297353CC}">
              <c16:uniqueId val="{00000002-25DE-4394-B2F2-8F91BC9DC02A}"/>
            </c:ext>
          </c:extLst>
        </c:ser>
        <c:ser>
          <c:idx val="3"/>
          <c:order val="3"/>
          <c:tx>
            <c:strRef>
              <c:f>'Proceso de autoevaluación 2025 '!$DS$60</c:f>
              <c:strCache>
                <c:ptCount val="1"/>
                <c:pt idx="0">
                  <c:v>Sector terciario (comercio, servicios: educación, salud, finanzas, etc.)</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'!$DT$60</c:f>
              <c:numCache>
                <c:formatCode>General</c:formatCode>
                <c:ptCount val="1"/>
                <c:pt idx="0">
                  <c:v>10</c:v>
                </c:pt>
              </c:numCache>
            </c:numRef>
          </c:val>
          <c:extLst>
            <c:ext xmlns:c16="http://schemas.microsoft.com/office/drawing/2014/chart" uri="{C3380CC4-5D6E-409C-BE32-E72D297353CC}">
              <c16:uniqueId val="{00000003-25DE-4394-B2F2-8F91BC9DC02A}"/>
            </c:ext>
          </c:extLst>
        </c:ser>
        <c:ser>
          <c:idx val="4"/>
          <c:order val="4"/>
          <c:tx>
            <c:strRef>
              <c:f>'Proceso de autoevaluación 2025 '!$DS$61</c:f>
              <c:strCache>
                <c:ptCount val="1"/>
                <c:pt idx="0">
                  <c:v>Tecnología (desarrollo de software, IA, ciberseguridad, telecomunicaciones)</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'!$DT$61</c:f>
              <c:numCache>
                <c:formatCode>General</c:formatCode>
                <c:ptCount val="1"/>
                <c:pt idx="0">
                  <c:v>25</c:v>
                </c:pt>
              </c:numCache>
            </c:numRef>
          </c:val>
          <c:extLst>
            <c:ext xmlns:c16="http://schemas.microsoft.com/office/drawing/2014/chart" uri="{C3380CC4-5D6E-409C-BE32-E72D297353CC}">
              <c16:uniqueId val="{00000004-25DE-4394-B2F2-8F91BC9DC02A}"/>
            </c:ext>
          </c:extLst>
        </c:ser>
        <c:ser>
          <c:idx val="5"/>
          <c:order val="5"/>
          <c:tx>
            <c:strRef>
              <c:f>'Proceso de autoevaluación 2025 '!$DS$62</c:f>
              <c:strCache>
                <c:ptCount val="1"/>
                <c:pt idx="0">
                  <c:v>Otro</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'!$DT$62</c:f>
              <c:numCache>
                <c:formatCode>General</c:formatCode>
                <c:ptCount val="1"/>
                <c:pt idx="0">
                  <c:v>3</c:v>
                </c:pt>
              </c:numCache>
            </c:numRef>
          </c:val>
          <c:extLst>
            <c:ext xmlns:c16="http://schemas.microsoft.com/office/drawing/2014/chart" uri="{C3380CC4-5D6E-409C-BE32-E72D297353CC}">
              <c16:uniqueId val="{00000005-25DE-4394-B2F2-8F91BC9DC02A}"/>
            </c:ext>
          </c:extLst>
        </c:ser>
        <c:dLbls>
          <c:dLblPos val="outEnd"/>
          <c:showLegendKey val="0"/>
          <c:showVal val="1"/>
          <c:showCatName val="0"/>
          <c:showSerName val="0"/>
          <c:showPercent val="0"/>
          <c:showBubbleSize val="0"/>
        </c:dLbls>
        <c:gapWidth val="100"/>
        <c:axId val="568164000"/>
        <c:axId val="568165080"/>
      </c:barChart>
      <c:catAx>
        <c:axId val="568164000"/>
        <c:scaling>
          <c:orientation val="minMax"/>
        </c:scaling>
        <c:delete val="1"/>
        <c:axPos val="l"/>
        <c:numFmt formatCode="General" sourceLinked="1"/>
        <c:majorTickMark val="none"/>
        <c:minorTickMark val="none"/>
        <c:tickLblPos val="nextTo"/>
        <c:crossAx val="568165080"/>
        <c:crosses val="autoZero"/>
        <c:auto val="1"/>
        <c:lblAlgn val="ctr"/>
        <c:lblOffset val="100"/>
        <c:noMultiLvlLbl val="0"/>
      </c:catAx>
      <c:valAx>
        <c:axId val="568165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in"/>
        <c:minorTickMark val="out"/>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68164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¿El trabajo que realiza actualmente se relaciona directamente con los conocimientos adquiridos en la maestría?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'!$DV$57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'!$DW$57</c:f>
              <c:numCache>
                <c:formatCode>General</c:formatCode>
                <c:ptCount val="1"/>
                <c:pt idx="0">
                  <c:v>22</c:v>
                </c:pt>
              </c:numCache>
            </c:numRef>
          </c:val>
          <c:extLst>
            <c:ext xmlns:c16="http://schemas.microsoft.com/office/drawing/2014/chart" uri="{C3380CC4-5D6E-409C-BE32-E72D297353CC}">
              <c16:uniqueId val="{00000000-7341-4F26-BAB7-BF464F855992}"/>
            </c:ext>
          </c:extLst>
        </c:ser>
        <c:ser>
          <c:idx val="1"/>
          <c:order val="1"/>
          <c:tx>
            <c:strRef>
              <c:f>'Proceso de autoevaluación 2025 '!$DV$58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'!$DW$58</c:f>
              <c:numCache>
                <c:formatCode>General</c:formatCode>
                <c:ptCount val="1"/>
                <c:pt idx="0">
                  <c:v>20</c:v>
                </c:pt>
              </c:numCache>
            </c:numRef>
          </c:val>
          <c:extLst>
            <c:ext xmlns:c16="http://schemas.microsoft.com/office/drawing/2014/chart" uri="{C3380CC4-5D6E-409C-BE32-E72D297353CC}">
              <c16:uniqueId val="{00000001-7341-4F26-BAB7-BF464F855992}"/>
            </c:ext>
          </c:extLst>
        </c:ser>
        <c:ser>
          <c:idx val="2"/>
          <c:order val="2"/>
          <c:tx>
            <c:strRef>
              <c:f>'Proceso de autoevaluación 2025 '!$DV$59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'!$DW$59</c:f>
              <c:numCache>
                <c:formatCode>General</c:formatCode>
                <c:ptCount val="1"/>
                <c:pt idx="0">
                  <c:v>7</c:v>
                </c:pt>
              </c:numCache>
            </c:numRef>
          </c:val>
          <c:extLst>
            <c:ext xmlns:c16="http://schemas.microsoft.com/office/drawing/2014/chart" uri="{C3380CC4-5D6E-409C-BE32-E72D297353CC}">
              <c16:uniqueId val="{00000002-7341-4F26-BAB7-BF464F855992}"/>
            </c:ext>
          </c:extLst>
        </c:ser>
        <c:ser>
          <c:idx val="3"/>
          <c:order val="3"/>
          <c:tx>
            <c:strRef>
              <c:f>'Proceso de autoevaluación 2025 '!$DV$60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'!$DW$60</c:f>
              <c:numCache>
                <c:formatCode>General</c:formatCode>
                <c:ptCount val="1"/>
                <c:pt idx="0">
                  <c:v>3</c:v>
                </c:pt>
              </c:numCache>
            </c:numRef>
          </c:val>
          <c:extLst>
            <c:ext xmlns:c16="http://schemas.microsoft.com/office/drawing/2014/chart" uri="{C3380CC4-5D6E-409C-BE32-E72D297353CC}">
              <c16:uniqueId val="{00000003-7341-4F26-BAB7-BF464F855992}"/>
            </c:ext>
          </c:extLst>
        </c:ser>
        <c:ser>
          <c:idx val="4"/>
          <c:order val="4"/>
          <c:tx>
            <c:strRef>
              <c:f>'Proceso de autoevaluación 2025 '!$DV$61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'!$DW$61</c:f>
              <c:numCache>
                <c:formatCode>General</c:formatCode>
                <c:ptCount val="1"/>
                <c:pt idx="0">
                  <c:v>0</c:v>
                </c:pt>
              </c:numCache>
            </c:numRef>
          </c:val>
          <c:extLst>
            <c:ext xmlns:c16="http://schemas.microsoft.com/office/drawing/2014/chart" uri="{C3380CC4-5D6E-409C-BE32-E72D297353CC}">
              <c16:uniqueId val="{00000004-7341-4F26-BAB7-BF464F855992}"/>
            </c:ext>
          </c:extLst>
        </c:ser>
        <c:dLbls>
          <c:dLblPos val="outEnd"/>
          <c:showLegendKey val="0"/>
          <c:showVal val="1"/>
          <c:showCatName val="0"/>
          <c:showSerName val="0"/>
          <c:showPercent val="0"/>
          <c:showBubbleSize val="0"/>
        </c:dLbls>
        <c:gapWidth val="100"/>
        <c:overlap val="-24"/>
        <c:axId val="687012992"/>
        <c:axId val="687011192"/>
      </c:barChart>
      <c:catAx>
        <c:axId val="687012992"/>
        <c:scaling>
          <c:orientation val="minMax"/>
        </c:scaling>
        <c:delete val="1"/>
        <c:axPos val="b"/>
        <c:numFmt formatCode="General" sourceLinked="1"/>
        <c:majorTickMark val="none"/>
        <c:minorTickMark val="none"/>
        <c:tickLblPos val="nextTo"/>
        <c:crossAx val="687011192"/>
        <c:crosses val="autoZero"/>
        <c:auto val="1"/>
        <c:lblAlgn val="ctr"/>
        <c:lblOffset val="100"/>
        <c:noMultiLvlLbl val="0"/>
      </c:catAx>
      <c:valAx>
        <c:axId val="687011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8701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¿Siente que la maestría te ha abierto nuevas oportunidades laborales?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'!$DY$57</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'!$DZ$57</c:f>
              <c:numCache>
                <c:formatCode>General</c:formatCode>
                <c:ptCount val="1"/>
                <c:pt idx="0">
                  <c:v>10</c:v>
                </c:pt>
              </c:numCache>
            </c:numRef>
          </c:val>
          <c:extLst>
            <c:ext xmlns:c16="http://schemas.microsoft.com/office/drawing/2014/chart" uri="{C3380CC4-5D6E-409C-BE32-E72D297353CC}">
              <c16:uniqueId val="{00000000-C4EC-4A89-B6A4-B0CCE87CE70F}"/>
            </c:ext>
          </c:extLst>
        </c:ser>
        <c:ser>
          <c:idx val="1"/>
          <c:order val="1"/>
          <c:tx>
            <c:strRef>
              <c:f>'Proceso de autoevaluación 2025 '!$DY$58</c:f>
              <c:strCache>
                <c:ptCount val="1"/>
                <c:pt idx="0">
                  <c:v> 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'!$DZ$58</c:f>
              <c:numCache>
                <c:formatCode>General</c:formatCode>
                <c:ptCount val="1"/>
                <c:pt idx="0">
                  <c:v>12</c:v>
                </c:pt>
              </c:numCache>
            </c:numRef>
          </c:val>
          <c:extLst>
            <c:ext xmlns:c16="http://schemas.microsoft.com/office/drawing/2014/chart" uri="{C3380CC4-5D6E-409C-BE32-E72D297353CC}">
              <c16:uniqueId val="{00000001-C4EC-4A89-B6A4-B0CCE87CE70F}"/>
            </c:ext>
          </c:extLst>
        </c:ser>
        <c:ser>
          <c:idx val="2"/>
          <c:order val="2"/>
          <c:tx>
            <c:strRef>
              <c:f>'Proceso de autoevaluación 2025 '!$DY$59</c:f>
              <c:strCache>
                <c:ptCount val="1"/>
                <c:pt idx="0">
                  <c:v>Ni en acuerdo, ni 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'!$DZ$59</c:f>
              <c:numCache>
                <c:formatCode>General</c:formatCode>
                <c:ptCount val="1"/>
                <c:pt idx="0">
                  <c:v>25</c:v>
                </c:pt>
              </c:numCache>
            </c:numRef>
          </c:val>
          <c:extLst>
            <c:ext xmlns:c16="http://schemas.microsoft.com/office/drawing/2014/chart" uri="{C3380CC4-5D6E-409C-BE32-E72D297353CC}">
              <c16:uniqueId val="{00000002-C4EC-4A89-B6A4-B0CCE87CE70F}"/>
            </c:ext>
          </c:extLst>
        </c:ser>
        <c:ser>
          <c:idx val="3"/>
          <c:order val="3"/>
          <c:tx>
            <c:strRef>
              <c:f>'Proceso de autoevaluación 2025 '!$DY$60</c:f>
              <c:strCache>
                <c:ptCount val="1"/>
                <c:pt idx="0">
                  <c:v>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'!$DZ$60</c:f>
              <c:numCache>
                <c:formatCode>General</c:formatCode>
                <c:ptCount val="1"/>
                <c:pt idx="0">
                  <c:v>5</c:v>
                </c:pt>
              </c:numCache>
            </c:numRef>
          </c:val>
          <c:extLst>
            <c:ext xmlns:c16="http://schemas.microsoft.com/office/drawing/2014/chart" uri="{C3380CC4-5D6E-409C-BE32-E72D297353CC}">
              <c16:uniqueId val="{00000003-C4EC-4A89-B6A4-B0CCE87CE70F}"/>
            </c:ext>
          </c:extLst>
        </c:ser>
        <c:ser>
          <c:idx val="4"/>
          <c:order val="4"/>
          <c:tx>
            <c:strRef>
              <c:f>'Proceso de autoevaluación 2025 '!$DY$61</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'!$DZ$61</c:f>
              <c:numCache>
                <c:formatCode>General</c:formatCode>
                <c:ptCount val="1"/>
                <c:pt idx="0">
                  <c:v>0</c:v>
                </c:pt>
              </c:numCache>
            </c:numRef>
          </c:val>
          <c:extLst>
            <c:ext xmlns:c16="http://schemas.microsoft.com/office/drawing/2014/chart" uri="{C3380CC4-5D6E-409C-BE32-E72D297353CC}">
              <c16:uniqueId val="{00000004-C4EC-4A89-B6A4-B0CCE87CE70F}"/>
            </c:ext>
          </c:extLst>
        </c:ser>
        <c:dLbls>
          <c:dLblPos val="outEnd"/>
          <c:showLegendKey val="0"/>
          <c:showVal val="1"/>
          <c:showCatName val="0"/>
          <c:showSerName val="0"/>
          <c:showPercent val="0"/>
          <c:showBubbleSize val="0"/>
        </c:dLbls>
        <c:gapWidth val="100"/>
        <c:overlap val="-24"/>
        <c:axId val="686999312"/>
        <c:axId val="686997872"/>
      </c:barChart>
      <c:catAx>
        <c:axId val="686999312"/>
        <c:scaling>
          <c:orientation val="minMax"/>
        </c:scaling>
        <c:delete val="1"/>
        <c:axPos val="b"/>
        <c:numFmt formatCode="General" sourceLinked="1"/>
        <c:majorTickMark val="none"/>
        <c:minorTickMark val="none"/>
        <c:tickLblPos val="nextTo"/>
        <c:crossAx val="686997872"/>
        <c:crosses val="autoZero"/>
        <c:auto val="1"/>
        <c:lblAlgn val="ctr"/>
        <c:lblOffset val="100"/>
        <c:noMultiLvlLbl val="0"/>
      </c:catAx>
      <c:valAx>
        <c:axId val="68699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8699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 qué Modalidad o Metodología se encuentra inscrito?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65-42DD-AE7C-7E5E6AE382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65-42DD-AE7C-7E5E6AE382C0}"/>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'Proceso de autoevaluación 2025 '!$AA$58:$AA$59</c:f>
              <c:strCache>
                <c:ptCount val="2"/>
                <c:pt idx="0">
                  <c:v>Investigación</c:v>
                </c:pt>
                <c:pt idx="1">
                  <c:v>Profundización</c:v>
                </c:pt>
              </c:strCache>
            </c:strRef>
          </c:cat>
          <c:val>
            <c:numRef>
              <c:f>'Proceso de autoevaluación 2025 '!$AB$58:$AB$59</c:f>
              <c:numCache>
                <c:formatCode>General</c:formatCode>
                <c:ptCount val="2"/>
                <c:pt idx="0">
                  <c:v>24</c:v>
                </c:pt>
                <c:pt idx="1">
                  <c:v>28</c:v>
                </c:pt>
              </c:numCache>
            </c:numRef>
          </c:val>
          <c:extLst>
            <c:ext xmlns:c16="http://schemas.microsoft.com/office/drawing/2014/chart" uri="{C3380CC4-5D6E-409C-BE32-E72D297353CC}">
              <c16:uniqueId val="{00000001-0A54-4CB9-97F8-639670A0412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0</xdr:col>
      <xdr:colOff>419100</xdr:colOff>
      <xdr:row>64</xdr:row>
      <xdr:rowOff>80962</xdr:rowOff>
    </xdr:from>
    <xdr:to>
      <xdr:col>6</xdr:col>
      <xdr:colOff>419100</xdr:colOff>
      <xdr:row>78</xdr:row>
      <xdr:rowOff>157162</xdr:rowOff>
    </xdr:to>
    <xdr:graphicFrame macro="">
      <xdr:nvGraphicFramePr>
        <xdr:cNvPr id="3" name="Gráfico 2">
          <a:extLst>
            <a:ext uri="{FF2B5EF4-FFF2-40B4-BE49-F238E27FC236}">
              <a16:creationId xmlns:a16="http://schemas.microsoft.com/office/drawing/2014/main" id="{23E16EAF-EFE0-88E6-AF88-8FE1ABE51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619125</xdr:colOff>
      <xdr:row>64</xdr:row>
      <xdr:rowOff>166687</xdr:rowOff>
    </xdr:from>
    <xdr:to>
      <xdr:col>19</xdr:col>
      <xdr:colOff>619125</xdr:colOff>
      <xdr:row>79</xdr:row>
      <xdr:rowOff>52387</xdr:rowOff>
    </xdr:to>
    <xdr:graphicFrame macro="">
      <xdr:nvGraphicFramePr>
        <xdr:cNvPr id="5" name="Gráfico 4">
          <a:extLst>
            <a:ext uri="{FF2B5EF4-FFF2-40B4-BE49-F238E27FC236}">
              <a16:creationId xmlns:a16="http://schemas.microsoft.com/office/drawing/2014/main" id="{4CA0CA6F-4821-765E-E014-60DED30AA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500062</xdr:colOff>
      <xdr:row>63</xdr:row>
      <xdr:rowOff>52387</xdr:rowOff>
    </xdr:from>
    <xdr:to>
      <xdr:col>28</xdr:col>
      <xdr:colOff>500062</xdr:colOff>
      <xdr:row>77</xdr:row>
      <xdr:rowOff>128587</xdr:rowOff>
    </xdr:to>
    <xdr:graphicFrame macro="">
      <xdr:nvGraphicFramePr>
        <xdr:cNvPr id="6" name="Gráfico 5">
          <a:extLst>
            <a:ext uri="{FF2B5EF4-FFF2-40B4-BE49-F238E27FC236}">
              <a16:creationId xmlns:a16="http://schemas.microsoft.com/office/drawing/2014/main" id="{EAB8D089-FEF5-3B74-66A5-45F1AE824D28}"/>
            </a:ext>
            <a:ext uri="{147F2762-F138-4A5C-976F-8EAC2B608ADB}">
              <a16:predDERef xmlns:a16="http://schemas.microsoft.com/office/drawing/2014/main" pred="{4CA0CA6F-4821-765E-E014-60DED30AA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481012</xdr:colOff>
      <xdr:row>63</xdr:row>
      <xdr:rowOff>100012</xdr:rowOff>
    </xdr:from>
    <xdr:to>
      <xdr:col>36</xdr:col>
      <xdr:colOff>481012</xdr:colOff>
      <xdr:row>77</xdr:row>
      <xdr:rowOff>176212</xdr:rowOff>
    </xdr:to>
    <xdr:graphicFrame macro="">
      <xdr:nvGraphicFramePr>
        <xdr:cNvPr id="8" name="Gráfico 7">
          <a:extLst>
            <a:ext uri="{FF2B5EF4-FFF2-40B4-BE49-F238E27FC236}">
              <a16:creationId xmlns:a16="http://schemas.microsoft.com/office/drawing/2014/main" id="{DFE3DBAA-2697-2ABB-DF02-F0BC5273CBCA}"/>
            </a:ext>
            <a:ext uri="{147F2762-F138-4A5C-976F-8EAC2B608ADB}">
              <a16:predDERef xmlns:a16="http://schemas.microsoft.com/office/drawing/2014/main" pred="{EAB8D089-FEF5-3B74-66A5-45F1AE824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433387</xdr:colOff>
      <xdr:row>79</xdr:row>
      <xdr:rowOff>147637</xdr:rowOff>
    </xdr:from>
    <xdr:to>
      <xdr:col>36</xdr:col>
      <xdr:colOff>433387</xdr:colOff>
      <xdr:row>94</xdr:row>
      <xdr:rowOff>33337</xdr:rowOff>
    </xdr:to>
    <xdr:graphicFrame macro="">
      <xdr:nvGraphicFramePr>
        <xdr:cNvPr id="9" name="Gráfico 8">
          <a:extLst>
            <a:ext uri="{FF2B5EF4-FFF2-40B4-BE49-F238E27FC236}">
              <a16:creationId xmlns:a16="http://schemas.microsoft.com/office/drawing/2014/main" id="{B98D30DC-3D2F-7DD6-AE52-D351F05DBAB8}"/>
            </a:ext>
            <a:ext uri="{147F2762-F138-4A5C-976F-8EAC2B608ADB}">
              <a16:predDERef xmlns:a16="http://schemas.microsoft.com/office/drawing/2014/main" pred="{DFE3DBAA-2697-2ABB-DF02-F0BC5273C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614362</xdr:colOff>
      <xdr:row>64</xdr:row>
      <xdr:rowOff>90487</xdr:rowOff>
    </xdr:from>
    <xdr:to>
      <xdr:col>44</xdr:col>
      <xdr:colOff>614362</xdr:colOff>
      <xdr:row>78</xdr:row>
      <xdr:rowOff>166687</xdr:rowOff>
    </xdr:to>
    <xdr:graphicFrame macro="">
      <xdr:nvGraphicFramePr>
        <xdr:cNvPr id="10" name="Gráfico 9">
          <a:extLst>
            <a:ext uri="{FF2B5EF4-FFF2-40B4-BE49-F238E27FC236}">
              <a16:creationId xmlns:a16="http://schemas.microsoft.com/office/drawing/2014/main" id="{CC781AE5-1C80-4C11-BA5D-1C6E3B384053}"/>
            </a:ext>
            <a:ext uri="{147F2762-F138-4A5C-976F-8EAC2B608ADB}">
              <a16:predDERef xmlns:a16="http://schemas.microsoft.com/office/drawing/2014/main" pred="{B98D30DC-3D2F-7DD6-AE52-D351F05DB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242887</xdr:colOff>
      <xdr:row>63</xdr:row>
      <xdr:rowOff>23812</xdr:rowOff>
    </xdr:from>
    <xdr:to>
      <xdr:col>53</xdr:col>
      <xdr:colOff>242887</xdr:colOff>
      <xdr:row>77</xdr:row>
      <xdr:rowOff>100012</xdr:rowOff>
    </xdr:to>
    <xdr:graphicFrame macro="">
      <xdr:nvGraphicFramePr>
        <xdr:cNvPr id="11" name="Gráfico 10">
          <a:extLst>
            <a:ext uri="{FF2B5EF4-FFF2-40B4-BE49-F238E27FC236}">
              <a16:creationId xmlns:a16="http://schemas.microsoft.com/office/drawing/2014/main" id="{6F4C489E-1726-AFE9-121E-40AB0649F62D}"/>
            </a:ext>
            <a:ext uri="{147F2762-F138-4A5C-976F-8EAC2B608ADB}">
              <a16:predDERef xmlns:a16="http://schemas.microsoft.com/office/drawing/2014/main" pred="{CC781AE5-1C80-4C11-BA5D-1C6E3B384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357187</xdr:colOff>
      <xdr:row>63</xdr:row>
      <xdr:rowOff>71437</xdr:rowOff>
    </xdr:from>
    <xdr:to>
      <xdr:col>59</xdr:col>
      <xdr:colOff>357187</xdr:colOff>
      <xdr:row>77</xdr:row>
      <xdr:rowOff>147637</xdr:rowOff>
    </xdr:to>
    <xdr:graphicFrame macro="">
      <xdr:nvGraphicFramePr>
        <xdr:cNvPr id="12" name="Gráfico 11">
          <a:extLst>
            <a:ext uri="{FF2B5EF4-FFF2-40B4-BE49-F238E27FC236}">
              <a16:creationId xmlns:a16="http://schemas.microsoft.com/office/drawing/2014/main" id="{A48E5E69-DD38-0109-0C0A-8E4367B7EC62}"/>
            </a:ext>
            <a:ext uri="{147F2762-F138-4A5C-976F-8EAC2B608ADB}">
              <a16:predDERef xmlns:a16="http://schemas.microsoft.com/office/drawing/2014/main" pred="{6F4C489E-1726-AFE9-121E-40AB0649F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59</xdr:col>
      <xdr:colOff>109537</xdr:colOff>
      <xdr:row>78</xdr:row>
      <xdr:rowOff>138112</xdr:rowOff>
    </xdr:from>
    <xdr:to>
      <xdr:col>65</xdr:col>
      <xdr:colOff>109537</xdr:colOff>
      <xdr:row>93</xdr:row>
      <xdr:rowOff>23812</xdr:rowOff>
    </xdr:to>
    <xdr:graphicFrame macro="">
      <xdr:nvGraphicFramePr>
        <xdr:cNvPr id="13" name="Gráfico 12">
          <a:extLst>
            <a:ext uri="{FF2B5EF4-FFF2-40B4-BE49-F238E27FC236}">
              <a16:creationId xmlns:a16="http://schemas.microsoft.com/office/drawing/2014/main" id="{7303211D-697C-DBBE-61D8-2F7B17403E87}"/>
            </a:ext>
            <a:ext uri="{147F2762-F138-4A5C-976F-8EAC2B608ADB}">
              <a16:predDERef xmlns:a16="http://schemas.microsoft.com/office/drawing/2014/main" pred="{A48E5E69-DD38-0109-0C0A-8E4367B7E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14287</xdr:colOff>
      <xdr:row>62</xdr:row>
      <xdr:rowOff>185737</xdr:rowOff>
    </xdr:from>
    <xdr:to>
      <xdr:col>66</xdr:col>
      <xdr:colOff>14287</xdr:colOff>
      <xdr:row>77</xdr:row>
      <xdr:rowOff>71437</xdr:rowOff>
    </xdr:to>
    <xdr:graphicFrame macro="">
      <xdr:nvGraphicFramePr>
        <xdr:cNvPr id="14" name="Gráfico 13">
          <a:extLst>
            <a:ext uri="{FF2B5EF4-FFF2-40B4-BE49-F238E27FC236}">
              <a16:creationId xmlns:a16="http://schemas.microsoft.com/office/drawing/2014/main" id="{FF784118-DCB9-D56C-22AA-9F402D9D0906}"/>
            </a:ext>
            <a:ext uri="{147F2762-F138-4A5C-976F-8EAC2B608ADB}">
              <a16:predDERef xmlns:a16="http://schemas.microsoft.com/office/drawing/2014/main" pred="{7303211D-697C-DBBE-61D8-2F7B17403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66</xdr:col>
      <xdr:colOff>614362</xdr:colOff>
      <xdr:row>64</xdr:row>
      <xdr:rowOff>4762</xdr:rowOff>
    </xdr:from>
    <xdr:to>
      <xdr:col>72</xdr:col>
      <xdr:colOff>614362</xdr:colOff>
      <xdr:row>78</xdr:row>
      <xdr:rowOff>80962</xdr:rowOff>
    </xdr:to>
    <xdr:graphicFrame macro="">
      <xdr:nvGraphicFramePr>
        <xdr:cNvPr id="15" name="Gráfico 14">
          <a:extLst>
            <a:ext uri="{FF2B5EF4-FFF2-40B4-BE49-F238E27FC236}">
              <a16:creationId xmlns:a16="http://schemas.microsoft.com/office/drawing/2014/main" id="{CF2217CF-F832-274A-780B-602FE4ADFD5A}"/>
            </a:ext>
            <a:ext uri="{147F2762-F138-4A5C-976F-8EAC2B608ADB}">
              <a16:predDERef xmlns:a16="http://schemas.microsoft.com/office/drawing/2014/main" pred="{FF784118-DCB9-D56C-22AA-9F402D9D0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72</xdr:col>
      <xdr:colOff>714375</xdr:colOff>
      <xdr:row>64</xdr:row>
      <xdr:rowOff>90487</xdr:rowOff>
    </xdr:from>
    <xdr:to>
      <xdr:col>78</xdr:col>
      <xdr:colOff>714375</xdr:colOff>
      <xdr:row>78</xdr:row>
      <xdr:rowOff>166687</xdr:rowOff>
    </xdr:to>
    <xdr:graphicFrame macro="">
      <xdr:nvGraphicFramePr>
        <xdr:cNvPr id="2" name="Gráfico 1">
          <a:extLst>
            <a:ext uri="{FF2B5EF4-FFF2-40B4-BE49-F238E27FC236}">
              <a16:creationId xmlns:a16="http://schemas.microsoft.com/office/drawing/2014/main" id="{0E60F26F-5FB0-63A8-DA8A-A3DA8F042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72</xdr:col>
      <xdr:colOff>690562</xdr:colOff>
      <xdr:row>79</xdr:row>
      <xdr:rowOff>90487</xdr:rowOff>
    </xdr:from>
    <xdr:to>
      <xdr:col>78</xdr:col>
      <xdr:colOff>690562</xdr:colOff>
      <xdr:row>93</xdr:row>
      <xdr:rowOff>166687</xdr:rowOff>
    </xdr:to>
    <xdr:graphicFrame macro="">
      <xdr:nvGraphicFramePr>
        <xdr:cNvPr id="4" name="Gráfico 3">
          <a:extLst>
            <a:ext uri="{FF2B5EF4-FFF2-40B4-BE49-F238E27FC236}">
              <a16:creationId xmlns:a16="http://schemas.microsoft.com/office/drawing/2014/main" id="{2C7EEED6-6F9B-F4B1-FC23-B22D293BE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79</xdr:col>
      <xdr:colOff>119062</xdr:colOff>
      <xdr:row>63</xdr:row>
      <xdr:rowOff>176212</xdr:rowOff>
    </xdr:from>
    <xdr:to>
      <xdr:col>85</xdr:col>
      <xdr:colOff>119062</xdr:colOff>
      <xdr:row>78</xdr:row>
      <xdr:rowOff>61912</xdr:rowOff>
    </xdr:to>
    <xdr:graphicFrame macro="">
      <xdr:nvGraphicFramePr>
        <xdr:cNvPr id="16" name="Gráfico 15">
          <a:extLst>
            <a:ext uri="{FF2B5EF4-FFF2-40B4-BE49-F238E27FC236}">
              <a16:creationId xmlns:a16="http://schemas.microsoft.com/office/drawing/2014/main" id="{45609135-EE37-9588-B2F6-8877C431F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79</xdr:col>
      <xdr:colOff>252412</xdr:colOff>
      <xdr:row>79</xdr:row>
      <xdr:rowOff>71437</xdr:rowOff>
    </xdr:from>
    <xdr:to>
      <xdr:col>85</xdr:col>
      <xdr:colOff>252412</xdr:colOff>
      <xdr:row>93</xdr:row>
      <xdr:rowOff>147637</xdr:rowOff>
    </xdr:to>
    <xdr:graphicFrame macro="">
      <xdr:nvGraphicFramePr>
        <xdr:cNvPr id="17" name="Gráfico 16">
          <a:extLst>
            <a:ext uri="{FF2B5EF4-FFF2-40B4-BE49-F238E27FC236}">
              <a16:creationId xmlns:a16="http://schemas.microsoft.com/office/drawing/2014/main" id="{AD21355D-1196-98A6-D0DA-0DE80D48B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85</xdr:col>
      <xdr:colOff>385762</xdr:colOff>
      <xdr:row>63</xdr:row>
      <xdr:rowOff>185737</xdr:rowOff>
    </xdr:from>
    <xdr:to>
      <xdr:col>91</xdr:col>
      <xdr:colOff>385762</xdr:colOff>
      <xdr:row>78</xdr:row>
      <xdr:rowOff>71437</xdr:rowOff>
    </xdr:to>
    <xdr:graphicFrame macro="">
      <xdr:nvGraphicFramePr>
        <xdr:cNvPr id="18" name="Gráfico 17">
          <a:extLst>
            <a:ext uri="{FF2B5EF4-FFF2-40B4-BE49-F238E27FC236}">
              <a16:creationId xmlns:a16="http://schemas.microsoft.com/office/drawing/2014/main" id="{5F452B0A-7B92-A913-77FD-FE37F4AF0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91</xdr:col>
      <xdr:colOff>709612</xdr:colOff>
      <xdr:row>63</xdr:row>
      <xdr:rowOff>185737</xdr:rowOff>
    </xdr:from>
    <xdr:to>
      <xdr:col>97</xdr:col>
      <xdr:colOff>709612</xdr:colOff>
      <xdr:row>78</xdr:row>
      <xdr:rowOff>71437</xdr:rowOff>
    </xdr:to>
    <xdr:graphicFrame macro="">
      <xdr:nvGraphicFramePr>
        <xdr:cNvPr id="19" name="Gráfico 18">
          <a:extLst>
            <a:ext uri="{FF2B5EF4-FFF2-40B4-BE49-F238E27FC236}">
              <a16:creationId xmlns:a16="http://schemas.microsoft.com/office/drawing/2014/main" id="{8672EB8B-0048-69ED-DE94-2A67AD9F1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98</xdr:col>
      <xdr:colOff>33337</xdr:colOff>
      <xdr:row>64</xdr:row>
      <xdr:rowOff>4762</xdr:rowOff>
    </xdr:from>
    <xdr:to>
      <xdr:col>104</xdr:col>
      <xdr:colOff>33337</xdr:colOff>
      <xdr:row>78</xdr:row>
      <xdr:rowOff>80962</xdr:rowOff>
    </xdr:to>
    <xdr:graphicFrame macro="">
      <xdr:nvGraphicFramePr>
        <xdr:cNvPr id="20" name="Gráfico 19">
          <a:extLst>
            <a:ext uri="{FF2B5EF4-FFF2-40B4-BE49-F238E27FC236}">
              <a16:creationId xmlns:a16="http://schemas.microsoft.com/office/drawing/2014/main" id="{D87FC466-DF13-7EDD-7E11-EE4360AE2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98</xdr:col>
      <xdr:colOff>33337</xdr:colOff>
      <xdr:row>79</xdr:row>
      <xdr:rowOff>52387</xdr:rowOff>
    </xdr:from>
    <xdr:to>
      <xdr:col>104</xdr:col>
      <xdr:colOff>33337</xdr:colOff>
      <xdr:row>93</xdr:row>
      <xdr:rowOff>128587</xdr:rowOff>
    </xdr:to>
    <xdr:graphicFrame macro="">
      <xdr:nvGraphicFramePr>
        <xdr:cNvPr id="21" name="Gráfico 20">
          <a:extLst>
            <a:ext uri="{FF2B5EF4-FFF2-40B4-BE49-F238E27FC236}">
              <a16:creationId xmlns:a16="http://schemas.microsoft.com/office/drawing/2014/main" id="{487AAB94-B841-6011-4B68-8C1FBBB02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104</xdr:col>
      <xdr:colOff>80962</xdr:colOff>
      <xdr:row>63</xdr:row>
      <xdr:rowOff>157162</xdr:rowOff>
    </xdr:from>
    <xdr:to>
      <xdr:col>110</xdr:col>
      <xdr:colOff>80962</xdr:colOff>
      <xdr:row>78</xdr:row>
      <xdr:rowOff>42862</xdr:rowOff>
    </xdr:to>
    <xdr:graphicFrame macro="">
      <xdr:nvGraphicFramePr>
        <xdr:cNvPr id="22" name="Gráfico 21">
          <a:extLst>
            <a:ext uri="{FF2B5EF4-FFF2-40B4-BE49-F238E27FC236}">
              <a16:creationId xmlns:a16="http://schemas.microsoft.com/office/drawing/2014/main" id="{6D378B56-AD2F-35AA-A076-676D02DC7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104</xdr:col>
      <xdr:colOff>176212</xdr:colOff>
      <xdr:row>79</xdr:row>
      <xdr:rowOff>42862</xdr:rowOff>
    </xdr:from>
    <xdr:to>
      <xdr:col>110</xdr:col>
      <xdr:colOff>176212</xdr:colOff>
      <xdr:row>93</xdr:row>
      <xdr:rowOff>119062</xdr:rowOff>
    </xdr:to>
    <xdr:graphicFrame macro="">
      <xdr:nvGraphicFramePr>
        <xdr:cNvPr id="23" name="Gráfico 22">
          <a:extLst>
            <a:ext uri="{FF2B5EF4-FFF2-40B4-BE49-F238E27FC236}">
              <a16:creationId xmlns:a16="http://schemas.microsoft.com/office/drawing/2014/main" id="{DA6A3223-B368-335A-FC05-BAE48220A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104</xdr:col>
      <xdr:colOff>80962</xdr:colOff>
      <xdr:row>78</xdr:row>
      <xdr:rowOff>176212</xdr:rowOff>
    </xdr:from>
    <xdr:to>
      <xdr:col>110</xdr:col>
      <xdr:colOff>80962</xdr:colOff>
      <xdr:row>93</xdr:row>
      <xdr:rowOff>61912</xdr:rowOff>
    </xdr:to>
    <xdr:graphicFrame macro="">
      <xdr:nvGraphicFramePr>
        <xdr:cNvPr id="24" name="Gráfico 23">
          <a:extLst>
            <a:ext uri="{FF2B5EF4-FFF2-40B4-BE49-F238E27FC236}">
              <a16:creationId xmlns:a16="http://schemas.microsoft.com/office/drawing/2014/main" id="{D363840F-429C-8FD1-4275-6B3C4CC96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110</xdr:col>
      <xdr:colOff>138112</xdr:colOff>
      <xdr:row>64</xdr:row>
      <xdr:rowOff>14287</xdr:rowOff>
    </xdr:from>
    <xdr:to>
      <xdr:col>116</xdr:col>
      <xdr:colOff>138112</xdr:colOff>
      <xdr:row>78</xdr:row>
      <xdr:rowOff>90487</xdr:rowOff>
    </xdr:to>
    <xdr:graphicFrame macro="">
      <xdr:nvGraphicFramePr>
        <xdr:cNvPr id="25" name="Gráfico 24">
          <a:extLst>
            <a:ext uri="{FF2B5EF4-FFF2-40B4-BE49-F238E27FC236}">
              <a16:creationId xmlns:a16="http://schemas.microsoft.com/office/drawing/2014/main" id="{39EEEC25-1C4A-8169-AB02-A18CB0856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110</xdr:col>
      <xdr:colOff>147637</xdr:colOff>
      <xdr:row>78</xdr:row>
      <xdr:rowOff>166687</xdr:rowOff>
    </xdr:from>
    <xdr:to>
      <xdr:col>116</xdr:col>
      <xdr:colOff>147637</xdr:colOff>
      <xdr:row>93</xdr:row>
      <xdr:rowOff>52387</xdr:rowOff>
    </xdr:to>
    <xdr:graphicFrame macro="">
      <xdr:nvGraphicFramePr>
        <xdr:cNvPr id="26" name="Gráfico 25">
          <a:extLst>
            <a:ext uri="{FF2B5EF4-FFF2-40B4-BE49-F238E27FC236}">
              <a16:creationId xmlns:a16="http://schemas.microsoft.com/office/drawing/2014/main" id="{8FC1E662-4A3B-AFBA-0DD8-70F775762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116</xdr:col>
      <xdr:colOff>157162</xdr:colOff>
      <xdr:row>64</xdr:row>
      <xdr:rowOff>14287</xdr:rowOff>
    </xdr:from>
    <xdr:to>
      <xdr:col>122</xdr:col>
      <xdr:colOff>157162</xdr:colOff>
      <xdr:row>78</xdr:row>
      <xdr:rowOff>90487</xdr:rowOff>
    </xdr:to>
    <xdr:graphicFrame macro="">
      <xdr:nvGraphicFramePr>
        <xdr:cNvPr id="27" name="Gráfico 26">
          <a:extLst>
            <a:ext uri="{FF2B5EF4-FFF2-40B4-BE49-F238E27FC236}">
              <a16:creationId xmlns:a16="http://schemas.microsoft.com/office/drawing/2014/main" id="{ADFF3232-AF20-0F23-CF27-8C25BF67A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116</xdr:col>
      <xdr:colOff>195262</xdr:colOff>
      <xdr:row>78</xdr:row>
      <xdr:rowOff>138112</xdr:rowOff>
    </xdr:from>
    <xdr:to>
      <xdr:col>122</xdr:col>
      <xdr:colOff>195262</xdr:colOff>
      <xdr:row>93</xdr:row>
      <xdr:rowOff>23812</xdr:rowOff>
    </xdr:to>
    <xdr:graphicFrame macro="">
      <xdr:nvGraphicFramePr>
        <xdr:cNvPr id="28" name="Gráfico 27">
          <a:extLst>
            <a:ext uri="{FF2B5EF4-FFF2-40B4-BE49-F238E27FC236}">
              <a16:creationId xmlns:a16="http://schemas.microsoft.com/office/drawing/2014/main" id="{20B0475A-DC30-7A02-B788-45DF8347D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122</xdr:col>
      <xdr:colOff>452437</xdr:colOff>
      <xdr:row>64</xdr:row>
      <xdr:rowOff>157162</xdr:rowOff>
    </xdr:from>
    <xdr:to>
      <xdr:col>128</xdr:col>
      <xdr:colOff>452437</xdr:colOff>
      <xdr:row>79</xdr:row>
      <xdr:rowOff>42862</xdr:rowOff>
    </xdr:to>
    <xdr:graphicFrame macro="">
      <xdr:nvGraphicFramePr>
        <xdr:cNvPr id="29" name="Gráfico 28">
          <a:extLst>
            <a:ext uri="{FF2B5EF4-FFF2-40B4-BE49-F238E27FC236}">
              <a16:creationId xmlns:a16="http://schemas.microsoft.com/office/drawing/2014/main" id="{77E05FFE-6504-6A47-C86D-39A7267E1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122</xdr:col>
      <xdr:colOff>509587</xdr:colOff>
      <xdr:row>79</xdr:row>
      <xdr:rowOff>90487</xdr:rowOff>
    </xdr:from>
    <xdr:to>
      <xdr:col>128</xdr:col>
      <xdr:colOff>509587</xdr:colOff>
      <xdr:row>93</xdr:row>
      <xdr:rowOff>166687</xdr:rowOff>
    </xdr:to>
    <xdr:graphicFrame macro="">
      <xdr:nvGraphicFramePr>
        <xdr:cNvPr id="30" name="Gráfico 29">
          <a:extLst>
            <a:ext uri="{FF2B5EF4-FFF2-40B4-BE49-F238E27FC236}">
              <a16:creationId xmlns:a16="http://schemas.microsoft.com/office/drawing/2014/main" id="{3D9CD739-D670-1C65-1AB3-A2CBE486C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129</xdr:col>
      <xdr:colOff>604837</xdr:colOff>
      <xdr:row>65</xdr:row>
      <xdr:rowOff>4762</xdr:rowOff>
    </xdr:from>
    <xdr:to>
      <xdr:col>135</xdr:col>
      <xdr:colOff>604837</xdr:colOff>
      <xdr:row>79</xdr:row>
      <xdr:rowOff>80962</xdr:rowOff>
    </xdr:to>
    <xdr:graphicFrame macro="">
      <xdr:nvGraphicFramePr>
        <xdr:cNvPr id="31" name="Gráfico 30">
          <a:extLst>
            <a:ext uri="{FF2B5EF4-FFF2-40B4-BE49-F238E27FC236}">
              <a16:creationId xmlns:a16="http://schemas.microsoft.com/office/drawing/2014/main" id="{A0AD4F12-11A3-1A8B-7CF4-E7F9DCA3C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22</xdr:col>
      <xdr:colOff>523875</xdr:colOff>
      <xdr:row>78</xdr:row>
      <xdr:rowOff>152400</xdr:rowOff>
    </xdr:from>
    <xdr:to>
      <xdr:col>28</xdr:col>
      <xdr:colOff>523875</xdr:colOff>
      <xdr:row>93</xdr:row>
      <xdr:rowOff>38100</xdr:rowOff>
    </xdr:to>
    <xdr:graphicFrame macro="">
      <xdr:nvGraphicFramePr>
        <xdr:cNvPr id="32" name="Gráfico 31">
          <a:extLst>
            <a:ext uri="{FF2B5EF4-FFF2-40B4-BE49-F238E27FC236}">
              <a16:creationId xmlns:a16="http://schemas.microsoft.com/office/drawing/2014/main" id="{7DF06B3A-3013-808F-7481-5571C4B7CF73}"/>
            </a:ext>
            <a:ext uri="{147F2762-F138-4A5C-976F-8EAC2B608ADB}">
              <a16:predDERef xmlns:a16="http://schemas.microsoft.com/office/drawing/2014/main" pred="{A0AD4F12-11A3-1A8B-7CF4-E7F9DCA3C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FD15D-5788-4BDF-AB49-3F183D7A7F0F}">
  <dimension ref="A1:EG67"/>
  <sheetViews>
    <sheetView tabSelected="1" topLeftCell="BC59" workbookViewId="0">
      <selection activeCell="BF88" sqref="BF88"/>
    </sheetView>
  </sheetViews>
  <sheetFormatPr defaultColWidth="11.42578125" defaultRowHeight="15"/>
  <cols>
    <col min="8" max="14" width="0" hidden="1" customWidth="1"/>
  </cols>
  <sheetData>
    <row r="1" spans="1:137" ht="14.2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s="1" t="s">
        <v>119</v>
      </c>
      <c r="DQ1" s="1" t="s">
        <v>120</v>
      </c>
      <c r="DR1" s="1" t="s">
        <v>121</v>
      </c>
      <c r="DS1" t="s">
        <v>122</v>
      </c>
      <c r="DT1" t="s">
        <v>123</v>
      </c>
      <c r="DU1" t="s">
        <v>124</v>
      </c>
      <c r="DV1" t="s">
        <v>125</v>
      </c>
      <c r="DW1" t="s">
        <v>126</v>
      </c>
      <c r="DX1" t="s">
        <v>127</v>
      </c>
      <c r="DY1" t="s">
        <v>128</v>
      </c>
      <c r="DZ1" t="s">
        <v>129</v>
      </c>
      <c r="EA1" t="s">
        <v>130</v>
      </c>
      <c r="EB1" t="s">
        <v>131</v>
      </c>
      <c r="EC1" t="s">
        <v>132</v>
      </c>
      <c r="ED1" t="s">
        <v>133</v>
      </c>
      <c r="EE1" s="1" t="s">
        <v>134</v>
      </c>
      <c r="EF1" s="1" t="s">
        <v>135</v>
      </c>
      <c r="EG1" s="1" t="s">
        <v>136</v>
      </c>
    </row>
    <row r="2" spans="1:137">
      <c r="A2">
        <v>1</v>
      </c>
      <c r="B2" s="2">
        <v>45719.54583333333</v>
      </c>
      <c r="C2" s="2">
        <v>45719.548611111109</v>
      </c>
      <c r="D2" t="s">
        <v>137</v>
      </c>
      <c r="E2" t="s">
        <v>138</v>
      </c>
      <c r="I2" t="s">
        <v>139</v>
      </c>
      <c r="J2">
        <v>0</v>
      </c>
      <c r="L2">
        <v>1010001829</v>
      </c>
      <c r="M2">
        <v>0</v>
      </c>
      <c r="O2" t="s">
        <v>140</v>
      </c>
      <c r="P2">
        <v>0</v>
      </c>
      <c r="R2">
        <v>3118210139</v>
      </c>
      <c r="S2">
        <v>0</v>
      </c>
      <c r="U2">
        <v>2024</v>
      </c>
      <c r="V2">
        <v>0</v>
      </c>
      <c r="X2" t="s">
        <v>141</v>
      </c>
      <c r="Y2">
        <v>0</v>
      </c>
      <c r="AA2" t="s">
        <v>142</v>
      </c>
      <c r="AB2">
        <v>0</v>
      </c>
      <c r="AD2" t="s">
        <v>143</v>
      </c>
      <c r="AE2">
        <v>0</v>
      </c>
      <c r="AG2" t="s">
        <v>144</v>
      </c>
      <c r="AH2">
        <v>0</v>
      </c>
      <c r="AJ2" t="s">
        <v>145</v>
      </c>
      <c r="AK2">
        <v>0</v>
      </c>
      <c r="AM2" t="s">
        <v>146</v>
      </c>
      <c r="AN2">
        <v>0</v>
      </c>
      <c r="AP2" t="s">
        <v>147</v>
      </c>
      <c r="AQ2">
        <v>0</v>
      </c>
      <c r="AS2" t="s">
        <v>146</v>
      </c>
      <c r="AT2">
        <v>0</v>
      </c>
      <c r="AV2" t="s">
        <v>148</v>
      </c>
      <c r="AW2">
        <v>0</v>
      </c>
      <c r="AY2" t="s">
        <v>146</v>
      </c>
      <c r="AZ2">
        <v>0</v>
      </c>
      <c r="BB2" t="s">
        <v>149</v>
      </c>
      <c r="BC2">
        <v>0</v>
      </c>
      <c r="BE2" t="s">
        <v>146</v>
      </c>
      <c r="BF2">
        <v>0</v>
      </c>
      <c r="BH2" t="s">
        <v>146</v>
      </c>
      <c r="BI2">
        <v>0</v>
      </c>
      <c r="BK2" t="s">
        <v>146</v>
      </c>
      <c r="BL2">
        <v>0</v>
      </c>
      <c r="BN2" t="s">
        <v>147</v>
      </c>
      <c r="BO2">
        <v>0</v>
      </c>
      <c r="BQ2" t="s">
        <v>150</v>
      </c>
      <c r="BR2">
        <v>0</v>
      </c>
      <c r="BT2" t="s">
        <v>146</v>
      </c>
      <c r="BU2">
        <v>0</v>
      </c>
      <c r="BW2" t="s">
        <v>146</v>
      </c>
      <c r="BX2">
        <v>0</v>
      </c>
      <c r="BZ2" t="s">
        <v>146</v>
      </c>
      <c r="CA2">
        <v>0</v>
      </c>
      <c r="CC2" t="s">
        <v>146</v>
      </c>
      <c r="CD2">
        <v>0</v>
      </c>
      <c r="CF2" t="s">
        <v>146</v>
      </c>
      <c r="CG2">
        <v>0</v>
      </c>
      <c r="CI2" t="s">
        <v>148</v>
      </c>
      <c r="CJ2">
        <v>0</v>
      </c>
      <c r="CL2" t="s">
        <v>146</v>
      </c>
      <c r="CM2">
        <v>0</v>
      </c>
      <c r="CO2" t="s">
        <v>148</v>
      </c>
      <c r="CP2">
        <v>0</v>
      </c>
      <c r="CR2" t="s">
        <v>146</v>
      </c>
      <c r="CS2">
        <v>0</v>
      </c>
      <c r="CU2" t="s">
        <v>146</v>
      </c>
      <c r="CV2">
        <v>0</v>
      </c>
      <c r="CX2" t="s">
        <v>146</v>
      </c>
      <c r="CY2">
        <v>0</v>
      </c>
      <c r="DA2" t="s">
        <v>151</v>
      </c>
      <c r="DB2">
        <v>0</v>
      </c>
      <c r="DD2" t="s">
        <v>146</v>
      </c>
      <c r="DE2">
        <v>0</v>
      </c>
      <c r="DG2" t="s">
        <v>146</v>
      </c>
      <c r="DH2">
        <v>0</v>
      </c>
      <c r="DJ2" t="s">
        <v>146</v>
      </c>
      <c r="DK2">
        <v>0</v>
      </c>
      <c r="DM2" t="s">
        <v>146</v>
      </c>
      <c r="DN2">
        <v>0</v>
      </c>
      <c r="DP2" t="s">
        <v>146</v>
      </c>
      <c r="DQ2">
        <v>0</v>
      </c>
      <c r="DS2" t="s">
        <v>152</v>
      </c>
      <c r="DT2">
        <v>0</v>
      </c>
      <c r="DV2" t="s">
        <v>146</v>
      </c>
      <c r="DW2">
        <v>0</v>
      </c>
      <c r="DY2" t="s">
        <v>146</v>
      </c>
      <c r="DZ2">
        <v>0</v>
      </c>
      <c r="EB2" t="s">
        <v>153</v>
      </c>
      <c r="EC2">
        <v>0</v>
      </c>
      <c r="EE2" t="s">
        <v>147</v>
      </c>
      <c r="EF2">
        <v>0</v>
      </c>
    </row>
    <row r="3" spans="1:137">
      <c r="A3">
        <v>2</v>
      </c>
      <c r="B3" s="2">
        <v>45719.569444444445</v>
      </c>
      <c r="C3" s="2">
        <v>45719.588194444441</v>
      </c>
      <c r="D3" t="s">
        <v>154</v>
      </c>
      <c r="E3" t="s">
        <v>155</v>
      </c>
      <c r="I3" t="s">
        <v>156</v>
      </c>
      <c r="J3">
        <v>0</v>
      </c>
      <c r="L3">
        <v>1016060113</v>
      </c>
      <c r="M3">
        <v>0</v>
      </c>
      <c r="O3" t="s">
        <v>157</v>
      </c>
      <c r="P3">
        <v>0</v>
      </c>
      <c r="R3">
        <v>3194284737</v>
      </c>
      <c r="S3">
        <v>0</v>
      </c>
      <c r="U3">
        <v>2025</v>
      </c>
      <c r="V3">
        <v>0</v>
      </c>
      <c r="X3" t="s">
        <v>158</v>
      </c>
      <c r="Y3">
        <v>0</v>
      </c>
      <c r="AA3" t="s">
        <v>159</v>
      </c>
      <c r="AB3">
        <v>0</v>
      </c>
      <c r="AD3" t="s">
        <v>160</v>
      </c>
      <c r="AE3">
        <v>0</v>
      </c>
      <c r="AG3" t="s">
        <v>148</v>
      </c>
      <c r="AH3">
        <v>0</v>
      </c>
      <c r="AJ3" t="s">
        <v>161</v>
      </c>
      <c r="AK3">
        <v>0</v>
      </c>
      <c r="AM3" t="s">
        <v>146</v>
      </c>
      <c r="AN3">
        <v>0</v>
      </c>
      <c r="AP3" t="s">
        <v>162</v>
      </c>
      <c r="AQ3">
        <v>0</v>
      </c>
      <c r="AS3" t="s">
        <v>163</v>
      </c>
      <c r="AT3">
        <v>0</v>
      </c>
      <c r="AV3" t="s">
        <v>164</v>
      </c>
      <c r="AW3">
        <v>0</v>
      </c>
      <c r="AY3" t="s">
        <v>165</v>
      </c>
      <c r="AZ3">
        <v>0</v>
      </c>
      <c r="BB3" t="s">
        <v>166</v>
      </c>
      <c r="BC3">
        <v>0</v>
      </c>
      <c r="BE3" t="s">
        <v>165</v>
      </c>
      <c r="BF3">
        <v>0</v>
      </c>
      <c r="BH3" t="s">
        <v>165</v>
      </c>
      <c r="BI3">
        <v>0</v>
      </c>
      <c r="BK3" t="s">
        <v>165</v>
      </c>
      <c r="BL3">
        <v>0</v>
      </c>
      <c r="BN3" t="s">
        <v>167</v>
      </c>
      <c r="BO3">
        <v>0</v>
      </c>
      <c r="BQ3" t="s">
        <v>168</v>
      </c>
      <c r="BR3">
        <v>0</v>
      </c>
      <c r="BT3" t="s">
        <v>165</v>
      </c>
      <c r="BU3">
        <v>0</v>
      </c>
      <c r="BW3" t="s">
        <v>165</v>
      </c>
      <c r="BX3">
        <v>0</v>
      </c>
      <c r="BZ3" t="s">
        <v>163</v>
      </c>
      <c r="CA3">
        <v>0</v>
      </c>
      <c r="CC3" t="s">
        <v>163</v>
      </c>
      <c r="CD3">
        <v>0</v>
      </c>
      <c r="CF3" t="s">
        <v>146</v>
      </c>
      <c r="CG3">
        <v>0</v>
      </c>
      <c r="CI3" t="s">
        <v>169</v>
      </c>
      <c r="CJ3">
        <v>0</v>
      </c>
      <c r="CL3" t="s">
        <v>146</v>
      </c>
      <c r="CM3">
        <v>0</v>
      </c>
      <c r="CO3" t="s">
        <v>170</v>
      </c>
      <c r="CP3">
        <v>0</v>
      </c>
      <c r="CR3" t="s">
        <v>163</v>
      </c>
      <c r="CS3">
        <v>0</v>
      </c>
      <c r="CU3" t="s">
        <v>165</v>
      </c>
      <c r="CV3">
        <v>0</v>
      </c>
      <c r="CX3" t="s">
        <v>146</v>
      </c>
      <c r="CY3">
        <v>0</v>
      </c>
      <c r="DA3" t="s">
        <v>151</v>
      </c>
      <c r="DB3">
        <v>0</v>
      </c>
      <c r="DD3" t="s">
        <v>163</v>
      </c>
      <c r="DE3">
        <v>0</v>
      </c>
      <c r="DG3" t="s">
        <v>163</v>
      </c>
      <c r="DH3">
        <v>0</v>
      </c>
      <c r="DJ3" t="s">
        <v>163</v>
      </c>
      <c r="DK3">
        <v>0</v>
      </c>
      <c r="DM3" t="s">
        <v>165</v>
      </c>
      <c r="DN3">
        <v>0</v>
      </c>
      <c r="DP3" t="s">
        <v>146</v>
      </c>
      <c r="DQ3">
        <v>0</v>
      </c>
      <c r="DS3" t="s">
        <v>152</v>
      </c>
      <c r="DT3">
        <v>0</v>
      </c>
      <c r="DV3" t="s">
        <v>146</v>
      </c>
      <c r="DW3">
        <v>0</v>
      </c>
      <c r="DY3" t="s">
        <v>146</v>
      </c>
      <c r="DZ3">
        <v>0</v>
      </c>
      <c r="EB3" t="s">
        <v>171</v>
      </c>
      <c r="EC3">
        <v>0</v>
      </c>
      <c r="EE3" t="s">
        <v>172</v>
      </c>
      <c r="EF3">
        <v>0</v>
      </c>
    </row>
    <row r="4" spans="1:137">
      <c r="A4">
        <v>3</v>
      </c>
      <c r="B4" s="2">
        <v>45719.712500000001</v>
      </c>
      <c r="C4" s="2">
        <v>45719.713194444441</v>
      </c>
      <c r="D4" t="s">
        <v>173</v>
      </c>
      <c r="E4" t="s">
        <v>174</v>
      </c>
      <c r="I4" t="s">
        <v>175</v>
      </c>
      <c r="J4">
        <v>0</v>
      </c>
      <c r="L4">
        <v>1015416478</v>
      </c>
      <c r="M4">
        <v>0</v>
      </c>
      <c r="O4" t="s">
        <v>157</v>
      </c>
      <c r="P4">
        <v>0</v>
      </c>
      <c r="R4">
        <v>3017852790</v>
      </c>
      <c r="S4">
        <v>0</v>
      </c>
      <c r="U4">
        <v>2024</v>
      </c>
      <c r="V4">
        <v>0</v>
      </c>
      <c r="X4" t="s">
        <v>158</v>
      </c>
      <c r="Y4">
        <v>0</v>
      </c>
      <c r="AA4" t="s">
        <v>142</v>
      </c>
      <c r="AB4">
        <v>0</v>
      </c>
      <c r="AD4" t="s">
        <v>176</v>
      </c>
      <c r="AE4">
        <v>0</v>
      </c>
      <c r="AG4" t="s">
        <v>144</v>
      </c>
      <c r="AH4">
        <v>0</v>
      </c>
      <c r="AJ4" t="s">
        <v>177</v>
      </c>
      <c r="AK4">
        <v>0</v>
      </c>
      <c r="AM4" t="s">
        <v>146</v>
      </c>
      <c r="AN4">
        <v>0</v>
      </c>
      <c r="AP4" t="s">
        <v>178</v>
      </c>
      <c r="AQ4">
        <v>0</v>
      </c>
      <c r="AS4" t="s">
        <v>165</v>
      </c>
      <c r="AT4">
        <v>0</v>
      </c>
      <c r="AV4" t="s">
        <v>179</v>
      </c>
      <c r="AW4">
        <v>0</v>
      </c>
      <c r="AY4" t="s">
        <v>163</v>
      </c>
      <c r="AZ4">
        <v>0</v>
      </c>
      <c r="BB4" t="s">
        <v>180</v>
      </c>
      <c r="BC4">
        <v>0</v>
      </c>
      <c r="BE4" t="s">
        <v>165</v>
      </c>
      <c r="BF4">
        <v>0</v>
      </c>
      <c r="BH4" t="s">
        <v>165</v>
      </c>
      <c r="BI4">
        <v>0</v>
      </c>
      <c r="BK4" t="s">
        <v>165</v>
      </c>
      <c r="BL4">
        <v>0</v>
      </c>
      <c r="BN4" t="s">
        <v>181</v>
      </c>
      <c r="BO4">
        <v>0</v>
      </c>
      <c r="BQ4" t="s">
        <v>182</v>
      </c>
      <c r="BR4">
        <v>0</v>
      </c>
      <c r="BT4" t="s">
        <v>165</v>
      </c>
      <c r="BU4">
        <v>0</v>
      </c>
      <c r="BW4" t="s">
        <v>165</v>
      </c>
      <c r="BX4">
        <v>0</v>
      </c>
      <c r="BZ4" t="s">
        <v>165</v>
      </c>
      <c r="CA4">
        <v>0</v>
      </c>
      <c r="CC4" t="s">
        <v>165</v>
      </c>
      <c r="CD4">
        <v>0</v>
      </c>
      <c r="CF4" t="s">
        <v>165</v>
      </c>
      <c r="CG4">
        <v>0</v>
      </c>
      <c r="CI4" t="s">
        <v>183</v>
      </c>
      <c r="CJ4">
        <v>0</v>
      </c>
      <c r="CL4" t="s">
        <v>165</v>
      </c>
      <c r="CM4">
        <v>0</v>
      </c>
      <c r="CO4" t="s">
        <v>184</v>
      </c>
      <c r="CP4">
        <v>0</v>
      </c>
      <c r="CR4" t="s">
        <v>163</v>
      </c>
      <c r="CS4">
        <v>0</v>
      </c>
      <c r="CU4" t="s">
        <v>165</v>
      </c>
      <c r="CV4">
        <v>0</v>
      </c>
      <c r="CX4" t="s">
        <v>165</v>
      </c>
      <c r="CY4">
        <v>0</v>
      </c>
      <c r="DA4" t="s">
        <v>185</v>
      </c>
      <c r="DB4">
        <v>0</v>
      </c>
      <c r="DD4" t="s">
        <v>165</v>
      </c>
      <c r="DE4">
        <v>0</v>
      </c>
      <c r="DG4" t="s">
        <v>163</v>
      </c>
      <c r="DH4">
        <v>0</v>
      </c>
      <c r="DJ4" t="s">
        <v>165</v>
      </c>
      <c r="DK4">
        <v>0</v>
      </c>
      <c r="DM4" t="s">
        <v>163</v>
      </c>
      <c r="DN4">
        <v>0</v>
      </c>
      <c r="DP4" t="s">
        <v>163</v>
      </c>
      <c r="DQ4">
        <v>0</v>
      </c>
      <c r="DS4" t="s">
        <v>152</v>
      </c>
      <c r="DT4">
        <v>0</v>
      </c>
      <c r="DV4" t="s">
        <v>146</v>
      </c>
      <c r="DW4">
        <v>0</v>
      </c>
      <c r="DY4" t="s">
        <v>163</v>
      </c>
      <c r="DZ4">
        <v>0</v>
      </c>
      <c r="EB4" t="s">
        <v>186</v>
      </c>
      <c r="EC4">
        <v>0</v>
      </c>
      <c r="EE4" t="s">
        <v>187</v>
      </c>
      <c r="EF4">
        <v>0</v>
      </c>
    </row>
    <row r="5" spans="1:137">
      <c r="A5">
        <v>4</v>
      </c>
      <c r="B5" s="2">
        <v>45719.912499999999</v>
      </c>
      <c r="C5" s="2">
        <v>45719.912499999999</v>
      </c>
      <c r="D5" t="s">
        <v>188</v>
      </c>
      <c r="E5" t="s">
        <v>189</v>
      </c>
      <c r="I5" t="s">
        <v>190</v>
      </c>
      <c r="J5">
        <v>0</v>
      </c>
      <c r="L5">
        <v>1075687506</v>
      </c>
      <c r="M5">
        <v>0</v>
      </c>
      <c r="O5" t="s">
        <v>140</v>
      </c>
      <c r="P5">
        <v>0</v>
      </c>
      <c r="R5">
        <v>3008450551</v>
      </c>
      <c r="S5">
        <v>0</v>
      </c>
      <c r="U5">
        <v>2024</v>
      </c>
      <c r="V5">
        <v>0</v>
      </c>
      <c r="X5" t="s">
        <v>141</v>
      </c>
      <c r="Y5">
        <v>0</v>
      </c>
      <c r="AA5" t="s">
        <v>142</v>
      </c>
      <c r="AB5">
        <v>0</v>
      </c>
      <c r="AD5" t="s">
        <v>191</v>
      </c>
      <c r="AE5">
        <v>0</v>
      </c>
      <c r="AG5" t="s">
        <v>144</v>
      </c>
      <c r="AH5">
        <v>0</v>
      </c>
      <c r="AJ5" t="s">
        <v>192</v>
      </c>
      <c r="AK5">
        <v>0</v>
      </c>
      <c r="AM5" t="s">
        <v>165</v>
      </c>
      <c r="AN5">
        <v>0</v>
      </c>
      <c r="AP5" t="s">
        <v>193</v>
      </c>
      <c r="AQ5">
        <v>0</v>
      </c>
      <c r="AS5" t="s">
        <v>146</v>
      </c>
      <c r="AT5">
        <v>0</v>
      </c>
      <c r="AV5" t="s">
        <v>194</v>
      </c>
      <c r="AW5">
        <v>0</v>
      </c>
      <c r="AY5" t="s">
        <v>146</v>
      </c>
      <c r="AZ5">
        <v>0</v>
      </c>
      <c r="BB5" t="s">
        <v>195</v>
      </c>
      <c r="BC5">
        <v>0</v>
      </c>
      <c r="BE5" t="s">
        <v>146</v>
      </c>
      <c r="BF5">
        <v>0</v>
      </c>
      <c r="BH5" t="s">
        <v>146</v>
      </c>
      <c r="BI5">
        <v>0</v>
      </c>
      <c r="BK5" t="s">
        <v>165</v>
      </c>
      <c r="BL5">
        <v>0</v>
      </c>
      <c r="BN5" t="s">
        <v>196</v>
      </c>
      <c r="BO5">
        <v>0</v>
      </c>
      <c r="BQ5" t="s">
        <v>197</v>
      </c>
      <c r="BR5">
        <v>0</v>
      </c>
      <c r="BT5" t="s">
        <v>146</v>
      </c>
      <c r="BU5">
        <v>0</v>
      </c>
      <c r="BW5" t="s">
        <v>146</v>
      </c>
      <c r="BX5">
        <v>0</v>
      </c>
      <c r="BZ5" t="s">
        <v>165</v>
      </c>
      <c r="CA5">
        <v>0</v>
      </c>
      <c r="CC5" t="s">
        <v>165</v>
      </c>
      <c r="CD5">
        <v>0</v>
      </c>
      <c r="CF5" t="s">
        <v>163</v>
      </c>
      <c r="CG5">
        <v>0</v>
      </c>
      <c r="CI5" t="s">
        <v>198</v>
      </c>
      <c r="CJ5">
        <v>0</v>
      </c>
      <c r="CL5" t="s">
        <v>165</v>
      </c>
      <c r="CM5">
        <v>0</v>
      </c>
      <c r="CO5" t="s">
        <v>199</v>
      </c>
      <c r="CP5">
        <v>0</v>
      </c>
      <c r="CR5" t="s">
        <v>165</v>
      </c>
      <c r="CS5">
        <v>0</v>
      </c>
      <c r="CU5" t="s">
        <v>165</v>
      </c>
      <c r="CV5">
        <v>0</v>
      </c>
      <c r="CX5" t="s">
        <v>146</v>
      </c>
      <c r="CY5">
        <v>0</v>
      </c>
      <c r="DA5" t="s">
        <v>151</v>
      </c>
      <c r="DB5">
        <v>0</v>
      </c>
      <c r="DD5" t="s">
        <v>146</v>
      </c>
      <c r="DE5">
        <v>0</v>
      </c>
      <c r="DG5" t="s">
        <v>200</v>
      </c>
      <c r="DH5">
        <v>0</v>
      </c>
      <c r="DJ5" t="s">
        <v>165</v>
      </c>
      <c r="DK5">
        <v>0</v>
      </c>
      <c r="DM5" t="s">
        <v>146</v>
      </c>
      <c r="DN5">
        <v>0</v>
      </c>
      <c r="DP5" t="s">
        <v>146</v>
      </c>
      <c r="DQ5">
        <v>0</v>
      </c>
      <c r="DS5" t="s">
        <v>201</v>
      </c>
      <c r="DT5">
        <v>0</v>
      </c>
      <c r="DV5" t="s">
        <v>146</v>
      </c>
      <c r="DW5">
        <v>0</v>
      </c>
      <c r="DY5" t="s">
        <v>146</v>
      </c>
      <c r="DZ5">
        <v>0</v>
      </c>
      <c r="EB5" t="s">
        <v>202</v>
      </c>
      <c r="EC5">
        <v>0</v>
      </c>
      <c r="EE5" t="s">
        <v>203</v>
      </c>
      <c r="EF5">
        <v>0</v>
      </c>
    </row>
    <row r="6" spans="1:137">
      <c r="A6">
        <v>5</v>
      </c>
      <c r="B6" s="2">
        <v>45720.287499999999</v>
      </c>
      <c r="C6" s="2">
        <v>45720.298611111109</v>
      </c>
      <c r="D6" t="s">
        <v>204</v>
      </c>
      <c r="E6" t="s">
        <v>205</v>
      </c>
      <c r="I6" t="s">
        <v>206</v>
      </c>
      <c r="J6">
        <v>0</v>
      </c>
      <c r="L6">
        <v>1024486322</v>
      </c>
      <c r="M6">
        <v>0</v>
      </c>
      <c r="O6" t="s">
        <v>157</v>
      </c>
      <c r="P6">
        <v>0</v>
      </c>
      <c r="R6">
        <v>3153934467</v>
      </c>
      <c r="S6">
        <v>0</v>
      </c>
      <c r="U6">
        <v>2024</v>
      </c>
      <c r="V6">
        <v>0</v>
      </c>
      <c r="X6" t="s">
        <v>141</v>
      </c>
      <c r="Y6">
        <v>0</v>
      </c>
      <c r="AA6" t="s">
        <v>142</v>
      </c>
      <c r="AB6">
        <v>0</v>
      </c>
      <c r="AD6" t="s">
        <v>207</v>
      </c>
      <c r="AE6">
        <v>0</v>
      </c>
      <c r="AG6" t="s">
        <v>144</v>
      </c>
      <c r="AH6">
        <v>0</v>
      </c>
      <c r="AJ6" t="s">
        <v>208</v>
      </c>
      <c r="AK6">
        <v>0</v>
      </c>
      <c r="AM6" t="s">
        <v>163</v>
      </c>
      <c r="AN6">
        <v>0</v>
      </c>
      <c r="AP6" t="s">
        <v>209</v>
      </c>
      <c r="AQ6">
        <v>0</v>
      </c>
      <c r="AS6" t="s">
        <v>165</v>
      </c>
      <c r="AT6">
        <v>0</v>
      </c>
      <c r="AV6" t="s">
        <v>210</v>
      </c>
      <c r="AW6">
        <v>0</v>
      </c>
      <c r="AY6" t="s">
        <v>163</v>
      </c>
      <c r="AZ6">
        <v>0</v>
      </c>
      <c r="BB6" t="s">
        <v>211</v>
      </c>
      <c r="BC6">
        <v>0</v>
      </c>
      <c r="BE6" t="s">
        <v>165</v>
      </c>
      <c r="BF6">
        <v>0</v>
      </c>
      <c r="BH6" t="s">
        <v>165</v>
      </c>
      <c r="BI6">
        <v>0</v>
      </c>
      <c r="BK6" t="s">
        <v>163</v>
      </c>
      <c r="BL6">
        <v>0</v>
      </c>
      <c r="BN6" t="s">
        <v>209</v>
      </c>
      <c r="BO6">
        <v>0</v>
      </c>
      <c r="BQ6" t="s">
        <v>212</v>
      </c>
      <c r="BR6">
        <v>0</v>
      </c>
      <c r="BT6" t="s">
        <v>165</v>
      </c>
      <c r="BU6">
        <v>0</v>
      </c>
      <c r="BW6" t="s">
        <v>165</v>
      </c>
      <c r="BX6">
        <v>0</v>
      </c>
      <c r="BZ6" t="s">
        <v>165</v>
      </c>
      <c r="CA6">
        <v>0</v>
      </c>
      <c r="CC6" t="s">
        <v>165</v>
      </c>
      <c r="CD6">
        <v>0</v>
      </c>
      <c r="CF6" t="s">
        <v>163</v>
      </c>
      <c r="CG6">
        <v>0</v>
      </c>
      <c r="CI6" t="s">
        <v>213</v>
      </c>
      <c r="CJ6">
        <v>0</v>
      </c>
      <c r="CL6" t="s">
        <v>165</v>
      </c>
      <c r="CM6">
        <v>0</v>
      </c>
      <c r="CO6" t="s">
        <v>214</v>
      </c>
      <c r="CP6">
        <v>0</v>
      </c>
      <c r="CR6" t="s">
        <v>165</v>
      </c>
      <c r="CS6">
        <v>0</v>
      </c>
      <c r="CU6" t="s">
        <v>165</v>
      </c>
      <c r="CV6">
        <v>0</v>
      </c>
      <c r="CX6" t="s">
        <v>163</v>
      </c>
      <c r="CY6">
        <v>0</v>
      </c>
      <c r="DA6" t="s">
        <v>215</v>
      </c>
      <c r="DB6">
        <v>0</v>
      </c>
      <c r="DD6" t="s">
        <v>163</v>
      </c>
      <c r="DE6">
        <v>0</v>
      </c>
      <c r="DG6" t="s">
        <v>216</v>
      </c>
      <c r="DH6">
        <v>0</v>
      </c>
      <c r="DJ6" t="s">
        <v>163</v>
      </c>
      <c r="DK6">
        <v>0</v>
      </c>
      <c r="DM6" t="s">
        <v>165</v>
      </c>
      <c r="DN6">
        <v>0</v>
      </c>
      <c r="DP6" t="s">
        <v>163</v>
      </c>
      <c r="DQ6">
        <v>0</v>
      </c>
      <c r="DS6" t="s">
        <v>201</v>
      </c>
      <c r="DT6">
        <v>0</v>
      </c>
      <c r="DV6" t="s">
        <v>163</v>
      </c>
      <c r="DW6">
        <v>0</v>
      </c>
      <c r="DY6" t="s">
        <v>216</v>
      </c>
      <c r="DZ6">
        <v>0</v>
      </c>
      <c r="EB6" t="s">
        <v>217</v>
      </c>
      <c r="EC6">
        <v>0</v>
      </c>
      <c r="EE6" t="s">
        <v>218</v>
      </c>
      <c r="EF6">
        <v>0</v>
      </c>
    </row>
    <row r="7" spans="1:137">
      <c r="A7">
        <v>6</v>
      </c>
      <c r="B7" s="2">
        <v>45720.496527777781</v>
      </c>
      <c r="C7" s="2">
        <v>45720.548611111109</v>
      </c>
      <c r="D7" t="s">
        <v>219</v>
      </c>
      <c r="E7" t="s">
        <v>220</v>
      </c>
      <c r="I7" t="s">
        <v>221</v>
      </c>
      <c r="J7">
        <v>0</v>
      </c>
      <c r="L7">
        <v>1033798653</v>
      </c>
      <c r="M7">
        <v>0</v>
      </c>
      <c r="O7" t="s">
        <v>140</v>
      </c>
      <c r="P7">
        <v>0</v>
      </c>
      <c r="R7">
        <v>3194467960</v>
      </c>
      <c r="S7">
        <v>0</v>
      </c>
      <c r="U7">
        <v>2024</v>
      </c>
      <c r="V7">
        <v>0</v>
      </c>
      <c r="X7" t="s">
        <v>141</v>
      </c>
      <c r="Y7">
        <v>0</v>
      </c>
      <c r="AA7" t="s">
        <v>142</v>
      </c>
      <c r="AB7">
        <v>0</v>
      </c>
      <c r="AD7" t="s">
        <v>222</v>
      </c>
      <c r="AE7">
        <v>0</v>
      </c>
      <c r="AG7" t="s">
        <v>144</v>
      </c>
      <c r="AH7">
        <v>0</v>
      </c>
      <c r="AJ7" t="s">
        <v>223</v>
      </c>
      <c r="AK7">
        <v>0</v>
      </c>
      <c r="AM7" t="s">
        <v>163</v>
      </c>
      <c r="AN7">
        <v>0</v>
      </c>
      <c r="AP7" t="s">
        <v>224</v>
      </c>
      <c r="AQ7">
        <v>0</v>
      </c>
      <c r="AS7" t="s">
        <v>163</v>
      </c>
      <c r="AT7">
        <v>0</v>
      </c>
      <c r="AV7" t="s">
        <v>225</v>
      </c>
      <c r="AW7">
        <v>0</v>
      </c>
      <c r="AY7" t="s">
        <v>165</v>
      </c>
      <c r="AZ7">
        <v>0</v>
      </c>
      <c r="BB7" t="s">
        <v>226</v>
      </c>
      <c r="BC7">
        <v>0</v>
      </c>
      <c r="BE7" t="s">
        <v>146</v>
      </c>
      <c r="BF7">
        <v>0</v>
      </c>
      <c r="BH7" t="s">
        <v>146</v>
      </c>
      <c r="BI7">
        <v>0</v>
      </c>
      <c r="BK7" t="s">
        <v>163</v>
      </c>
      <c r="BL7">
        <v>0</v>
      </c>
      <c r="BN7" t="s">
        <v>227</v>
      </c>
      <c r="BO7">
        <v>0</v>
      </c>
      <c r="BQ7" t="s">
        <v>228</v>
      </c>
      <c r="BR7">
        <v>0</v>
      </c>
      <c r="BT7" t="s">
        <v>165</v>
      </c>
      <c r="BU7">
        <v>0</v>
      </c>
      <c r="BW7" t="s">
        <v>163</v>
      </c>
      <c r="BX7">
        <v>0</v>
      </c>
      <c r="BZ7" t="s">
        <v>163</v>
      </c>
      <c r="CA7">
        <v>0</v>
      </c>
      <c r="CC7" t="s">
        <v>165</v>
      </c>
      <c r="CD7">
        <v>0</v>
      </c>
      <c r="CF7" t="s">
        <v>163</v>
      </c>
      <c r="CG7">
        <v>0</v>
      </c>
      <c r="CI7" t="s">
        <v>229</v>
      </c>
      <c r="CJ7">
        <v>0</v>
      </c>
      <c r="CL7" t="s">
        <v>146</v>
      </c>
      <c r="CM7">
        <v>0</v>
      </c>
      <c r="CO7" t="s">
        <v>230</v>
      </c>
      <c r="CP7">
        <v>0</v>
      </c>
      <c r="CR7" t="s">
        <v>163</v>
      </c>
      <c r="CS7">
        <v>0</v>
      </c>
      <c r="CU7" t="s">
        <v>216</v>
      </c>
      <c r="CV7">
        <v>0</v>
      </c>
      <c r="CX7" t="s">
        <v>165</v>
      </c>
      <c r="CY7">
        <v>0</v>
      </c>
      <c r="DA7" t="s">
        <v>185</v>
      </c>
      <c r="DB7">
        <v>0</v>
      </c>
      <c r="DD7" t="s">
        <v>146</v>
      </c>
      <c r="DE7">
        <v>0</v>
      </c>
      <c r="DG7" t="s">
        <v>163</v>
      </c>
      <c r="DH7">
        <v>0</v>
      </c>
      <c r="DJ7" t="s">
        <v>216</v>
      </c>
      <c r="DK7">
        <v>0</v>
      </c>
      <c r="DM7" t="s">
        <v>165</v>
      </c>
      <c r="DN7">
        <v>0</v>
      </c>
      <c r="DP7" t="s">
        <v>163</v>
      </c>
      <c r="DQ7">
        <v>0</v>
      </c>
      <c r="DS7" t="s">
        <v>152</v>
      </c>
      <c r="DT7">
        <v>0</v>
      </c>
      <c r="DV7" t="s">
        <v>165</v>
      </c>
      <c r="DW7">
        <v>0</v>
      </c>
      <c r="DY7" t="s">
        <v>163</v>
      </c>
      <c r="DZ7">
        <v>0</v>
      </c>
      <c r="EB7" t="s">
        <v>231</v>
      </c>
      <c r="EC7">
        <v>0</v>
      </c>
      <c r="EE7" t="s">
        <v>232</v>
      </c>
      <c r="EF7">
        <v>0</v>
      </c>
    </row>
    <row r="8" spans="1:137">
      <c r="A8">
        <v>7</v>
      </c>
      <c r="B8" s="2">
        <v>45720.571527777778</v>
      </c>
      <c r="C8" s="2">
        <v>45720.582638888889</v>
      </c>
      <c r="D8" t="s">
        <v>233</v>
      </c>
      <c r="E8" t="s">
        <v>234</v>
      </c>
      <c r="I8" t="s">
        <v>235</v>
      </c>
      <c r="J8">
        <v>0</v>
      </c>
      <c r="L8">
        <v>1024481940</v>
      </c>
      <c r="M8">
        <v>0</v>
      </c>
      <c r="O8" t="s">
        <v>157</v>
      </c>
      <c r="P8">
        <v>0</v>
      </c>
      <c r="R8">
        <v>3232898653</v>
      </c>
      <c r="S8">
        <v>0</v>
      </c>
      <c r="U8">
        <v>2020</v>
      </c>
      <c r="V8">
        <v>0</v>
      </c>
      <c r="X8" t="s">
        <v>158</v>
      </c>
      <c r="Y8">
        <v>0</v>
      </c>
      <c r="AA8" t="s">
        <v>159</v>
      </c>
      <c r="AB8">
        <v>0</v>
      </c>
      <c r="AD8" t="s">
        <v>236</v>
      </c>
      <c r="AE8">
        <v>0</v>
      </c>
      <c r="AG8" t="s">
        <v>144</v>
      </c>
      <c r="AH8">
        <v>0</v>
      </c>
      <c r="AJ8" t="s">
        <v>237</v>
      </c>
      <c r="AK8">
        <v>0</v>
      </c>
      <c r="AM8" t="s">
        <v>146</v>
      </c>
      <c r="AN8">
        <v>0</v>
      </c>
      <c r="AP8" t="s">
        <v>238</v>
      </c>
      <c r="AQ8">
        <v>0</v>
      </c>
      <c r="AS8" t="s">
        <v>163</v>
      </c>
      <c r="AT8">
        <v>0</v>
      </c>
      <c r="AV8" t="s">
        <v>148</v>
      </c>
      <c r="AW8">
        <v>0</v>
      </c>
      <c r="AY8" t="s">
        <v>146</v>
      </c>
      <c r="AZ8">
        <v>0</v>
      </c>
      <c r="BB8" t="s">
        <v>239</v>
      </c>
      <c r="BC8">
        <v>0</v>
      </c>
      <c r="BE8" t="s">
        <v>165</v>
      </c>
      <c r="BF8">
        <v>0</v>
      </c>
      <c r="BH8" t="s">
        <v>165</v>
      </c>
      <c r="BI8">
        <v>0</v>
      </c>
      <c r="BK8" t="s">
        <v>146</v>
      </c>
      <c r="BL8">
        <v>0</v>
      </c>
      <c r="BN8" t="s">
        <v>240</v>
      </c>
      <c r="BO8">
        <v>0</v>
      </c>
      <c r="BQ8" t="s">
        <v>241</v>
      </c>
      <c r="BR8">
        <v>0</v>
      </c>
      <c r="BT8" t="s">
        <v>165</v>
      </c>
      <c r="BU8">
        <v>0</v>
      </c>
      <c r="BW8" t="s">
        <v>165</v>
      </c>
      <c r="BX8">
        <v>0</v>
      </c>
      <c r="BZ8" t="s">
        <v>165</v>
      </c>
      <c r="CA8">
        <v>0</v>
      </c>
      <c r="CC8" t="s">
        <v>165</v>
      </c>
      <c r="CD8">
        <v>0</v>
      </c>
      <c r="CF8" t="s">
        <v>146</v>
      </c>
      <c r="CG8">
        <v>0</v>
      </c>
      <c r="CI8" t="s">
        <v>242</v>
      </c>
      <c r="CJ8">
        <v>0</v>
      </c>
      <c r="CL8" t="s">
        <v>146</v>
      </c>
      <c r="CM8">
        <v>0</v>
      </c>
      <c r="CO8" t="s">
        <v>243</v>
      </c>
      <c r="CP8">
        <v>0</v>
      </c>
      <c r="CR8" t="s">
        <v>165</v>
      </c>
      <c r="CS8">
        <v>0</v>
      </c>
      <c r="CU8" t="s">
        <v>165</v>
      </c>
      <c r="CV8">
        <v>0</v>
      </c>
      <c r="CX8" t="s">
        <v>146</v>
      </c>
      <c r="CY8">
        <v>0</v>
      </c>
      <c r="DA8" t="s">
        <v>185</v>
      </c>
      <c r="DB8">
        <v>0</v>
      </c>
      <c r="DD8" t="s">
        <v>146</v>
      </c>
      <c r="DE8">
        <v>0</v>
      </c>
      <c r="DG8" t="s">
        <v>163</v>
      </c>
      <c r="DH8">
        <v>0</v>
      </c>
      <c r="DJ8" t="s">
        <v>165</v>
      </c>
      <c r="DK8">
        <v>0</v>
      </c>
      <c r="DM8" t="s">
        <v>146</v>
      </c>
      <c r="DN8">
        <v>0</v>
      </c>
      <c r="DP8" t="s">
        <v>165</v>
      </c>
      <c r="DQ8">
        <v>0</v>
      </c>
      <c r="DS8" t="s">
        <v>244</v>
      </c>
      <c r="DT8">
        <v>0</v>
      </c>
      <c r="DV8" t="s">
        <v>146</v>
      </c>
      <c r="DW8">
        <v>0</v>
      </c>
      <c r="DY8" t="s">
        <v>146</v>
      </c>
      <c r="DZ8">
        <v>0</v>
      </c>
      <c r="EB8" t="s">
        <v>245</v>
      </c>
      <c r="EC8">
        <v>0</v>
      </c>
      <c r="EE8" t="s">
        <v>246</v>
      </c>
      <c r="EF8">
        <v>0</v>
      </c>
    </row>
    <row r="9" spans="1:137">
      <c r="A9">
        <v>8</v>
      </c>
      <c r="B9" s="2">
        <v>45721.447916666664</v>
      </c>
      <c r="C9" s="2">
        <v>45721.461805555555</v>
      </c>
      <c r="D9" t="s">
        <v>247</v>
      </c>
      <c r="E9" t="s">
        <v>248</v>
      </c>
      <c r="I9" t="s">
        <v>249</v>
      </c>
      <c r="J9">
        <v>0</v>
      </c>
      <c r="L9">
        <v>1014263322</v>
      </c>
      <c r="M9">
        <v>0</v>
      </c>
      <c r="O9" t="s">
        <v>140</v>
      </c>
      <c r="P9">
        <v>0</v>
      </c>
      <c r="R9">
        <v>3138717415</v>
      </c>
      <c r="S9">
        <v>0</v>
      </c>
      <c r="U9">
        <v>2025</v>
      </c>
      <c r="V9">
        <v>0</v>
      </c>
      <c r="X9" t="s">
        <v>141</v>
      </c>
      <c r="Y9">
        <v>0</v>
      </c>
      <c r="AA9" t="s">
        <v>142</v>
      </c>
      <c r="AB9">
        <v>0</v>
      </c>
      <c r="AD9" t="s">
        <v>250</v>
      </c>
      <c r="AE9">
        <v>0</v>
      </c>
      <c r="AG9" t="s">
        <v>148</v>
      </c>
      <c r="AH9">
        <v>0</v>
      </c>
      <c r="AJ9" t="s">
        <v>251</v>
      </c>
      <c r="AK9">
        <v>0</v>
      </c>
      <c r="AM9" t="s">
        <v>165</v>
      </c>
      <c r="AN9">
        <v>0</v>
      </c>
      <c r="AP9" t="s">
        <v>252</v>
      </c>
      <c r="AQ9">
        <v>0</v>
      </c>
      <c r="AS9" t="s">
        <v>165</v>
      </c>
      <c r="AT9">
        <v>0</v>
      </c>
      <c r="AV9" t="s">
        <v>148</v>
      </c>
      <c r="AW9">
        <v>0</v>
      </c>
      <c r="AY9" t="s">
        <v>163</v>
      </c>
      <c r="AZ9">
        <v>0</v>
      </c>
      <c r="BB9" t="s">
        <v>253</v>
      </c>
      <c r="BC9">
        <v>0</v>
      </c>
      <c r="BE9" t="s">
        <v>165</v>
      </c>
      <c r="BF9">
        <v>0</v>
      </c>
      <c r="BH9" t="s">
        <v>165</v>
      </c>
      <c r="BI9">
        <v>0</v>
      </c>
      <c r="BK9" t="s">
        <v>163</v>
      </c>
      <c r="BL9">
        <v>0</v>
      </c>
      <c r="BN9" t="s">
        <v>254</v>
      </c>
      <c r="BO9">
        <v>0</v>
      </c>
      <c r="BQ9" t="s">
        <v>255</v>
      </c>
      <c r="BR9">
        <v>0</v>
      </c>
      <c r="BT9" t="s">
        <v>165</v>
      </c>
      <c r="BU9">
        <v>0</v>
      </c>
      <c r="BW9" t="s">
        <v>146</v>
      </c>
      <c r="BX9">
        <v>0</v>
      </c>
      <c r="BZ9" t="s">
        <v>165</v>
      </c>
      <c r="CA9">
        <v>0</v>
      </c>
      <c r="CC9" t="s">
        <v>165</v>
      </c>
      <c r="CD9">
        <v>0</v>
      </c>
      <c r="CF9" t="s">
        <v>163</v>
      </c>
      <c r="CG9">
        <v>0</v>
      </c>
      <c r="CI9" t="s">
        <v>256</v>
      </c>
      <c r="CJ9">
        <v>0</v>
      </c>
      <c r="CL9" t="s">
        <v>146</v>
      </c>
      <c r="CM9">
        <v>0</v>
      </c>
      <c r="CO9" t="s">
        <v>257</v>
      </c>
      <c r="CP9">
        <v>0</v>
      </c>
      <c r="CR9" t="s">
        <v>163</v>
      </c>
      <c r="CS9">
        <v>0</v>
      </c>
      <c r="CU9" t="s">
        <v>165</v>
      </c>
      <c r="CV9">
        <v>0</v>
      </c>
      <c r="CX9" t="s">
        <v>216</v>
      </c>
      <c r="CY9">
        <v>0</v>
      </c>
      <c r="DA9" t="s">
        <v>185</v>
      </c>
      <c r="DB9">
        <v>0</v>
      </c>
      <c r="DD9" t="s">
        <v>165</v>
      </c>
      <c r="DE9">
        <v>0</v>
      </c>
      <c r="DG9" t="s">
        <v>163</v>
      </c>
      <c r="DH9">
        <v>0</v>
      </c>
      <c r="DJ9" t="s">
        <v>165</v>
      </c>
      <c r="DK9">
        <v>0</v>
      </c>
      <c r="DM9" t="s">
        <v>165</v>
      </c>
      <c r="DN9">
        <v>0</v>
      </c>
      <c r="DP9" t="s">
        <v>165</v>
      </c>
      <c r="DQ9">
        <v>0</v>
      </c>
      <c r="DS9" t="s">
        <v>152</v>
      </c>
      <c r="DT9">
        <v>0</v>
      </c>
      <c r="DV9" t="s">
        <v>165</v>
      </c>
      <c r="DW9">
        <v>0</v>
      </c>
      <c r="DY9" t="s">
        <v>163</v>
      </c>
      <c r="DZ9">
        <v>0</v>
      </c>
      <c r="EB9" t="s">
        <v>258</v>
      </c>
      <c r="EC9">
        <v>0</v>
      </c>
      <c r="EE9" t="s">
        <v>259</v>
      </c>
      <c r="EF9">
        <v>0</v>
      </c>
    </row>
    <row r="10" spans="1:137">
      <c r="A10">
        <v>9</v>
      </c>
      <c r="B10" s="2">
        <v>45721.76458333333</v>
      </c>
      <c r="C10" s="2">
        <v>45721.770833333336</v>
      </c>
      <c r="D10" t="s">
        <v>260</v>
      </c>
      <c r="E10" t="s">
        <v>261</v>
      </c>
      <c r="I10" t="s">
        <v>261</v>
      </c>
      <c r="J10">
        <v>0</v>
      </c>
      <c r="L10">
        <v>1000514921</v>
      </c>
      <c r="M10">
        <v>0</v>
      </c>
      <c r="O10" t="s">
        <v>140</v>
      </c>
      <c r="P10">
        <v>0</v>
      </c>
      <c r="R10">
        <v>3194970523</v>
      </c>
      <c r="S10">
        <v>0</v>
      </c>
      <c r="U10">
        <v>2024</v>
      </c>
      <c r="V10">
        <v>0</v>
      </c>
      <c r="X10" t="s">
        <v>141</v>
      </c>
      <c r="Y10">
        <v>0</v>
      </c>
      <c r="AA10" t="s">
        <v>159</v>
      </c>
      <c r="AB10">
        <v>0</v>
      </c>
      <c r="AD10" t="s">
        <v>262</v>
      </c>
      <c r="AE10">
        <v>0</v>
      </c>
      <c r="AG10" t="s">
        <v>144</v>
      </c>
      <c r="AH10">
        <v>0</v>
      </c>
      <c r="AJ10" t="s">
        <v>263</v>
      </c>
      <c r="AK10">
        <v>0</v>
      </c>
      <c r="AM10" t="s">
        <v>165</v>
      </c>
      <c r="AN10">
        <v>0</v>
      </c>
      <c r="AP10" t="s">
        <v>264</v>
      </c>
      <c r="AQ10">
        <v>0</v>
      </c>
      <c r="AS10" t="s">
        <v>165</v>
      </c>
      <c r="AT10">
        <v>0</v>
      </c>
      <c r="AV10" t="s">
        <v>265</v>
      </c>
      <c r="AW10">
        <v>0</v>
      </c>
      <c r="AY10" t="s">
        <v>165</v>
      </c>
      <c r="AZ10">
        <v>0</v>
      </c>
      <c r="BB10" t="s">
        <v>266</v>
      </c>
      <c r="BC10">
        <v>0</v>
      </c>
      <c r="BE10" t="s">
        <v>165</v>
      </c>
      <c r="BF10">
        <v>0</v>
      </c>
      <c r="BH10" t="s">
        <v>165</v>
      </c>
      <c r="BI10">
        <v>0</v>
      </c>
      <c r="BK10" t="s">
        <v>165</v>
      </c>
      <c r="BL10">
        <v>0</v>
      </c>
      <c r="BN10" t="s">
        <v>267</v>
      </c>
      <c r="BO10">
        <v>0</v>
      </c>
      <c r="BQ10" t="s">
        <v>268</v>
      </c>
      <c r="BR10">
        <v>0</v>
      </c>
      <c r="BT10" t="s">
        <v>165</v>
      </c>
      <c r="BU10">
        <v>0</v>
      </c>
      <c r="BW10" t="s">
        <v>165</v>
      </c>
      <c r="BX10">
        <v>0</v>
      </c>
      <c r="BZ10" t="s">
        <v>165</v>
      </c>
      <c r="CA10">
        <v>0</v>
      </c>
      <c r="CC10" t="s">
        <v>165</v>
      </c>
      <c r="CD10">
        <v>0</v>
      </c>
      <c r="CF10" t="s">
        <v>165</v>
      </c>
      <c r="CG10">
        <v>0</v>
      </c>
      <c r="CI10" t="s">
        <v>269</v>
      </c>
      <c r="CJ10">
        <v>0</v>
      </c>
      <c r="CL10" t="s">
        <v>165</v>
      </c>
      <c r="CM10">
        <v>0</v>
      </c>
      <c r="CO10" t="s">
        <v>270</v>
      </c>
      <c r="CP10">
        <v>0</v>
      </c>
      <c r="CR10" t="s">
        <v>165</v>
      </c>
      <c r="CS10">
        <v>0</v>
      </c>
      <c r="CU10" t="s">
        <v>165</v>
      </c>
      <c r="CV10">
        <v>0</v>
      </c>
      <c r="CX10" t="s">
        <v>165</v>
      </c>
      <c r="CY10">
        <v>0</v>
      </c>
      <c r="DA10" t="s">
        <v>151</v>
      </c>
      <c r="DB10">
        <v>0</v>
      </c>
      <c r="DD10" t="s">
        <v>165</v>
      </c>
      <c r="DE10">
        <v>0</v>
      </c>
      <c r="DG10" t="s">
        <v>165</v>
      </c>
      <c r="DH10">
        <v>0</v>
      </c>
      <c r="DJ10" t="s">
        <v>165</v>
      </c>
      <c r="DK10">
        <v>0</v>
      </c>
      <c r="DM10" t="s">
        <v>165</v>
      </c>
      <c r="DN10">
        <v>0</v>
      </c>
      <c r="DP10" t="s">
        <v>165</v>
      </c>
      <c r="DQ10">
        <v>0</v>
      </c>
      <c r="DS10" t="s">
        <v>152</v>
      </c>
      <c r="DT10">
        <v>0</v>
      </c>
      <c r="DV10" t="s">
        <v>165</v>
      </c>
      <c r="DW10">
        <v>0</v>
      </c>
      <c r="DY10" t="s">
        <v>163</v>
      </c>
      <c r="DZ10">
        <v>0</v>
      </c>
      <c r="EB10" t="s">
        <v>271</v>
      </c>
      <c r="EC10">
        <v>0</v>
      </c>
      <c r="EE10" t="s">
        <v>272</v>
      </c>
      <c r="EF10">
        <v>0</v>
      </c>
    </row>
    <row r="11" spans="1:137">
      <c r="A11">
        <v>10</v>
      </c>
      <c r="B11" s="2">
        <v>45721.765277777777</v>
      </c>
      <c r="C11" s="2">
        <v>45721.776388888888</v>
      </c>
      <c r="D11" t="s">
        <v>273</v>
      </c>
      <c r="E11" t="s">
        <v>274</v>
      </c>
      <c r="I11" t="s">
        <v>275</v>
      </c>
      <c r="J11">
        <v>0</v>
      </c>
      <c r="L11">
        <v>1014298952</v>
      </c>
      <c r="M11">
        <v>0</v>
      </c>
      <c r="O11" t="s">
        <v>140</v>
      </c>
      <c r="P11">
        <v>0</v>
      </c>
      <c r="R11">
        <v>3209190949</v>
      </c>
      <c r="S11">
        <v>0</v>
      </c>
      <c r="U11">
        <v>2024</v>
      </c>
      <c r="V11">
        <v>0</v>
      </c>
      <c r="X11" t="s">
        <v>141</v>
      </c>
      <c r="Y11">
        <v>0</v>
      </c>
      <c r="AA11" t="s">
        <v>159</v>
      </c>
      <c r="AB11">
        <v>0</v>
      </c>
      <c r="AD11" t="s">
        <v>276</v>
      </c>
      <c r="AE11">
        <v>0</v>
      </c>
      <c r="AG11" t="s">
        <v>144</v>
      </c>
      <c r="AH11">
        <v>0</v>
      </c>
      <c r="AJ11" t="s">
        <v>277</v>
      </c>
      <c r="AK11">
        <v>0</v>
      </c>
      <c r="AM11" t="s">
        <v>146</v>
      </c>
      <c r="AN11">
        <v>0</v>
      </c>
      <c r="AP11" t="s">
        <v>278</v>
      </c>
      <c r="AQ11">
        <v>0</v>
      </c>
      <c r="AS11" t="s">
        <v>146</v>
      </c>
      <c r="AT11">
        <v>0</v>
      </c>
      <c r="AV11" t="s">
        <v>148</v>
      </c>
      <c r="AW11">
        <v>0</v>
      </c>
      <c r="AY11" t="s">
        <v>146</v>
      </c>
      <c r="AZ11">
        <v>0</v>
      </c>
      <c r="BB11" t="s">
        <v>279</v>
      </c>
      <c r="BC11">
        <v>0</v>
      </c>
      <c r="BE11" t="s">
        <v>146</v>
      </c>
      <c r="BF11">
        <v>0</v>
      </c>
      <c r="BH11" t="s">
        <v>146</v>
      </c>
      <c r="BI11">
        <v>0</v>
      </c>
      <c r="BK11" t="s">
        <v>146</v>
      </c>
      <c r="BL11">
        <v>0</v>
      </c>
      <c r="BN11" t="s">
        <v>280</v>
      </c>
      <c r="BO11">
        <v>0</v>
      </c>
      <c r="BQ11" t="s">
        <v>281</v>
      </c>
      <c r="BR11">
        <v>0</v>
      </c>
      <c r="BT11" t="s">
        <v>165</v>
      </c>
      <c r="BU11">
        <v>0</v>
      </c>
      <c r="BW11" t="s">
        <v>165</v>
      </c>
      <c r="BX11">
        <v>0</v>
      </c>
      <c r="BZ11" t="s">
        <v>163</v>
      </c>
      <c r="CA11">
        <v>0</v>
      </c>
      <c r="CC11" t="s">
        <v>146</v>
      </c>
      <c r="CD11">
        <v>0</v>
      </c>
      <c r="CF11" t="s">
        <v>165</v>
      </c>
      <c r="CG11">
        <v>0</v>
      </c>
      <c r="CI11" t="s">
        <v>282</v>
      </c>
      <c r="CJ11">
        <v>0</v>
      </c>
      <c r="CL11" t="s">
        <v>165</v>
      </c>
      <c r="CM11">
        <v>0</v>
      </c>
      <c r="CO11" t="s">
        <v>283</v>
      </c>
      <c r="CP11">
        <v>0</v>
      </c>
      <c r="CR11" t="s">
        <v>163</v>
      </c>
      <c r="CS11">
        <v>0</v>
      </c>
      <c r="CU11" t="s">
        <v>165</v>
      </c>
      <c r="CV11">
        <v>0</v>
      </c>
      <c r="CX11" t="s">
        <v>163</v>
      </c>
      <c r="CY11">
        <v>0</v>
      </c>
      <c r="DA11" t="s">
        <v>151</v>
      </c>
      <c r="DB11">
        <v>0</v>
      </c>
      <c r="DD11" t="s">
        <v>165</v>
      </c>
      <c r="DE11">
        <v>0</v>
      </c>
      <c r="DG11" t="s">
        <v>216</v>
      </c>
      <c r="DH11">
        <v>0</v>
      </c>
      <c r="DJ11" t="s">
        <v>146</v>
      </c>
      <c r="DK11">
        <v>0</v>
      </c>
      <c r="DM11" t="s">
        <v>146</v>
      </c>
      <c r="DN11">
        <v>0</v>
      </c>
      <c r="DP11" t="s">
        <v>165</v>
      </c>
      <c r="DQ11">
        <v>0</v>
      </c>
      <c r="DS11" t="s">
        <v>284</v>
      </c>
      <c r="DT11">
        <v>0</v>
      </c>
      <c r="DV11" t="s">
        <v>165</v>
      </c>
      <c r="DW11">
        <v>0</v>
      </c>
      <c r="DY11" t="s">
        <v>163</v>
      </c>
      <c r="DZ11">
        <v>0</v>
      </c>
      <c r="EB11" t="s">
        <v>285</v>
      </c>
      <c r="EC11">
        <v>0</v>
      </c>
      <c r="EE11" t="s">
        <v>279</v>
      </c>
      <c r="EF11">
        <v>0</v>
      </c>
    </row>
    <row r="12" spans="1:137">
      <c r="A12">
        <v>11</v>
      </c>
      <c r="B12" s="2">
        <v>45721.76666666667</v>
      </c>
      <c r="C12" s="2">
        <v>45721.776388888888</v>
      </c>
      <c r="D12" t="s">
        <v>286</v>
      </c>
      <c r="E12" t="s">
        <v>287</v>
      </c>
      <c r="I12" t="s">
        <v>288</v>
      </c>
      <c r="J12">
        <v>0</v>
      </c>
      <c r="L12">
        <v>1022377565</v>
      </c>
      <c r="M12">
        <v>0</v>
      </c>
      <c r="O12" t="s">
        <v>157</v>
      </c>
      <c r="P12">
        <v>0</v>
      </c>
      <c r="R12">
        <v>3013997773</v>
      </c>
      <c r="S12">
        <v>0</v>
      </c>
      <c r="U12">
        <v>2024</v>
      </c>
      <c r="V12">
        <v>0</v>
      </c>
      <c r="X12" t="s">
        <v>141</v>
      </c>
      <c r="Y12">
        <v>0</v>
      </c>
      <c r="AA12" t="s">
        <v>142</v>
      </c>
      <c r="AB12">
        <v>0</v>
      </c>
      <c r="AD12" t="s">
        <v>289</v>
      </c>
      <c r="AE12">
        <v>0</v>
      </c>
      <c r="AG12" t="s">
        <v>148</v>
      </c>
      <c r="AH12">
        <v>0</v>
      </c>
      <c r="AJ12" t="s">
        <v>290</v>
      </c>
      <c r="AK12">
        <v>0</v>
      </c>
      <c r="AM12" t="s">
        <v>163</v>
      </c>
      <c r="AN12">
        <v>0</v>
      </c>
      <c r="AP12" t="s">
        <v>291</v>
      </c>
      <c r="AQ12">
        <v>0</v>
      </c>
      <c r="AS12" t="s">
        <v>163</v>
      </c>
      <c r="AT12">
        <v>0</v>
      </c>
      <c r="AV12" t="s">
        <v>209</v>
      </c>
      <c r="AW12">
        <v>0</v>
      </c>
      <c r="AY12" t="s">
        <v>165</v>
      </c>
      <c r="AZ12">
        <v>0</v>
      </c>
      <c r="BB12" t="s">
        <v>209</v>
      </c>
      <c r="BC12">
        <v>0</v>
      </c>
      <c r="BE12" t="s">
        <v>163</v>
      </c>
      <c r="BF12">
        <v>0</v>
      </c>
      <c r="BH12" t="s">
        <v>163</v>
      </c>
      <c r="BI12">
        <v>0</v>
      </c>
      <c r="BK12" t="s">
        <v>163</v>
      </c>
      <c r="BL12">
        <v>0</v>
      </c>
      <c r="BN12" t="s">
        <v>292</v>
      </c>
      <c r="BO12">
        <v>0</v>
      </c>
      <c r="BQ12" t="s">
        <v>293</v>
      </c>
      <c r="BR12">
        <v>0</v>
      </c>
      <c r="BT12" t="s">
        <v>216</v>
      </c>
      <c r="BU12">
        <v>0</v>
      </c>
      <c r="BW12" t="s">
        <v>163</v>
      </c>
      <c r="BX12">
        <v>0</v>
      </c>
      <c r="BZ12" t="s">
        <v>216</v>
      </c>
      <c r="CA12">
        <v>0</v>
      </c>
      <c r="CC12" t="s">
        <v>165</v>
      </c>
      <c r="CD12">
        <v>0</v>
      </c>
      <c r="CF12" t="s">
        <v>163</v>
      </c>
      <c r="CG12">
        <v>0</v>
      </c>
      <c r="CI12" t="s">
        <v>294</v>
      </c>
      <c r="CJ12">
        <v>0</v>
      </c>
      <c r="CL12" t="s">
        <v>165</v>
      </c>
      <c r="CM12">
        <v>0</v>
      </c>
      <c r="CO12" t="s">
        <v>295</v>
      </c>
      <c r="CP12">
        <v>0</v>
      </c>
      <c r="CR12" t="s">
        <v>216</v>
      </c>
      <c r="CS12">
        <v>0</v>
      </c>
      <c r="CU12" t="s">
        <v>163</v>
      </c>
      <c r="CV12">
        <v>0</v>
      </c>
      <c r="CX12" t="s">
        <v>216</v>
      </c>
      <c r="CY12">
        <v>0</v>
      </c>
      <c r="DA12" t="s">
        <v>185</v>
      </c>
      <c r="DB12">
        <v>0</v>
      </c>
      <c r="DD12" t="s">
        <v>165</v>
      </c>
      <c r="DE12">
        <v>0</v>
      </c>
      <c r="DG12" t="s">
        <v>163</v>
      </c>
      <c r="DH12">
        <v>0</v>
      </c>
      <c r="DJ12" t="s">
        <v>165</v>
      </c>
      <c r="DK12">
        <v>0</v>
      </c>
      <c r="DM12" t="s">
        <v>163</v>
      </c>
      <c r="DN12">
        <v>0</v>
      </c>
      <c r="DP12" t="s">
        <v>163</v>
      </c>
      <c r="DQ12">
        <v>0</v>
      </c>
      <c r="DS12" t="s">
        <v>296</v>
      </c>
      <c r="DT12">
        <v>0</v>
      </c>
      <c r="DV12" t="s">
        <v>163</v>
      </c>
      <c r="DW12">
        <v>0</v>
      </c>
      <c r="DY12" t="s">
        <v>163</v>
      </c>
      <c r="DZ12">
        <v>0</v>
      </c>
      <c r="EB12" t="s">
        <v>153</v>
      </c>
      <c r="EC12">
        <v>0</v>
      </c>
      <c r="EE12" t="s">
        <v>297</v>
      </c>
      <c r="EF12">
        <v>0</v>
      </c>
    </row>
    <row r="13" spans="1:137">
      <c r="A13">
        <v>12</v>
      </c>
      <c r="B13" s="2">
        <v>45721.765972222223</v>
      </c>
      <c r="C13" s="2">
        <v>45721.77847222222</v>
      </c>
      <c r="D13" t="s">
        <v>298</v>
      </c>
      <c r="E13" t="s">
        <v>299</v>
      </c>
      <c r="I13" t="s">
        <v>300</v>
      </c>
      <c r="J13">
        <v>0</v>
      </c>
      <c r="L13">
        <v>1030683963</v>
      </c>
      <c r="M13">
        <v>0</v>
      </c>
      <c r="O13" t="s">
        <v>140</v>
      </c>
      <c r="P13">
        <v>0</v>
      </c>
      <c r="R13">
        <v>3196297112</v>
      </c>
      <c r="S13">
        <v>0</v>
      </c>
      <c r="U13">
        <v>2024</v>
      </c>
      <c r="V13">
        <v>0</v>
      </c>
      <c r="X13" t="s">
        <v>141</v>
      </c>
      <c r="Y13">
        <v>0</v>
      </c>
      <c r="AA13" t="s">
        <v>142</v>
      </c>
      <c r="AB13">
        <v>0</v>
      </c>
      <c r="AD13" t="s">
        <v>301</v>
      </c>
      <c r="AE13">
        <v>0</v>
      </c>
      <c r="AG13" t="s">
        <v>144</v>
      </c>
      <c r="AH13">
        <v>0</v>
      </c>
      <c r="AJ13" t="s">
        <v>302</v>
      </c>
      <c r="AK13">
        <v>0</v>
      </c>
      <c r="AM13" t="s">
        <v>146</v>
      </c>
      <c r="AN13">
        <v>0</v>
      </c>
      <c r="AP13" t="s">
        <v>303</v>
      </c>
      <c r="AQ13">
        <v>0</v>
      </c>
      <c r="AS13" t="s">
        <v>165</v>
      </c>
      <c r="AT13">
        <v>0</v>
      </c>
      <c r="AV13" t="s">
        <v>304</v>
      </c>
      <c r="AW13">
        <v>0</v>
      </c>
      <c r="AY13" t="s">
        <v>216</v>
      </c>
      <c r="AZ13">
        <v>0</v>
      </c>
      <c r="BB13" t="s">
        <v>305</v>
      </c>
      <c r="BC13">
        <v>0</v>
      </c>
      <c r="BE13" t="s">
        <v>165</v>
      </c>
      <c r="BF13">
        <v>0</v>
      </c>
      <c r="BH13" t="s">
        <v>165</v>
      </c>
      <c r="BI13">
        <v>0</v>
      </c>
      <c r="BK13" t="s">
        <v>200</v>
      </c>
      <c r="BL13">
        <v>0</v>
      </c>
      <c r="BN13" t="s">
        <v>306</v>
      </c>
      <c r="BO13">
        <v>0</v>
      </c>
      <c r="BQ13" t="s">
        <v>307</v>
      </c>
      <c r="BR13">
        <v>0</v>
      </c>
      <c r="BT13" t="s">
        <v>163</v>
      </c>
      <c r="BU13">
        <v>0</v>
      </c>
      <c r="BW13" t="s">
        <v>165</v>
      </c>
      <c r="BX13">
        <v>0</v>
      </c>
      <c r="BZ13" t="s">
        <v>165</v>
      </c>
      <c r="CA13">
        <v>0</v>
      </c>
      <c r="CC13" t="s">
        <v>165</v>
      </c>
      <c r="CD13">
        <v>0</v>
      </c>
      <c r="CF13" t="s">
        <v>163</v>
      </c>
      <c r="CG13">
        <v>0</v>
      </c>
      <c r="CI13" t="s">
        <v>308</v>
      </c>
      <c r="CJ13">
        <v>0</v>
      </c>
      <c r="CL13" t="s">
        <v>165</v>
      </c>
      <c r="CM13">
        <v>0</v>
      </c>
      <c r="CO13" t="s">
        <v>309</v>
      </c>
      <c r="CP13">
        <v>0</v>
      </c>
      <c r="CR13" t="s">
        <v>165</v>
      </c>
      <c r="CS13">
        <v>0</v>
      </c>
      <c r="CU13" t="s">
        <v>165</v>
      </c>
      <c r="CV13">
        <v>0</v>
      </c>
      <c r="CX13" t="s">
        <v>163</v>
      </c>
      <c r="CY13">
        <v>0</v>
      </c>
      <c r="DA13" t="s">
        <v>151</v>
      </c>
      <c r="DB13">
        <v>0</v>
      </c>
      <c r="DD13" t="s">
        <v>146</v>
      </c>
      <c r="DE13">
        <v>0</v>
      </c>
      <c r="DG13" t="s">
        <v>163</v>
      </c>
      <c r="DH13">
        <v>0</v>
      </c>
      <c r="DJ13" t="s">
        <v>165</v>
      </c>
      <c r="DK13">
        <v>0</v>
      </c>
      <c r="DM13" t="s">
        <v>216</v>
      </c>
      <c r="DN13">
        <v>0</v>
      </c>
      <c r="DP13" t="s">
        <v>165</v>
      </c>
      <c r="DQ13">
        <v>0</v>
      </c>
      <c r="DS13" t="s">
        <v>296</v>
      </c>
      <c r="DT13">
        <v>0</v>
      </c>
      <c r="DV13" t="s">
        <v>165</v>
      </c>
      <c r="DW13">
        <v>0</v>
      </c>
      <c r="DY13" t="s">
        <v>216</v>
      </c>
      <c r="DZ13">
        <v>0</v>
      </c>
      <c r="EB13" t="s">
        <v>310</v>
      </c>
      <c r="EC13">
        <v>0</v>
      </c>
      <c r="EE13" t="s">
        <v>310</v>
      </c>
      <c r="EF13">
        <v>0</v>
      </c>
    </row>
    <row r="14" spans="1:137">
      <c r="A14">
        <v>13</v>
      </c>
      <c r="B14" s="2">
        <v>45721.765277777777</v>
      </c>
      <c r="C14" s="2">
        <v>45721.78125</v>
      </c>
      <c r="D14" t="s">
        <v>311</v>
      </c>
      <c r="E14" t="s">
        <v>312</v>
      </c>
      <c r="I14" t="s">
        <v>313</v>
      </c>
      <c r="J14">
        <v>0</v>
      </c>
      <c r="L14">
        <v>1007727225</v>
      </c>
      <c r="M14">
        <v>0</v>
      </c>
      <c r="O14" t="s">
        <v>140</v>
      </c>
      <c r="P14">
        <v>0</v>
      </c>
      <c r="R14">
        <v>3106296984</v>
      </c>
      <c r="S14">
        <v>0</v>
      </c>
      <c r="U14">
        <v>2024</v>
      </c>
      <c r="V14">
        <v>0</v>
      </c>
      <c r="X14" t="s">
        <v>141</v>
      </c>
      <c r="Y14">
        <v>0</v>
      </c>
      <c r="AA14" t="s">
        <v>142</v>
      </c>
      <c r="AB14">
        <v>0</v>
      </c>
      <c r="AD14" t="s">
        <v>314</v>
      </c>
      <c r="AE14">
        <v>0</v>
      </c>
      <c r="AG14" t="s">
        <v>144</v>
      </c>
      <c r="AH14">
        <v>0</v>
      </c>
      <c r="AJ14" t="s">
        <v>315</v>
      </c>
      <c r="AK14">
        <v>0</v>
      </c>
      <c r="AM14" t="s">
        <v>165</v>
      </c>
      <c r="AN14">
        <v>0</v>
      </c>
      <c r="AP14" t="s">
        <v>316</v>
      </c>
      <c r="AQ14">
        <v>0</v>
      </c>
      <c r="AS14" t="s">
        <v>165</v>
      </c>
      <c r="AT14">
        <v>0</v>
      </c>
      <c r="AV14" t="s">
        <v>317</v>
      </c>
      <c r="AW14">
        <v>0</v>
      </c>
      <c r="AY14" t="s">
        <v>165</v>
      </c>
      <c r="AZ14">
        <v>0</v>
      </c>
      <c r="BB14" t="s">
        <v>318</v>
      </c>
      <c r="BC14">
        <v>0</v>
      </c>
      <c r="BE14" t="s">
        <v>165</v>
      </c>
      <c r="BF14">
        <v>0</v>
      </c>
      <c r="BH14" t="s">
        <v>165</v>
      </c>
      <c r="BI14">
        <v>0</v>
      </c>
      <c r="BK14" t="s">
        <v>216</v>
      </c>
      <c r="BL14">
        <v>0</v>
      </c>
      <c r="BN14" t="s">
        <v>319</v>
      </c>
      <c r="BO14">
        <v>0</v>
      </c>
      <c r="BQ14" t="s">
        <v>320</v>
      </c>
      <c r="BR14">
        <v>0</v>
      </c>
      <c r="BT14" t="s">
        <v>165</v>
      </c>
      <c r="BU14">
        <v>0</v>
      </c>
      <c r="BW14" t="s">
        <v>165</v>
      </c>
      <c r="BX14">
        <v>0</v>
      </c>
      <c r="BZ14" t="s">
        <v>163</v>
      </c>
      <c r="CA14">
        <v>0</v>
      </c>
      <c r="CC14" t="s">
        <v>165</v>
      </c>
      <c r="CD14">
        <v>0</v>
      </c>
      <c r="CF14" t="s">
        <v>163</v>
      </c>
      <c r="CG14">
        <v>0</v>
      </c>
      <c r="CI14" t="s">
        <v>321</v>
      </c>
      <c r="CJ14">
        <v>0</v>
      </c>
      <c r="CL14" t="s">
        <v>165</v>
      </c>
      <c r="CM14">
        <v>0</v>
      </c>
      <c r="CO14" t="s">
        <v>322</v>
      </c>
      <c r="CP14">
        <v>0</v>
      </c>
      <c r="CR14" t="s">
        <v>165</v>
      </c>
      <c r="CS14">
        <v>0</v>
      </c>
      <c r="CU14" t="s">
        <v>165</v>
      </c>
      <c r="CV14">
        <v>0</v>
      </c>
      <c r="CX14" t="s">
        <v>146</v>
      </c>
      <c r="CY14">
        <v>0</v>
      </c>
      <c r="DA14" t="s">
        <v>151</v>
      </c>
      <c r="DB14">
        <v>0</v>
      </c>
      <c r="DD14" t="s">
        <v>146</v>
      </c>
      <c r="DE14">
        <v>0</v>
      </c>
      <c r="DG14" t="s">
        <v>163</v>
      </c>
      <c r="DH14">
        <v>0</v>
      </c>
      <c r="DJ14" t="s">
        <v>165</v>
      </c>
      <c r="DK14">
        <v>0</v>
      </c>
      <c r="DM14" t="s">
        <v>165</v>
      </c>
      <c r="DN14">
        <v>0</v>
      </c>
      <c r="DP14" t="s">
        <v>165</v>
      </c>
      <c r="DQ14">
        <v>0</v>
      </c>
      <c r="DS14" t="s">
        <v>201</v>
      </c>
      <c r="DT14">
        <v>0</v>
      </c>
      <c r="DV14" t="s">
        <v>146</v>
      </c>
      <c r="DW14">
        <v>0</v>
      </c>
      <c r="DY14" t="s">
        <v>163</v>
      </c>
      <c r="DZ14">
        <v>0</v>
      </c>
      <c r="EB14" t="s">
        <v>323</v>
      </c>
      <c r="EC14">
        <v>0</v>
      </c>
      <c r="EE14" t="s">
        <v>324</v>
      </c>
      <c r="EF14">
        <v>0</v>
      </c>
    </row>
    <row r="15" spans="1:137">
      <c r="A15">
        <v>14</v>
      </c>
      <c r="B15" s="2">
        <v>45721.775694444441</v>
      </c>
      <c r="C15" s="2">
        <v>45721.78125</v>
      </c>
      <c r="D15" t="s">
        <v>325</v>
      </c>
      <c r="E15" t="s">
        <v>326</v>
      </c>
      <c r="I15" t="s">
        <v>327</v>
      </c>
      <c r="J15">
        <v>0</v>
      </c>
      <c r="L15">
        <v>93377853</v>
      </c>
      <c r="M15">
        <v>0</v>
      </c>
      <c r="O15" t="s">
        <v>328</v>
      </c>
      <c r="P15">
        <v>0</v>
      </c>
      <c r="R15">
        <v>3168504783</v>
      </c>
      <c r="S15">
        <v>0</v>
      </c>
      <c r="U15">
        <v>2021</v>
      </c>
      <c r="V15">
        <v>0</v>
      </c>
      <c r="X15" t="s">
        <v>158</v>
      </c>
      <c r="Y15">
        <v>0</v>
      </c>
      <c r="AA15" t="s">
        <v>142</v>
      </c>
      <c r="AB15">
        <v>0</v>
      </c>
      <c r="AD15" t="s">
        <v>329</v>
      </c>
      <c r="AE15">
        <v>0</v>
      </c>
      <c r="AG15" t="s">
        <v>144</v>
      </c>
      <c r="AH15">
        <v>0</v>
      </c>
      <c r="AJ15" t="s">
        <v>330</v>
      </c>
      <c r="AK15">
        <v>0</v>
      </c>
      <c r="AM15" t="s">
        <v>163</v>
      </c>
      <c r="AN15">
        <v>0</v>
      </c>
      <c r="AP15" t="s">
        <v>331</v>
      </c>
      <c r="AQ15">
        <v>0</v>
      </c>
      <c r="AS15" t="s">
        <v>165</v>
      </c>
      <c r="AT15">
        <v>0</v>
      </c>
      <c r="AV15" t="s">
        <v>331</v>
      </c>
      <c r="AW15">
        <v>0</v>
      </c>
      <c r="AY15" t="s">
        <v>165</v>
      </c>
      <c r="AZ15">
        <v>0</v>
      </c>
      <c r="BB15" t="s">
        <v>331</v>
      </c>
      <c r="BC15">
        <v>0</v>
      </c>
      <c r="BE15" t="s">
        <v>165</v>
      </c>
      <c r="BF15">
        <v>0</v>
      </c>
      <c r="BH15" t="s">
        <v>165</v>
      </c>
      <c r="BI15">
        <v>0</v>
      </c>
      <c r="BK15" t="s">
        <v>165</v>
      </c>
      <c r="BL15">
        <v>0</v>
      </c>
      <c r="BN15" t="s">
        <v>331</v>
      </c>
      <c r="BO15">
        <v>0</v>
      </c>
      <c r="BQ15" t="s">
        <v>332</v>
      </c>
      <c r="BR15">
        <v>0</v>
      </c>
      <c r="BT15" t="s">
        <v>165</v>
      </c>
      <c r="BU15">
        <v>0</v>
      </c>
      <c r="BW15" t="s">
        <v>165</v>
      </c>
      <c r="BX15">
        <v>0</v>
      </c>
      <c r="BZ15" t="s">
        <v>163</v>
      </c>
      <c r="CA15">
        <v>0</v>
      </c>
      <c r="CC15" t="s">
        <v>163</v>
      </c>
      <c r="CD15">
        <v>0</v>
      </c>
      <c r="CF15" t="s">
        <v>163</v>
      </c>
      <c r="CG15">
        <v>0</v>
      </c>
      <c r="CI15" t="s">
        <v>331</v>
      </c>
      <c r="CJ15">
        <v>0</v>
      </c>
      <c r="CL15" t="s">
        <v>165</v>
      </c>
      <c r="CM15">
        <v>0</v>
      </c>
      <c r="CO15" t="s">
        <v>331</v>
      </c>
      <c r="CP15">
        <v>0</v>
      </c>
      <c r="CR15" t="s">
        <v>163</v>
      </c>
      <c r="CS15">
        <v>0</v>
      </c>
      <c r="CU15" t="s">
        <v>165</v>
      </c>
      <c r="CV15">
        <v>0</v>
      </c>
      <c r="CX15" t="s">
        <v>165</v>
      </c>
      <c r="CY15">
        <v>0</v>
      </c>
      <c r="DA15" t="s">
        <v>185</v>
      </c>
      <c r="DB15">
        <v>0</v>
      </c>
      <c r="DD15" t="s">
        <v>163</v>
      </c>
      <c r="DE15">
        <v>0</v>
      </c>
      <c r="DG15" t="s">
        <v>163</v>
      </c>
      <c r="DH15">
        <v>0</v>
      </c>
      <c r="DJ15" t="s">
        <v>165</v>
      </c>
      <c r="DK15">
        <v>0</v>
      </c>
      <c r="DM15" t="s">
        <v>216</v>
      </c>
      <c r="DN15">
        <v>0</v>
      </c>
      <c r="DP15" t="s">
        <v>165</v>
      </c>
      <c r="DQ15">
        <v>0</v>
      </c>
      <c r="DS15" t="s">
        <v>152</v>
      </c>
      <c r="DT15">
        <v>0</v>
      </c>
      <c r="DV15" t="s">
        <v>165</v>
      </c>
      <c r="DW15">
        <v>0</v>
      </c>
      <c r="DY15" t="s">
        <v>163</v>
      </c>
      <c r="DZ15">
        <v>0</v>
      </c>
      <c r="EB15" t="s">
        <v>333</v>
      </c>
      <c r="EC15">
        <v>0</v>
      </c>
      <c r="EE15" t="s">
        <v>331</v>
      </c>
      <c r="EF15">
        <v>0</v>
      </c>
    </row>
    <row r="16" spans="1:137">
      <c r="A16">
        <v>15</v>
      </c>
      <c r="B16" s="2">
        <v>45721.765277777777</v>
      </c>
      <c r="C16" s="2">
        <v>45721.781944444447</v>
      </c>
      <c r="D16" t="s">
        <v>334</v>
      </c>
      <c r="E16" t="s">
        <v>335</v>
      </c>
      <c r="I16" t="s">
        <v>336</v>
      </c>
      <c r="J16">
        <v>0</v>
      </c>
      <c r="L16">
        <v>1233492968</v>
      </c>
      <c r="M16">
        <v>0</v>
      </c>
      <c r="O16" t="s">
        <v>140</v>
      </c>
      <c r="P16">
        <v>0</v>
      </c>
      <c r="R16">
        <v>3228452205</v>
      </c>
      <c r="S16">
        <v>0</v>
      </c>
      <c r="U16">
        <v>2024</v>
      </c>
      <c r="V16">
        <v>0</v>
      </c>
      <c r="X16" t="s">
        <v>141</v>
      </c>
      <c r="Y16">
        <v>0</v>
      </c>
      <c r="AA16" t="s">
        <v>159</v>
      </c>
      <c r="AB16">
        <v>0</v>
      </c>
      <c r="AD16" t="s">
        <v>337</v>
      </c>
      <c r="AE16">
        <v>0</v>
      </c>
      <c r="AG16" t="s">
        <v>144</v>
      </c>
      <c r="AH16">
        <v>0</v>
      </c>
      <c r="AJ16" t="s">
        <v>338</v>
      </c>
      <c r="AK16">
        <v>0</v>
      </c>
      <c r="AM16" t="s">
        <v>146</v>
      </c>
      <c r="AN16">
        <v>0</v>
      </c>
      <c r="AP16" t="s">
        <v>339</v>
      </c>
      <c r="AQ16">
        <v>0</v>
      </c>
      <c r="AS16" t="s">
        <v>146</v>
      </c>
      <c r="AT16">
        <v>0</v>
      </c>
      <c r="AV16" t="s">
        <v>340</v>
      </c>
      <c r="AW16">
        <v>0</v>
      </c>
      <c r="AY16" t="s">
        <v>146</v>
      </c>
      <c r="AZ16">
        <v>0</v>
      </c>
      <c r="BB16" t="s">
        <v>341</v>
      </c>
      <c r="BC16">
        <v>0</v>
      </c>
      <c r="BE16" t="s">
        <v>165</v>
      </c>
      <c r="BF16">
        <v>0</v>
      </c>
      <c r="BH16" t="s">
        <v>146</v>
      </c>
      <c r="BI16">
        <v>0</v>
      </c>
      <c r="BK16" t="s">
        <v>163</v>
      </c>
      <c r="BL16">
        <v>0</v>
      </c>
      <c r="BN16" t="s">
        <v>342</v>
      </c>
      <c r="BO16">
        <v>0</v>
      </c>
      <c r="BQ16" t="s">
        <v>343</v>
      </c>
      <c r="BR16">
        <v>0</v>
      </c>
      <c r="BT16" t="s">
        <v>165</v>
      </c>
      <c r="BU16">
        <v>0</v>
      </c>
      <c r="BW16" t="s">
        <v>165</v>
      </c>
      <c r="BX16">
        <v>0</v>
      </c>
      <c r="BZ16" t="s">
        <v>165</v>
      </c>
      <c r="CA16">
        <v>0</v>
      </c>
      <c r="CC16" t="s">
        <v>165</v>
      </c>
      <c r="CD16">
        <v>0</v>
      </c>
      <c r="CF16" t="s">
        <v>146</v>
      </c>
      <c r="CG16">
        <v>0</v>
      </c>
      <c r="CI16" t="s">
        <v>344</v>
      </c>
      <c r="CJ16">
        <v>0</v>
      </c>
      <c r="CL16" t="s">
        <v>165</v>
      </c>
      <c r="CM16">
        <v>0</v>
      </c>
      <c r="CO16" t="s">
        <v>345</v>
      </c>
      <c r="CP16">
        <v>0</v>
      </c>
      <c r="CR16" t="s">
        <v>216</v>
      </c>
      <c r="CS16">
        <v>0</v>
      </c>
      <c r="CU16" t="s">
        <v>165</v>
      </c>
      <c r="CV16">
        <v>0</v>
      </c>
      <c r="CX16" t="s">
        <v>146</v>
      </c>
      <c r="CY16">
        <v>0</v>
      </c>
      <c r="DA16" t="s">
        <v>185</v>
      </c>
      <c r="DB16">
        <v>0</v>
      </c>
      <c r="DD16" t="s">
        <v>146</v>
      </c>
      <c r="DE16">
        <v>0</v>
      </c>
      <c r="DG16" t="s">
        <v>165</v>
      </c>
      <c r="DH16">
        <v>0</v>
      </c>
      <c r="DJ16" t="s">
        <v>165</v>
      </c>
      <c r="DK16">
        <v>0</v>
      </c>
      <c r="DM16" t="s">
        <v>146</v>
      </c>
      <c r="DN16">
        <v>0</v>
      </c>
      <c r="DP16" t="s">
        <v>146</v>
      </c>
      <c r="DQ16">
        <v>0</v>
      </c>
      <c r="DS16" t="s">
        <v>201</v>
      </c>
      <c r="DT16">
        <v>0</v>
      </c>
      <c r="DV16" t="s">
        <v>146</v>
      </c>
      <c r="DW16">
        <v>0</v>
      </c>
      <c r="DY16" t="s">
        <v>146</v>
      </c>
      <c r="DZ16">
        <v>0</v>
      </c>
      <c r="EB16" t="s">
        <v>346</v>
      </c>
      <c r="EC16">
        <v>0</v>
      </c>
      <c r="EE16" t="s">
        <v>347</v>
      </c>
      <c r="EF16">
        <v>0</v>
      </c>
    </row>
    <row r="17" spans="1:136">
      <c r="A17">
        <v>16</v>
      </c>
      <c r="B17" s="2">
        <v>45721.769444444442</v>
      </c>
      <c r="C17" s="2">
        <v>45721.783333333333</v>
      </c>
      <c r="D17" t="s">
        <v>348</v>
      </c>
      <c r="E17" t="s">
        <v>349</v>
      </c>
      <c r="I17" t="s">
        <v>350</v>
      </c>
      <c r="J17">
        <v>0</v>
      </c>
      <c r="L17">
        <v>1020814693</v>
      </c>
      <c r="M17">
        <v>0</v>
      </c>
      <c r="O17" t="s">
        <v>140</v>
      </c>
      <c r="P17">
        <v>0</v>
      </c>
      <c r="R17">
        <v>3012534405</v>
      </c>
      <c r="S17">
        <v>0</v>
      </c>
      <c r="U17">
        <v>2024</v>
      </c>
      <c r="V17">
        <v>0</v>
      </c>
      <c r="X17" t="s">
        <v>141</v>
      </c>
      <c r="Y17">
        <v>0</v>
      </c>
      <c r="AA17" t="s">
        <v>142</v>
      </c>
      <c r="AB17">
        <v>0</v>
      </c>
      <c r="AD17" t="s">
        <v>351</v>
      </c>
      <c r="AE17">
        <v>0</v>
      </c>
      <c r="AG17" t="s">
        <v>144</v>
      </c>
      <c r="AH17">
        <v>0</v>
      </c>
      <c r="AJ17" t="s">
        <v>352</v>
      </c>
      <c r="AK17">
        <v>0</v>
      </c>
      <c r="AM17" t="s">
        <v>146</v>
      </c>
      <c r="AN17">
        <v>0</v>
      </c>
      <c r="AP17" t="s">
        <v>353</v>
      </c>
      <c r="AQ17">
        <v>0</v>
      </c>
      <c r="AS17" t="s">
        <v>146</v>
      </c>
      <c r="AT17">
        <v>0</v>
      </c>
      <c r="AV17" t="s">
        <v>354</v>
      </c>
      <c r="AW17">
        <v>0</v>
      </c>
      <c r="AY17" t="s">
        <v>146</v>
      </c>
      <c r="AZ17">
        <v>0</v>
      </c>
      <c r="BB17" t="s">
        <v>355</v>
      </c>
      <c r="BC17">
        <v>0</v>
      </c>
      <c r="BE17" t="s">
        <v>146</v>
      </c>
      <c r="BF17">
        <v>0</v>
      </c>
      <c r="BH17" t="s">
        <v>146</v>
      </c>
      <c r="BI17">
        <v>0</v>
      </c>
      <c r="BK17" t="s">
        <v>146</v>
      </c>
      <c r="BL17">
        <v>0</v>
      </c>
      <c r="BN17" t="s">
        <v>356</v>
      </c>
      <c r="BO17">
        <v>0</v>
      </c>
      <c r="BQ17" t="s">
        <v>357</v>
      </c>
      <c r="BR17">
        <v>0</v>
      </c>
      <c r="BT17" t="s">
        <v>146</v>
      </c>
      <c r="BU17">
        <v>0</v>
      </c>
      <c r="BW17" t="s">
        <v>146</v>
      </c>
      <c r="BX17">
        <v>0</v>
      </c>
      <c r="BZ17" t="s">
        <v>146</v>
      </c>
      <c r="CA17">
        <v>0</v>
      </c>
      <c r="CC17" t="s">
        <v>146</v>
      </c>
      <c r="CD17">
        <v>0</v>
      </c>
      <c r="CF17" t="s">
        <v>163</v>
      </c>
      <c r="CG17">
        <v>0</v>
      </c>
      <c r="CI17" t="s">
        <v>358</v>
      </c>
      <c r="CJ17">
        <v>0</v>
      </c>
      <c r="CL17" t="s">
        <v>165</v>
      </c>
      <c r="CM17">
        <v>0</v>
      </c>
      <c r="CO17" t="s">
        <v>358</v>
      </c>
      <c r="CP17">
        <v>0</v>
      </c>
      <c r="CR17" t="s">
        <v>163</v>
      </c>
      <c r="CS17">
        <v>0</v>
      </c>
      <c r="CU17" t="s">
        <v>163</v>
      </c>
      <c r="CV17">
        <v>0</v>
      </c>
      <c r="CX17" t="s">
        <v>163</v>
      </c>
      <c r="CY17">
        <v>0</v>
      </c>
      <c r="DA17" t="s">
        <v>151</v>
      </c>
      <c r="DB17">
        <v>0</v>
      </c>
      <c r="DD17" t="s">
        <v>165</v>
      </c>
      <c r="DE17">
        <v>0</v>
      </c>
      <c r="DG17" t="s">
        <v>163</v>
      </c>
      <c r="DH17">
        <v>0</v>
      </c>
      <c r="DJ17" t="s">
        <v>163</v>
      </c>
      <c r="DK17">
        <v>0</v>
      </c>
      <c r="DM17" t="s">
        <v>163</v>
      </c>
      <c r="DN17">
        <v>0</v>
      </c>
      <c r="DP17" t="s">
        <v>146</v>
      </c>
      <c r="DQ17">
        <v>0</v>
      </c>
      <c r="DS17" t="s">
        <v>152</v>
      </c>
      <c r="DT17">
        <v>0</v>
      </c>
      <c r="DV17" t="s">
        <v>146</v>
      </c>
      <c r="DW17">
        <v>0</v>
      </c>
      <c r="DY17" t="s">
        <v>165</v>
      </c>
      <c r="DZ17">
        <v>0</v>
      </c>
      <c r="EB17" t="s">
        <v>359</v>
      </c>
      <c r="EC17">
        <v>0</v>
      </c>
      <c r="EE17" t="s">
        <v>360</v>
      </c>
      <c r="EF17">
        <v>0</v>
      </c>
    </row>
    <row r="18" spans="1:136">
      <c r="A18">
        <v>17</v>
      </c>
      <c r="B18" s="2">
        <v>45721.772222222222</v>
      </c>
      <c r="C18" s="2">
        <v>45721.783333333333</v>
      </c>
      <c r="D18" t="s">
        <v>361</v>
      </c>
      <c r="E18" t="s">
        <v>362</v>
      </c>
      <c r="I18" t="s">
        <v>363</v>
      </c>
      <c r="J18">
        <v>0</v>
      </c>
      <c r="L18">
        <v>1018489941</v>
      </c>
      <c r="M18">
        <v>0</v>
      </c>
      <c r="O18" t="s">
        <v>140</v>
      </c>
      <c r="P18">
        <v>0</v>
      </c>
      <c r="R18">
        <v>3142873963</v>
      </c>
      <c r="S18">
        <v>0</v>
      </c>
      <c r="U18">
        <v>2024</v>
      </c>
      <c r="V18">
        <v>0</v>
      </c>
      <c r="X18" t="s">
        <v>158</v>
      </c>
      <c r="Y18">
        <v>0</v>
      </c>
      <c r="AA18" t="s">
        <v>159</v>
      </c>
      <c r="AB18">
        <v>0</v>
      </c>
      <c r="AD18" t="s">
        <v>364</v>
      </c>
      <c r="AE18">
        <v>0</v>
      </c>
      <c r="AG18" t="s">
        <v>144</v>
      </c>
      <c r="AH18">
        <v>0</v>
      </c>
      <c r="AJ18" t="s">
        <v>365</v>
      </c>
      <c r="AK18">
        <v>0</v>
      </c>
      <c r="AM18" t="s">
        <v>163</v>
      </c>
      <c r="AN18">
        <v>0</v>
      </c>
      <c r="AP18" t="s">
        <v>331</v>
      </c>
      <c r="AQ18">
        <v>0</v>
      </c>
      <c r="AS18" t="s">
        <v>163</v>
      </c>
      <c r="AT18">
        <v>0</v>
      </c>
      <c r="AV18" t="s">
        <v>366</v>
      </c>
      <c r="AW18">
        <v>0</v>
      </c>
      <c r="AY18" t="s">
        <v>163</v>
      </c>
      <c r="AZ18">
        <v>0</v>
      </c>
      <c r="BB18" t="s">
        <v>367</v>
      </c>
      <c r="BC18">
        <v>0</v>
      </c>
      <c r="BE18" t="s">
        <v>146</v>
      </c>
      <c r="BF18">
        <v>0</v>
      </c>
      <c r="BH18" t="s">
        <v>165</v>
      </c>
      <c r="BI18">
        <v>0</v>
      </c>
      <c r="BK18" t="s">
        <v>146</v>
      </c>
      <c r="BL18">
        <v>0</v>
      </c>
      <c r="BN18" t="s">
        <v>331</v>
      </c>
      <c r="BO18">
        <v>0</v>
      </c>
      <c r="BQ18" t="s">
        <v>368</v>
      </c>
      <c r="BR18">
        <v>0</v>
      </c>
      <c r="BT18" t="s">
        <v>146</v>
      </c>
      <c r="BU18">
        <v>0</v>
      </c>
      <c r="BW18" t="s">
        <v>165</v>
      </c>
      <c r="BX18">
        <v>0</v>
      </c>
      <c r="BZ18" t="s">
        <v>165</v>
      </c>
      <c r="CA18">
        <v>0</v>
      </c>
      <c r="CC18" t="s">
        <v>146</v>
      </c>
      <c r="CD18">
        <v>0</v>
      </c>
      <c r="CF18" t="s">
        <v>163</v>
      </c>
      <c r="CG18">
        <v>0</v>
      </c>
      <c r="CI18" t="s">
        <v>331</v>
      </c>
      <c r="CJ18">
        <v>0</v>
      </c>
      <c r="CL18" t="s">
        <v>165</v>
      </c>
      <c r="CM18">
        <v>0</v>
      </c>
      <c r="CO18" t="s">
        <v>369</v>
      </c>
      <c r="CP18">
        <v>0</v>
      </c>
      <c r="CR18" t="s">
        <v>163</v>
      </c>
      <c r="CS18">
        <v>0</v>
      </c>
      <c r="CU18" t="s">
        <v>165</v>
      </c>
      <c r="CV18">
        <v>0</v>
      </c>
      <c r="CX18" t="s">
        <v>165</v>
      </c>
      <c r="CY18">
        <v>0</v>
      </c>
      <c r="DA18" t="s">
        <v>185</v>
      </c>
      <c r="DB18">
        <v>0</v>
      </c>
      <c r="DD18" t="s">
        <v>165</v>
      </c>
      <c r="DE18">
        <v>0</v>
      </c>
      <c r="DG18" t="s">
        <v>165</v>
      </c>
      <c r="DH18">
        <v>0</v>
      </c>
      <c r="DJ18" t="s">
        <v>165</v>
      </c>
      <c r="DK18">
        <v>0</v>
      </c>
      <c r="DM18" t="s">
        <v>165</v>
      </c>
      <c r="DN18">
        <v>0</v>
      </c>
      <c r="DP18" t="s">
        <v>146</v>
      </c>
      <c r="DQ18">
        <v>0</v>
      </c>
      <c r="DS18" t="s">
        <v>152</v>
      </c>
      <c r="DT18">
        <v>0</v>
      </c>
      <c r="DV18" t="s">
        <v>146</v>
      </c>
      <c r="DW18">
        <v>0</v>
      </c>
      <c r="DY18" t="s">
        <v>165</v>
      </c>
      <c r="DZ18">
        <v>0</v>
      </c>
      <c r="EB18" t="s">
        <v>370</v>
      </c>
      <c r="EC18">
        <v>0</v>
      </c>
      <c r="EE18" t="s">
        <v>331</v>
      </c>
      <c r="EF18">
        <v>0</v>
      </c>
    </row>
    <row r="19" spans="1:136">
      <c r="A19">
        <v>18</v>
      </c>
      <c r="B19" s="2">
        <v>45721.770138888889</v>
      </c>
      <c r="C19" s="2">
        <v>45721.786111111112</v>
      </c>
      <c r="D19" t="s">
        <v>371</v>
      </c>
      <c r="E19" t="s">
        <v>372</v>
      </c>
      <c r="I19" t="s">
        <v>373</v>
      </c>
      <c r="J19">
        <v>0</v>
      </c>
      <c r="L19">
        <v>1000857931</v>
      </c>
      <c r="M19">
        <v>0</v>
      </c>
      <c r="O19" t="s">
        <v>140</v>
      </c>
      <c r="P19">
        <v>0</v>
      </c>
      <c r="R19">
        <v>3124440418</v>
      </c>
      <c r="S19">
        <v>0</v>
      </c>
      <c r="U19">
        <v>2024</v>
      </c>
      <c r="V19">
        <v>0</v>
      </c>
      <c r="X19" t="s">
        <v>158</v>
      </c>
      <c r="Y19">
        <v>0</v>
      </c>
      <c r="AA19" t="s">
        <v>142</v>
      </c>
      <c r="AB19">
        <v>0</v>
      </c>
      <c r="AD19" t="s">
        <v>374</v>
      </c>
      <c r="AE19">
        <v>0</v>
      </c>
      <c r="AG19" t="s">
        <v>148</v>
      </c>
      <c r="AH19">
        <v>0</v>
      </c>
      <c r="AJ19" t="s">
        <v>375</v>
      </c>
      <c r="AK19">
        <v>0</v>
      </c>
      <c r="AM19" t="s">
        <v>165</v>
      </c>
      <c r="AN19">
        <v>0</v>
      </c>
      <c r="AP19" t="s">
        <v>376</v>
      </c>
      <c r="AQ19">
        <v>0</v>
      </c>
      <c r="AS19" t="s">
        <v>146</v>
      </c>
      <c r="AT19">
        <v>0</v>
      </c>
      <c r="AV19" t="s">
        <v>209</v>
      </c>
      <c r="AW19">
        <v>0</v>
      </c>
      <c r="AY19" t="s">
        <v>146</v>
      </c>
      <c r="AZ19">
        <v>0</v>
      </c>
      <c r="BB19" t="s">
        <v>377</v>
      </c>
      <c r="BC19">
        <v>0</v>
      </c>
      <c r="BE19" t="s">
        <v>165</v>
      </c>
      <c r="BF19">
        <v>0</v>
      </c>
      <c r="BH19" t="s">
        <v>165</v>
      </c>
      <c r="BI19">
        <v>0</v>
      </c>
      <c r="BK19" t="s">
        <v>163</v>
      </c>
      <c r="BL19">
        <v>0</v>
      </c>
      <c r="BN19" t="s">
        <v>378</v>
      </c>
      <c r="BO19">
        <v>0</v>
      </c>
      <c r="BQ19" t="s">
        <v>379</v>
      </c>
      <c r="BR19">
        <v>0</v>
      </c>
      <c r="BT19" t="s">
        <v>165</v>
      </c>
      <c r="BU19">
        <v>0</v>
      </c>
      <c r="BW19" t="s">
        <v>165</v>
      </c>
      <c r="BX19">
        <v>0</v>
      </c>
      <c r="BZ19" t="s">
        <v>163</v>
      </c>
      <c r="CA19">
        <v>0</v>
      </c>
      <c r="CC19" t="s">
        <v>165</v>
      </c>
      <c r="CD19">
        <v>0</v>
      </c>
      <c r="CF19" t="s">
        <v>163</v>
      </c>
      <c r="CG19">
        <v>0</v>
      </c>
      <c r="CI19" t="s">
        <v>380</v>
      </c>
      <c r="CJ19">
        <v>0</v>
      </c>
      <c r="CL19" t="s">
        <v>165</v>
      </c>
      <c r="CM19">
        <v>0</v>
      </c>
      <c r="CO19" t="s">
        <v>381</v>
      </c>
      <c r="CP19">
        <v>0</v>
      </c>
      <c r="CR19" t="s">
        <v>165</v>
      </c>
      <c r="CS19">
        <v>0</v>
      </c>
      <c r="CU19" t="s">
        <v>165</v>
      </c>
      <c r="CV19">
        <v>0</v>
      </c>
      <c r="CX19" t="s">
        <v>165</v>
      </c>
      <c r="CY19">
        <v>0</v>
      </c>
      <c r="DA19" t="s">
        <v>185</v>
      </c>
      <c r="DB19">
        <v>0</v>
      </c>
      <c r="DD19" t="s">
        <v>165</v>
      </c>
      <c r="DE19">
        <v>0</v>
      </c>
      <c r="DG19" t="s">
        <v>165</v>
      </c>
      <c r="DH19">
        <v>0</v>
      </c>
      <c r="DJ19" t="s">
        <v>165</v>
      </c>
      <c r="DK19">
        <v>0</v>
      </c>
      <c r="DM19" t="s">
        <v>165</v>
      </c>
      <c r="DN19">
        <v>0</v>
      </c>
      <c r="DP19" t="s">
        <v>165</v>
      </c>
      <c r="DQ19">
        <v>0</v>
      </c>
      <c r="DS19" t="s">
        <v>152</v>
      </c>
      <c r="DT19">
        <v>0</v>
      </c>
      <c r="DV19" t="s">
        <v>163</v>
      </c>
      <c r="DW19">
        <v>0</v>
      </c>
      <c r="DY19" t="s">
        <v>163</v>
      </c>
      <c r="DZ19">
        <v>0</v>
      </c>
      <c r="EB19" t="s">
        <v>382</v>
      </c>
      <c r="EC19">
        <v>0</v>
      </c>
      <c r="EE19" t="s">
        <v>383</v>
      </c>
      <c r="EF19">
        <v>0</v>
      </c>
    </row>
    <row r="20" spans="1:136">
      <c r="A20">
        <v>19</v>
      </c>
      <c r="B20" s="2">
        <v>45721.779166666667</v>
      </c>
      <c r="C20" s="2">
        <v>45721.789583333331</v>
      </c>
      <c r="D20" t="s">
        <v>384</v>
      </c>
      <c r="E20" t="s">
        <v>385</v>
      </c>
      <c r="I20" t="s">
        <v>386</v>
      </c>
      <c r="J20">
        <v>0</v>
      </c>
      <c r="L20">
        <v>1012432946</v>
      </c>
      <c r="M20">
        <v>0</v>
      </c>
      <c r="O20" t="s">
        <v>140</v>
      </c>
      <c r="P20">
        <v>0</v>
      </c>
      <c r="R20">
        <v>3506091180</v>
      </c>
      <c r="S20">
        <v>0</v>
      </c>
      <c r="U20">
        <v>2024</v>
      </c>
      <c r="V20">
        <v>0</v>
      </c>
      <c r="X20" t="s">
        <v>158</v>
      </c>
      <c r="Y20">
        <v>0</v>
      </c>
      <c r="AA20" t="s">
        <v>142</v>
      </c>
      <c r="AB20">
        <v>0</v>
      </c>
      <c r="AD20" t="s">
        <v>387</v>
      </c>
      <c r="AE20">
        <v>0</v>
      </c>
      <c r="AG20" t="s">
        <v>148</v>
      </c>
      <c r="AH20">
        <v>0</v>
      </c>
      <c r="AJ20" t="s">
        <v>388</v>
      </c>
      <c r="AK20">
        <v>0</v>
      </c>
      <c r="AM20" t="s">
        <v>165</v>
      </c>
      <c r="AN20">
        <v>0</v>
      </c>
      <c r="AP20" t="s">
        <v>389</v>
      </c>
      <c r="AQ20">
        <v>0</v>
      </c>
      <c r="AS20" t="s">
        <v>200</v>
      </c>
      <c r="AT20">
        <v>0</v>
      </c>
      <c r="AV20" t="s">
        <v>390</v>
      </c>
      <c r="AW20">
        <v>0</v>
      </c>
      <c r="AY20" t="s">
        <v>216</v>
      </c>
      <c r="AZ20">
        <v>0</v>
      </c>
      <c r="BB20" t="s">
        <v>391</v>
      </c>
      <c r="BC20">
        <v>0</v>
      </c>
      <c r="BE20" t="s">
        <v>165</v>
      </c>
      <c r="BF20">
        <v>0</v>
      </c>
      <c r="BH20" t="s">
        <v>165</v>
      </c>
      <c r="BI20">
        <v>0</v>
      </c>
      <c r="BK20" t="s">
        <v>165</v>
      </c>
      <c r="BL20">
        <v>0</v>
      </c>
      <c r="BN20" t="s">
        <v>392</v>
      </c>
      <c r="BO20">
        <v>0</v>
      </c>
      <c r="BQ20" t="s">
        <v>393</v>
      </c>
      <c r="BR20">
        <v>0</v>
      </c>
      <c r="BT20" t="s">
        <v>165</v>
      </c>
      <c r="BU20">
        <v>0</v>
      </c>
      <c r="BW20" t="s">
        <v>165</v>
      </c>
      <c r="BX20">
        <v>0</v>
      </c>
      <c r="BZ20" t="s">
        <v>165</v>
      </c>
      <c r="CA20">
        <v>0</v>
      </c>
      <c r="CC20" t="s">
        <v>165</v>
      </c>
      <c r="CD20">
        <v>0</v>
      </c>
      <c r="CF20" t="s">
        <v>163</v>
      </c>
      <c r="CG20">
        <v>0</v>
      </c>
      <c r="CI20" t="s">
        <v>148</v>
      </c>
      <c r="CJ20">
        <v>0</v>
      </c>
      <c r="CL20" t="s">
        <v>165</v>
      </c>
      <c r="CM20">
        <v>0</v>
      </c>
      <c r="CO20" t="s">
        <v>394</v>
      </c>
      <c r="CP20">
        <v>0</v>
      </c>
      <c r="CR20" t="s">
        <v>163</v>
      </c>
      <c r="CS20">
        <v>0</v>
      </c>
      <c r="CU20" t="s">
        <v>165</v>
      </c>
      <c r="CV20">
        <v>0</v>
      </c>
      <c r="CX20" t="s">
        <v>165</v>
      </c>
      <c r="CY20">
        <v>0</v>
      </c>
      <c r="DA20" t="s">
        <v>215</v>
      </c>
      <c r="DB20">
        <v>0</v>
      </c>
      <c r="DD20" t="s">
        <v>165</v>
      </c>
      <c r="DE20">
        <v>0</v>
      </c>
      <c r="DG20" t="s">
        <v>163</v>
      </c>
      <c r="DH20">
        <v>0</v>
      </c>
      <c r="DJ20" t="s">
        <v>165</v>
      </c>
      <c r="DK20">
        <v>0</v>
      </c>
      <c r="DM20" t="s">
        <v>165</v>
      </c>
      <c r="DN20">
        <v>0</v>
      </c>
      <c r="DP20" t="s">
        <v>165</v>
      </c>
      <c r="DQ20">
        <v>0</v>
      </c>
      <c r="DS20" t="s">
        <v>152</v>
      </c>
      <c r="DT20">
        <v>0</v>
      </c>
      <c r="DV20" t="s">
        <v>165</v>
      </c>
      <c r="DW20">
        <v>0</v>
      </c>
      <c r="DY20" t="s">
        <v>163</v>
      </c>
      <c r="DZ20">
        <v>0</v>
      </c>
      <c r="EB20" t="s">
        <v>395</v>
      </c>
      <c r="EC20">
        <v>0</v>
      </c>
      <c r="EE20" t="s">
        <v>396</v>
      </c>
      <c r="EF20">
        <v>0</v>
      </c>
    </row>
    <row r="21" spans="1:136">
      <c r="A21">
        <v>20</v>
      </c>
      <c r="B21" s="2">
        <v>45721.780555555553</v>
      </c>
      <c r="C21" s="2">
        <v>45721.803472222222</v>
      </c>
      <c r="D21" t="s">
        <v>397</v>
      </c>
      <c r="E21" t="s">
        <v>398</v>
      </c>
      <c r="I21" t="s">
        <v>399</v>
      </c>
      <c r="J21">
        <v>0</v>
      </c>
      <c r="L21">
        <v>1030661057</v>
      </c>
      <c r="M21">
        <v>0</v>
      </c>
      <c r="O21" t="s">
        <v>140</v>
      </c>
      <c r="P21">
        <v>0</v>
      </c>
      <c r="R21">
        <v>3224302659</v>
      </c>
      <c r="S21">
        <v>0</v>
      </c>
      <c r="U21">
        <v>2024</v>
      </c>
      <c r="V21">
        <v>0</v>
      </c>
      <c r="X21" t="s">
        <v>158</v>
      </c>
      <c r="Y21">
        <v>0</v>
      </c>
      <c r="AA21" t="s">
        <v>142</v>
      </c>
      <c r="AB21">
        <v>0</v>
      </c>
      <c r="AD21" t="s">
        <v>400</v>
      </c>
      <c r="AE21">
        <v>0</v>
      </c>
      <c r="AG21" t="s">
        <v>144</v>
      </c>
      <c r="AH21">
        <v>0</v>
      </c>
      <c r="AJ21" t="s">
        <v>401</v>
      </c>
      <c r="AK21">
        <v>0</v>
      </c>
      <c r="AM21" t="s">
        <v>146</v>
      </c>
      <c r="AN21">
        <v>0</v>
      </c>
      <c r="AP21" t="s">
        <v>402</v>
      </c>
      <c r="AQ21">
        <v>0</v>
      </c>
      <c r="AS21" t="s">
        <v>165</v>
      </c>
      <c r="AT21">
        <v>0</v>
      </c>
      <c r="AV21" t="s">
        <v>265</v>
      </c>
      <c r="AW21">
        <v>0</v>
      </c>
      <c r="AY21" t="s">
        <v>165</v>
      </c>
      <c r="AZ21">
        <v>0</v>
      </c>
      <c r="BB21" t="s">
        <v>403</v>
      </c>
      <c r="BC21">
        <v>0</v>
      </c>
      <c r="BE21" t="s">
        <v>165</v>
      </c>
      <c r="BF21">
        <v>0</v>
      </c>
      <c r="BH21" t="s">
        <v>165</v>
      </c>
      <c r="BI21">
        <v>0</v>
      </c>
      <c r="BK21" t="s">
        <v>163</v>
      </c>
      <c r="BL21">
        <v>0</v>
      </c>
      <c r="BN21" t="s">
        <v>404</v>
      </c>
      <c r="BO21">
        <v>0</v>
      </c>
      <c r="BQ21" t="s">
        <v>405</v>
      </c>
      <c r="BR21">
        <v>0</v>
      </c>
      <c r="BT21" t="s">
        <v>163</v>
      </c>
      <c r="BU21">
        <v>0</v>
      </c>
      <c r="BW21" t="s">
        <v>146</v>
      </c>
      <c r="BX21">
        <v>0</v>
      </c>
      <c r="BZ21" t="s">
        <v>163</v>
      </c>
      <c r="CA21">
        <v>0</v>
      </c>
      <c r="CC21" t="s">
        <v>165</v>
      </c>
      <c r="CD21">
        <v>0</v>
      </c>
      <c r="CF21" t="s">
        <v>163</v>
      </c>
      <c r="CG21">
        <v>0</v>
      </c>
      <c r="CI21" t="s">
        <v>148</v>
      </c>
      <c r="CJ21">
        <v>0</v>
      </c>
      <c r="CL21" t="s">
        <v>165</v>
      </c>
      <c r="CM21">
        <v>0</v>
      </c>
      <c r="CO21" t="s">
        <v>406</v>
      </c>
      <c r="CP21">
        <v>0</v>
      </c>
      <c r="CR21" t="s">
        <v>163</v>
      </c>
      <c r="CS21">
        <v>0</v>
      </c>
      <c r="CU21" t="s">
        <v>165</v>
      </c>
      <c r="CV21">
        <v>0</v>
      </c>
      <c r="CX21" t="s">
        <v>165</v>
      </c>
      <c r="CY21">
        <v>0</v>
      </c>
      <c r="DA21" t="s">
        <v>215</v>
      </c>
      <c r="DB21">
        <v>0</v>
      </c>
      <c r="DD21" t="s">
        <v>165</v>
      </c>
      <c r="DE21">
        <v>0</v>
      </c>
      <c r="DG21" t="s">
        <v>163</v>
      </c>
      <c r="DH21">
        <v>0</v>
      </c>
      <c r="DJ21" t="s">
        <v>165</v>
      </c>
      <c r="DK21">
        <v>0</v>
      </c>
      <c r="DM21" t="s">
        <v>165</v>
      </c>
      <c r="DN21">
        <v>0</v>
      </c>
      <c r="DP21" t="s">
        <v>165</v>
      </c>
      <c r="DQ21">
        <v>0</v>
      </c>
      <c r="DS21" t="s">
        <v>201</v>
      </c>
      <c r="DT21">
        <v>0</v>
      </c>
      <c r="DV21" t="s">
        <v>146</v>
      </c>
      <c r="DW21">
        <v>0</v>
      </c>
      <c r="DY21" t="s">
        <v>163</v>
      </c>
      <c r="DZ21">
        <v>0</v>
      </c>
      <c r="EB21" t="s">
        <v>407</v>
      </c>
      <c r="EC21">
        <v>0</v>
      </c>
      <c r="EE21" t="s">
        <v>408</v>
      </c>
      <c r="EF21">
        <v>0</v>
      </c>
    </row>
    <row r="22" spans="1:136">
      <c r="A22">
        <v>21</v>
      </c>
      <c r="B22" s="2">
        <v>45722.442361111112</v>
      </c>
      <c r="C22" s="2">
        <v>45722.455555555556</v>
      </c>
      <c r="D22" t="s">
        <v>409</v>
      </c>
      <c r="E22" t="s">
        <v>410</v>
      </c>
      <c r="I22" t="s">
        <v>411</v>
      </c>
      <c r="J22">
        <v>0</v>
      </c>
      <c r="L22">
        <v>1019010283</v>
      </c>
      <c r="M22">
        <v>0</v>
      </c>
      <c r="O22" t="s">
        <v>157</v>
      </c>
      <c r="P22">
        <v>0</v>
      </c>
      <c r="R22">
        <v>3245897006</v>
      </c>
      <c r="S22">
        <v>0</v>
      </c>
      <c r="U22">
        <v>2016</v>
      </c>
      <c r="V22">
        <v>0</v>
      </c>
      <c r="X22" t="s">
        <v>412</v>
      </c>
      <c r="Y22">
        <v>0</v>
      </c>
      <c r="AA22" t="s">
        <v>142</v>
      </c>
      <c r="AB22">
        <v>0</v>
      </c>
      <c r="AD22" t="s">
        <v>413</v>
      </c>
      <c r="AE22">
        <v>0</v>
      </c>
      <c r="AG22" t="s">
        <v>144</v>
      </c>
      <c r="AH22">
        <v>0</v>
      </c>
      <c r="AJ22" t="s">
        <v>414</v>
      </c>
      <c r="AK22">
        <v>0</v>
      </c>
      <c r="AM22" t="s">
        <v>146</v>
      </c>
      <c r="AN22">
        <v>0</v>
      </c>
      <c r="AP22" t="s">
        <v>415</v>
      </c>
      <c r="AQ22">
        <v>0</v>
      </c>
      <c r="AS22" t="s">
        <v>165</v>
      </c>
      <c r="AT22">
        <v>0</v>
      </c>
      <c r="AV22" t="s">
        <v>148</v>
      </c>
      <c r="AW22">
        <v>0</v>
      </c>
      <c r="AY22" t="s">
        <v>163</v>
      </c>
      <c r="AZ22">
        <v>0</v>
      </c>
      <c r="BB22" t="s">
        <v>416</v>
      </c>
      <c r="BC22">
        <v>0</v>
      </c>
      <c r="BE22" t="s">
        <v>146</v>
      </c>
      <c r="BF22">
        <v>0</v>
      </c>
      <c r="BH22" t="s">
        <v>146</v>
      </c>
      <c r="BI22">
        <v>0</v>
      </c>
      <c r="BK22" t="s">
        <v>146</v>
      </c>
      <c r="BL22">
        <v>0</v>
      </c>
      <c r="BN22" t="s">
        <v>417</v>
      </c>
      <c r="BO22">
        <v>0</v>
      </c>
      <c r="BQ22" t="s">
        <v>418</v>
      </c>
      <c r="BR22">
        <v>0</v>
      </c>
      <c r="BT22" t="s">
        <v>146</v>
      </c>
      <c r="BU22">
        <v>0</v>
      </c>
      <c r="BW22" t="s">
        <v>146</v>
      </c>
      <c r="BX22">
        <v>0</v>
      </c>
      <c r="BZ22" t="s">
        <v>165</v>
      </c>
      <c r="CA22">
        <v>0</v>
      </c>
      <c r="CC22" t="s">
        <v>163</v>
      </c>
      <c r="CD22">
        <v>0</v>
      </c>
      <c r="CF22" t="s">
        <v>163</v>
      </c>
      <c r="CG22">
        <v>0</v>
      </c>
      <c r="CI22" t="s">
        <v>148</v>
      </c>
      <c r="CJ22">
        <v>0</v>
      </c>
      <c r="CL22" t="s">
        <v>146</v>
      </c>
      <c r="CM22">
        <v>0</v>
      </c>
      <c r="CO22" t="s">
        <v>148</v>
      </c>
      <c r="CP22">
        <v>0</v>
      </c>
      <c r="CR22" t="s">
        <v>165</v>
      </c>
      <c r="CS22">
        <v>0</v>
      </c>
      <c r="CU22" t="s">
        <v>165</v>
      </c>
      <c r="CV22">
        <v>0</v>
      </c>
      <c r="CX22" t="s">
        <v>165</v>
      </c>
      <c r="CY22">
        <v>0</v>
      </c>
      <c r="DA22" t="s">
        <v>151</v>
      </c>
      <c r="DB22">
        <v>0</v>
      </c>
      <c r="DD22" t="s">
        <v>146</v>
      </c>
      <c r="DE22">
        <v>0</v>
      </c>
      <c r="DG22" t="s">
        <v>163</v>
      </c>
      <c r="DH22">
        <v>0</v>
      </c>
      <c r="DJ22" t="s">
        <v>165</v>
      </c>
      <c r="DK22">
        <v>0</v>
      </c>
      <c r="DM22" t="s">
        <v>165</v>
      </c>
      <c r="DN22">
        <v>0</v>
      </c>
      <c r="DP22" t="s">
        <v>165</v>
      </c>
      <c r="DQ22">
        <v>0</v>
      </c>
      <c r="DS22" t="s">
        <v>244</v>
      </c>
      <c r="DT22">
        <v>0</v>
      </c>
      <c r="DV22" t="s">
        <v>146</v>
      </c>
      <c r="DW22">
        <v>0</v>
      </c>
      <c r="DY22" t="s">
        <v>146</v>
      </c>
      <c r="DZ22">
        <v>0</v>
      </c>
      <c r="EB22" t="s">
        <v>419</v>
      </c>
      <c r="EC22">
        <v>0</v>
      </c>
      <c r="EE22" t="s">
        <v>420</v>
      </c>
      <c r="EF22">
        <v>0</v>
      </c>
    </row>
    <row r="23" spans="1:136">
      <c r="A23">
        <v>22</v>
      </c>
      <c r="B23" s="2">
        <v>45722.538888888892</v>
      </c>
      <c r="C23" s="2">
        <v>45722.55972222222</v>
      </c>
      <c r="D23" t="s">
        <v>421</v>
      </c>
      <c r="E23" t="s">
        <v>422</v>
      </c>
      <c r="I23" t="s">
        <v>423</v>
      </c>
      <c r="J23">
        <v>0</v>
      </c>
      <c r="L23">
        <v>1015440935</v>
      </c>
      <c r="M23">
        <v>0</v>
      </c>
      <c r="O23" t="s">
        <v>157</v>
      </c>
      <c r="P23">
        <v>0</v>
      </c>
      <c r="R23">
        <v>3183055090</v>
      </c>
      <c r="S23">
        <v>0</v>
      </c>
      <c r="U23">
        <v>2020</v>
      </c>
      <c r="V23">
        <v>0</v>
      </c>
      <c r="X23" t="s">
        <v>141</v>
      </c>
      <c r="Y23">
        <v>0</v>
      </c>
      <c r="AA23" t="s">
        <v>159</v>
      </c>
      <c r="AB23">
        <v>0</v>
      </c>
      <c r="AD23" t="s">
        <v>424</v>
      </c>
      <c r="AE23">
        <v>0</v>
      </c>
      <c r="AG23" t="s">
        <v>144</v>
      </c>
      <c r="AH23">
        <v>0</v>
      </c>
      <c r="AJ23" t="s">
        <v>425</v>
      </c>
      <c r="AK23">
        <v>0</v>
      </c>
      <c r="AM23" t="s">
        <v>146</v>
      </c>
      <c r="AN23">
        <v>0</v>
      </c>
      <c r="AP23" t="s">
        <v>426</v>
      </c>
      <c r="AQ23">
        <v>0</v>
      </c>
      <c r="AS23" t="s">
        <v>165</v>
      </c>
      <c r="AT23">
        <v>0</v>
      </c>
      <c r="AV23" t="s">
        <v>149</v>
      </c>
      <c r="AW23">
        <v>0</v>
      </c>
      <c r="AY23" t="s">
        <v>165</v>
      </c>
      <c r="AZ23">
        <v>0</v>
      </c>
      <c r="BB23" t="s">
        <v>427</v>
      </c>
      <c r="BC23">
        <v>0</v>
      </c>
      <c r="BE23" t="s">
        <v>165</v>
      </c>
      <c r="BF23">
        <v>0</v>
      </c>
      <c r="BH23" t="s">
        <v>165</v>
      </c>
      <c r="BI23">
        <v>0</v>
      </c>
      <c r="BK23" t="s">
        <v>165</v>
      </c>
      <c r="BL23">
        <v>0</v>
      </c>
      <c r="BN23" t="s">
        <v>428</v>
      </c>
      <c r="BO23">
        <v>0</v>
      </c>
      <c r="BQ23" t="s">
        <v>429</v>
      </c>
      <c r="BR23">
        <v>0</v>
      </c>
      <c r="BT23" t="s">
        <v>165</v>
      </c>
      <c r="BU23">
        <v>0</v>
      </c>
      <c r="BW23" t="s">
        <v>165</v>
      </c>
      <c r="BX23">
        <v>0</v>
      </c>
      <c r="BZ23" t="s">
        <v>165</v>
      </c>
      <c r="CA23">
        <v>0</v>
      </c>
      <c r="CC23" t="s">
        <v>165</v>
      </c>
      <c r="CD23">
        <v>0</v>
      </c>
      <c r="CF23" t="s">
        <v>163</v>
      </c>
      <c r="CG23">
        <v>0</v>
      </c>
      <c r="CI23" t="s">
        <v>430</v>
      </c>
      <c r="CJ23">
        <v>0</v>
      </c>
      <c r="CL23" t="s">
        <v>165</v>
      </c>
      <c r="CM23">
        <v>0</v>
      </c>
      <c r="CO23" t="s">
        <v>431</v>
      </c>
      <c r="CP23">
        <v>0</v>
      </c>
      <c r="CR23" t="s">
        <v>165</v>
      </c>
      <c r="CS23">
        <v>0</v>
      </c>
      <c r="CU23" t="s">
        <v>165</v>
      </c>
      <c r="CV23">
        <v>0</v>
      </c>
      <c r="CX23" t="s">
        <v>165</v>
      </c>
      <c r="CY23">
        <v>0</v>
      </c>
      <c r="DA23" t="s">
        <v>185</v>
      </c>
      <c r="DB23">
        <v>0</v>
      </c>
      <c r="DD23" t="s">
        <v>165</v>
      </c>
      <c r="DE23">
        <v>0</v>
      </c>
      <c r="DG23" t="s">
        <v>163</v>
      </c>
      <c r="DH23">
        <v>0</v>
      </c>
      <c r="DJ23" t="s">
        <v>165</v>
      </c>
      <c r="DK23">
        <v>0</v>
      </c>
      <c r="DM23" t="s">
        <v>165</v>
      </c>
      <c r="DN23">
        <v>0</v>
      </c>
      <c r="DP23" t="s">
        <v>165</v>
      </c>
      <c r="DQ23">
        <v>0</v>
      </c>
      <c r="DS23" t="s">
        <v>201</v>
      </c>
      <c r="DT23">
        <v>0</v>
      </c>
      <c r="DV23" t="s">
        <v>163</v>
      </c>
      <c r="DW23">
        <v>0</v>
      </c>
      <c r="DY23" t="s">
        <v>163</v>
      </c>
      <c r="DZ23">
        <v>0</v>
      </c>
      <c r="EB23" t="s">
        <v>202</v>
      </c>
      <c r="EC23">
        <v>0</v>
      </c>
      <c r="EE23" t="s">
        <v>432</v>
      </c>
      <c r="EF23">
        <v>0</v>
      </c>
    </row>
    <row r="24" spans="1:136">
      <c r="A24">
        <v>23</v>
      </c>
      <c r="B24" s="2">
        <v>45723.754166666666</v>
      </c>
      <c r="C24" s="2">
        <v>45723.762499999997</v>
      </c>
      <c r="D24" t="s">
        <v>433</v>
      </c>
      <c r="E24" t="s">
        <v>434</v>
      </c>
      <c r="I24" t="s">
        <v>435</v>
      </c>
      <c r="J24">
        <v>0</v>
      </c>
      <c r="L24">
        <v>1007295662</v>
      </c>
      <c r="M24">
        <v>0</v>
      </c>
      <c r="O24" t="s">
        <v>328</v>
      </c>
      <c r="P24">
        <v>0</v>
      </c>
      <c r="R24">
        <v>3209787718</v>
      </c>
      <c r="S24">
        <v>0</v>
      </c>
      <c r="U24">
        <v>2025</v>
      </c>
      <c r="V24">
        <v>0</v>
      </c>
      <c r="X24" t="s">
        <v>141</v>
      </c>
      <c r="Y24">
        <v>0</v>
      </c>
      <c r="AA24" t="s">
        <v>142</v>
      </c>
      <c r="AB24">
        <v>0</v>
      </c>
      <c r="AD24" t="s">
        <v>436</v>
      </c>
      <c r="AE24">
        <v>0</v>
      </c>
      <c r="AG24" t="s">
        <v>144</v>
      </c>
      <c r="AH24">
        <v>0</v>
      </c>
      <c r="AJ24" t="s">
        <v>437</v>
      </c>
      <c r="AK24">
        <v>0</v>
      </c>
      <c r="AM24" t="s">
        <v>146</v>
      </c>
      <c r="AN24">
        <v>0</v>
      </c>
      <c r="AP24" t="s">
        <v>438</v>
      </c>
      <c r="AQ24">
        <v>0</v>
      </c>
      <c r="AS24" t="s">
        <v>165</v>
      </c>
      <c r="AT24">
        <v>0</v>
      </c>
      <c r="AV24" t="s">
        <v>439</v>
      </c>
      <c r="AW24">
        <v>0</v>
      </c>
      <c r="AY24" t="s">
        <v>146</v>
      </c>
      <c r="AZ24">
        <v>0</v>
      </c>
      <c r="BB24" t="s">
        <v>440</v>
      </c>
      <c r="BC24">
        <v>0</v>
      </c>
      <c r="BE24" t="s">
        <v>146</v>
      </c>
      <c r="BF24">
        <v>0</v>
      </c>
      <c r="BH24" t="s">
        <v>146</v>
      </c>
      <c r="BI24">
        <v>0</v>
      </c>
      <c r="BK24" t="s">
        <v>146</v>
      </c>
      <c r="BL24">
        <v>0</v>
      </c>
      <c r="BN24" t="s">
        <v>441</v>
      </c>
      <c r="BO24">
        <v>0</v>
      </c>
      <c r="BQ24" t="s">
        <v>442</v>
      </c>
      <c r="BR24">
        <v>0</v>
      </c>
      <c r="BT24" t="s">
        <v>165</v>
      </c>
      <c r="BU24">
        <v>0</v>
      </c>
      <c r="BW24" t="s">
        <v>146</v>
      </c>
      <c r="BX24">
        <v>0</v>
      </c>
      <c r="BZ24" t="s">
        <v>146</v>
      </c>
      <c r="CA24">
        <v>0</v>
      </c>
      <c r="CC24" t="s">
        <v>146</v>
      </c>
      <c r="CD24">
        <v>0</v>
      </c>
      <c r="CF24" t="s">
        <v>165</v>
      </c>
      <c r="CG24">
        <v>0</v>
      </c>
      <c r="CI24" t="s">
        <v>443</v>
      </c>
      <c r="CJ24">
        <v>0</v>
      </c>
      <c r="CL24" t="s">
        <v>146</v>
      </c>
      <c r="CM24">
        <v>0</v>
      </c>
      <c r="CO24" t="s">
        <v>444</v>
      </c>
      <c r="CP24">
        <v>0</v>
      </c>
      <c r="CR24" t="s">
        <v>165</v>
      </c>
      <c r="CS24">
        <v>0</v>
      </c>
      <c r="CU24" t="s">
        <v>146</v>
      </c>
      <c r="CV24">
        <v>0</v>
      </c>
      <c r="CX24" t="s">
        <v>146</v>
      </c>
      <c r="CY24">
        <v>0</v>
      </c>
      <c r="DA24" t="s">
        <v>185</v>
      </c>
      <c r="DB24">
        <v>0</v>
      </c>
      <c r="DD24" t="s">
        <v>165</v>
      </c>
      <c r="DE24">
        <v>0</v>
      </c>
      <c r="DG24" t="s">
        <v>163</v>
      </c>
      <c r="DH24">
        <v>0</v>
      </c>
      <c r="DJ24" t="s">
        <v>146</v>
      </c>
      <c r="DK24">
        <v>0</v>
      </c>
      <c r="DM24" t="s">
        <v>146</v>
      </c>
      <c r="DN24">
        <v>0</v>
      </c>
      <c r="DP24" t="s">
        <v>146</v>
      </c>
      <c r="DQ24">
        <v>0</v>
      </c>
      <c r="DS24" t="s">
        <v>201</v>
      </c>
      <c r="DT24">
        <v>0</v>
      </c>
      <c r="DV24" t="s">
        <v>146</v>
      </c>
      <c r="DW24">
        <v>0</v>
      </c>
      <c r="DY24" t="s">
        <v>146</v>
      </c>
      <c r="DZ24">
        <v>0</v>
      </c>
      <c r="EB24" t="s">
        <v>202</v>
      </c>
      <c r="EC24">
        <v>0</v>
      </c>
      <c r="EE24" t="s">
        <v>445</v>
      </c>
      <c r="EF24">
        <v>0</v>
      </c>
    </row>
    <row r="25" spans="1:136">
      <c r="A25">
        <v>24</v>
      </c>
      <c r="B25" s="2">
        <v>45723.75277777778</v>
      </c>
      <c r="C25" s="2">
        <v>45723.763888888891</v>
      </c>
      <c r="D25" t="s">
        <v>446</v>
      </c>
      <c r="E25" t="s">
        <v>447</v>
      </c>
      <c r="I25" t="s">
        <v>448</v>
      </c>
      <c r="J25">
        <v>0</v>
      </c>
      <c r="L25">
        <v>1032492447</v>
      </c>
      <c r="M25">
        <v>0</v>
      </c>
      <c r="O25" t="s">
        <v>140</v>
      </c>
      <c r="P25">
        <v>0</v>
      </c>
      <c r="R25">
        <v>3045207246</v>
      </c>
      <c r="S25">
        <v>0</v>
      </c>
      <c r="U25">
        <v>2025</v>
      </c>
      <c r="V25">
        <v>0</v>
      </c>
      <c r="X25" t="s">
        <v>141</v>
      </c>
      <c r="Y25">
        <v>0</v>
      </c>
      <c r="AA25" t="s">
        <v>142</v>
      </c>
      <c r="AB25">
        <v>0</v>
      </c>
      <c r="AD25" t="s">
        <v>449</v>
      </c>
      <c r="AE25">
        <v>0</v>
      </c>
      <c r="AG25" t="s">
        <v>144</v>
      </c>
      <c r="AH25">
        <v>0</v>
      </c>
      <c r="AJ25" t="s">
        <v>450</v>
      </c>
      <c r="AK25">
        <v>0</v>
      </c>
      <c r="AM25" t="s">
        <v>146</v>
      </c>
      <c r="AN25">
        <v>0</v>
      </c>
      <c r="AP25" t="s">
        <v>451</v>
      </c>
      <c r="AQ25">
        <v>0</v>
      </c>
      <c r="AS25" t="s">
        <v>165</v>
      </c>
      <c r="AT25">
        <v>0</v>
      </c>
      <c r="AV25" t="s">
        <v>452</v>
      </c>
      <c r="AW25">
        <v>0</v>
      </c>
      <c r="AY25" t="s">
        <v>163</v>
      </c>
      <c r="AZ25">
        <v>0</v>
      </c>
      <c r="BB25" t="s">
        <v>453</v>
      </c>
      <c r="BC25">
        <v>0</v>
      </c>
      <c r="BE25" t="s">
        <v>146</v>
      </c>
      <c r="BF25">
        <v>0</v>
      </c>
      <c r="BH25" t="s">
        <v>146</v>
      </c>
      <c r="BI25">
        <v>0</v>
      </c>
      <c r="BK25" t="s">
        <v>163</v>
      </c>
      <c r="BL25">
        <v>0</v>
      </c>
      <c r="BN25" t="s">
        <v>454</v>
      </c>
      <c r="BO25">
        <v>0</v>
      </c>
      <c r="BQ25" t="s">
        <v>455</v>
      </c>
      <c r="BR25">
        <v>0</v>
      </c>
      <c r="BT25" t="s">
        <v>163</v>
      </c>
      <c r="BU25">
        <v>0</v>
      </c>
      <c r="BW25" t="s">
        <v>163</v>
      </c>
      <c r="BX25">
        <v>0</v>
      </c>
      <c r="BZ25" t="s">
        <v>163</v>
      </c>
      <c r="CA25">
        <v>0</v>
      </c>
      <c r="CC25" t="s">
        <v>163</v>
      </c>
      <c r="CD25">
        <v>0</v>
      </c>
      <c r="CF25" t="s">
        <v>163</v>
      </c>
      <c r="CG25">
        <v>0</v>
      </c>
      <c r="CI25" t="s">
        <v>456</v>
      </c>
      <c r="CJ25">
        <v>0</v>
      </c>
      <c r="CL25" t="s">
        <v>146</v>
      </c>
      <c r="CM25">
        <v>0</v>
      </c>
      <c r="CO25" t="s">
        <v>457</v>
      </c>
      <c r="CP25">
        <v>0</v>
      </c>
      <c r="CR25" t="s">
        <v>165</v>
      </c>
      <c r="CS25">
        <v>0</v>
      </c>
      <c r="CU25" t="s">
        <v>165</v>
      </c>
      <c r="CV25">
        <v>0</v>
      </c>
      <c r="CX25" t="s">
        <v>165</v>
      </c>
      <c r="CY25">
        <v>0</v>
      </c>
      <c r="DA25" t="s">
        <v>185</v>
      </c>
      <c r="DB25">
        <v>0</v>
      </c>
      <c r="DD25" t="s">
        <v>163</v>
      </c>
      <c r="DE25">
        <v>0</v>
      </c>
      <c r="DG25" t="s">
        <v>163</v>
      </c>
      <c r="DH25">
        <v>0</v>
      </c>
      <c r="DJ25" t="s">
        <v>163</v>
      </c>
      <c r="DK25">
        <v>0</v>
      </c>
      <c r="DM25" t="s">
        <v>165</v>
      </c>
      <c r="DN25">
        <v>0</v>
      </c>
      <c r="DP25" t="s">
        <v>163</v>
      </c>
      <c r="DQ25">
        <v>0</v>
      </c>
      <c r="DS25" t="s">
        <v>284</v>
      </c>
      <c r="DT25">
        <v>0</v>
      </c>
      <c r="DV25" t="s">
        <v>146</v>
      </c>
      <c r="DW25">
        <v>0</v>
      </c>
      <c r="DY25" t="s">
        <v>163</v>
      </c>
      <c r="DZ25">
        <v>0</v>
      </c>
      <c r="EB25" t="s">
        <v>458</v>
      </c>
      <c r="EC25">
        <v>0</v>
      </c>
      <c r="EE25" t="s">
        <v>459</v>
      </c>
      <c r="EF25">
        <v>0</v>
      </c>
    </row>
    <row r="26" spans="1:136">
      <c r="A26">
        <v>25</v>
      </c>
      <c r="B26" s="2">
        <v>45723.753472222219</v>
      </c>
      <c r="C26" s="2">
        <v>45723.76458333333</v>
      </c>
      <c r="D26" t="s">
        <v>460</v>
      </c>
      <c r="E26" t="s">
        <v>461</v>
      </c>
      <c r="I26" t="s">
        <v>462</v>
      </c>
      <c r="J26">
        <v>0</v>
      </c>
      <c r="L26">
        <v>1032491017</v>
      </c>
      <c r="M26">
        <v>0</v>
      </c>
      <c r="O26" t="s">
        <v>140</v>
      </c>
      <c r="P26">
        <v>0</v>
      </c>
      <c r="R26">
        <v>3124108450</v>
      </c>
      <c r="S26">
        <v>0</v>
      </c>
      <c r="U26">
        <v>2025</v>
      </c>
      <c r="V26">
        <v>0</v>
      </c>
      <c r="X26" t="s">
        <v>141</v>
      </c>
      <c r="Y26">
        <v>0</v>
      </c>
      <c r="AA26" t="s">
        <v>142</v>
      </c>
      <c r="AB26">
        <v>0</v>
      </c>
      <c r="AD26" t="s">
        <v>463</v>
      </c>
      <c r="AE26">
        <v>0</v>
      </c>
      <c r="AG26" t="s">
        <v>144</v>
      </c>
      <c r="AH26">
        <v>0</v>
      </c>
      <c r="AJ26" t="s">
        <v>464</v>
      </c>
      <c r="AK26">
        <v>0</v>
      </c>
      <c r="AM26" t="s">
        <v>165</v>
      </c>
      <c r="AN26">
        <v>0</v>
      </c>
      <c r="AP26" t="s">
        <v>465</v>
      </c>
      <c r="AQ26">
        <v>0</v>
      </c>
      <c r="AS26" t="s">
        <v>165</v>
      </c>
      <c r="AT26">
        <v>0</v>
      </c>
      <c r="AV26" t="s">
        <v>466</v>
      </c>
      <c r="AW26">
        <v>0</v>
      </c>
      <c r="AY26" t="s">
        <v>163</v>
      </c>
      <c r="AZ26">
        <v>0</v>
      </c>
      <c r="BB26" t="s">
        <v>467</v>
      </c>
      <c r="BC26">
        <v>0</v>
      </c>
      <c r="BE26" t="s">
        <v>165</v>
      </c>
      <c r="BF26">
        <v>0</v>
      </c>
      <c r="BH26" t="s">
        <v>165</v>
      </c>
      <c r="BI26">
        <v>0</v>
      </c>
      <c r="BK26" t="s">
        <v>165</v>
      </c>
      <c r="BL26">
        <v>0</v>
      </c>
      <c r="BN26" t="s">
        <v>468</v>
      </c>
      <c r="BO26">
        <v>0</v>
      </c>
      <c r="BQ26" t="s">
        <v>469</v>
      </c>
      <c r="BR26">
        <v>0</v>
      </c>
      <c r="BT26" t="s">
        <v>165</v>
      </c>
      <c r="BU26">
        <v>0</v>
      </c>
      <c r="BW26" t="s">
        <v>165</v>
      </c>
      <c r="BX26">
        <v>0</v>
      </c>
      <c r="BZ26" t="s">
        <v>165</v>
      </c>
      <c r="CA26">
        <v>0</v>
      </c>
      <c r="CC26" t="s">
        <v>163</v>
      </c>
      <c r="CD26">
        <v>0</v>
      </c>
      <c r="CF26" t="s">
        <v>163</v>
      </c>
      <c r="CG26">
        <v>0</v>
      </c>
      <c r="CI26" t="s">
        <v>470</v>
      </c>
      <c r="CJ26">
        <v>0</v>
      </c>
      <c r="CL26" t="s">
        <v>146</v>
      </c>
      <c r="CM26">
        <v>0</v>
      </c>
      <c r="CO26" t="s">
        <v>470</v>
      </c>
      <c r="CP26">
        <v>0</v>
      </c>
      <c r="CR26" t="s">
        <v>165</v>
      </c>
      <c r="CS26">
        <v>0</v>
      </c>
      <c r="CU26" t="s">
        <v>165</v>
      </c>
      <c r="CV26">
        <v>0</v>
      </c>
      <c r="CX26" t="s">
        <v>146</v>
      </c>
      <c r="CY26">
        <v>0</v>
      </c>
      <c r="DA26" t="s">
        <v>185</v>
      </c>
      <c r="DB26">
        <v>0</v>
      </c>
      <c r="DD26" t="s">
        <v>165</v>
      </c>
      <c r="DE26">
        <v>0</v>
      </c>
      <c r="DG26" t="s">
        <v>163</v>
      </c>
      <c r="DH26">
        <v>0</v>
      </c>
      <c r="DJ26" t="s">
        <v>165</v>
      </c>
      <c r="DK26">
        <v>0</v>
      </c>
      <c r="DM26" t="s">
        <v>165</v>
      </c>
      <c r="DN26">
        <v>0</v>
      </c>
      <c r="DP26" t="s">
        <v>165</v>
      </c>
      <c r="DQ26">
        <v>0</v>
      </c>
      <c r="DS26" t="s">
        <v>284</v>
      </c>
      <c r="DT26">
        <v>0</v>
      </c>
      <c r="DV26" t="s">
        <v>163</v>
      </c>
      <c r="DW26">
        <v>0</v>
      </c>
      <c r="DY26" t="s">
        <v>163</v>
      </c>
      <c r="DZ26">
        <v>0</v>
      </c>
      <c r="EB26" t="s">
        <v>471</v>
      </c>
      <c r="EC26">
        <v>0</v>
      </c>
      <c r="EE26" t="s">
        <v>472</v>
      </c>
      <c r="EF26">
        <v>0</v>
      </c>
    </row>
    <row r="27" spans="1:136">
      <c r="A27">
        <v>26</v>
      </c>
      <c r="B27" s="2">
        <v>45723.754166666666</v>
      </c>
      <c r="C27" s="2">
        <v>45723.765277777777</v>
      </c>
      <c r="D27" t="s">
        <v>473</v>
      </c>
      <c r="E27" t="s">
        <v>474</v>
      </c>
      <c r="I27" t="s">
        <v>475</v>
      </c>
      <c r="J27">
        <v>0</v>
      </c>
      <c r="L27">
        <v>1193509264</v>
      </c>
      <c r="M27">
        <v>0</v>
      </c>
      <c r="O27" t="s">
        <v>140</v>
      </c>
      <c r="P27">
        <v>0</v>
      </c>
      <c r="R27">
        <v>3057530927</v>
      </c>
      <c r="S27">
        <v>0</v>
      </c>
      <c r="U27">
        <v>2025</v>
      </c>
      <c r="V27">
        <v>0</v>
      </c>
      <c r="X27" t="s">
        <v>141</v>
      </c>
      <c r="Y27">
        <v>0</v>
      </c>
      <c r="AA27" t="s">
        <v>142</v>
      </c>
      <c r="AB27">
        <v>0</v>
      </c>
      <c r="AD27" t="s">
        <v>476</v>
      </c>
      <c r="AE27">
        <v>0</v>
      </c>
      <c r="AG27" t="s">
        <v>144</v>
      </c>
      <c r="AH27">
        <v>0</v>
      </c>
      <c r="AJ27" t="s">
        <v>477</v>
      </c>
      <c r="AK27">
        <v>0</v>
      </c>
      <c r="AM27" t="s">
        <v>165</v>
      </c>
      <c r="AN27">
        <v>0</v>
      </c>
      <c r="AP27" t="s">
        <v>478</v>
      </c>
      <c r="AQ27">
        <v>0</v>
      </c>
      <c r="AS27" t="s">
        <v>165</v>
      </c>
      <c r="AT27">
        <v>0</v>
      </c>
      <c r="AV27" t="s">
        <v>479</v>
      </c>
      <c r="AW27">
        <v>0</v>
      </c>
      <c r="AY27" t="s">
        <v>163</v>
      </c>
      <c r="AZ27">
        <v>0</v>
      </c>
      <c r="BB27" t="s">
        <v>480</v>
      </c>
      <c r="BC27">
        <v>0</v>
      </c>
      <c r="BE27" t="s">
        <v>165</v>
      </c>
      <c r="BF27">
        <v>0</v>
      </c>
      <c r="BH27" t="s">
        <v>165</v>
      </c>
      <c r="BI27">
        <v>0</v>
      </c>
      <c r="BK27" t="s">
        <v>165</v>
      </c>
      <c r="BL27">
        <v>0</v>
      </c>
      <c r="BN27" t="s">
        <v>481</v>
      </c>
      <c r="BO27">
        <v>0</v>
      </c>
      <c r="BQ27" t="s">
        <v>482</v>
      </c>
      <c r="BR27">
        <v>0</v>
      </c>
      <c r="BT27" t="s">
        <v>165</v>
      </c>
      <c r="BU27">
        <v>0</v>
      </c>
      <c r="BW27" t="s">
        <v>165</v>
      </c>
      <c r="BX27">
        <v>0</v>
      </c>
      <c r="BZ27" t="s">
        <v>165</v>
      </c>
      <c r="CA27">
        <v>0</v>
      </c>
      <c r="CC27" t="s">
        <v>165</v>
      </c>
      <c r="CD27">
        <v>0</v>
      </c>
      <c r="CF27" t="s">
        <v>165</v>
      </c>
      <c r="CG27">
        <v>0</v>
      </c>
      <c r="CI27" t="s">
        <v>483</v>
      </c>
      <c r="CJ27">
        <v>0</v>
      </c>
      <c r="CL27" t="s">
        <v>165</v>
      </c>
      <c r="CM27">
        <v>0</v>
      </c>
      <c r="CO27" t="s">
        <v>484</v>
      </c>
      <c r="CP27">
        <v>0</v>
      </c>
      <c r="CR27" t="s">
        <v>165</v>
      </c>
      <c r="CS27">
        <v>0</v>
      </c>
      <c r="CU27" t="s">
        <v>165</v>
      </c>
      <c r="CV27">
        <v>0</v>
      </c>
      <c r="CX27" t="s">
        <v>165</v>
      </c>
      <c r="CY27">
        <v>0</v>
      </c>
      <c r="DA27" t="s">
        <v>151</v>
      </c>
      <c r="DB27">
        <v>0</v>
      </c>
      <c r="DD27" t="s">
        <v>165</v>
      </c>
      <c r="DE27">
        <v>0</v>
      </c>
      <c r="DG27" t="s">
        <v>163</v>
      </c>
      <c r="DH27">
        <v>0</v>
      </c>
      <c r="DJ27" t="s">
        <v>165</v>
      </c>
      <c r="DK27">
        <v>0</v>
      </c>
      <c r="DM27" t="s">
        <v>165</v>
      </c>
      <c r="DN27">
        <v>0</v>
      </c>
      <c r="DP27" t="s">
        <v>165</v>
      </c>
      <c r="DQ27">
        <v>0</v>
      </c>
      <c r="DS27" t="s">
        <v>152</v>
      </c>
      <c r="DT27">
        <v>0</v>
      </c>
      <c r="DV27" t="s">
        <v>146</v>
      </c>
      <c r="DW27">
        <v>0</v>
      </c>
      <c r="DY27" t="s">
        <v>163</v>
      </c>
      <c r="DZ27">
        <v>0</v>
      </c>
      <c r="EB27" t="s">
        <v>485</v>
      </c>
      <c r="EC27">
        <v>0</v>
      </c>
      <c r="EE27" t="s">
        <v>486</v>
      </c>
      <c r="EF27">
        <v>0</v>
      </c>
    </row>
    <row r="28" spans="1:136">
      <c r="A28">
        <v>27</v>
      </c>
      <c r="B28" s="2">
        <v>45723.755555555559</v>
      </c>
      <c r="C28" s="2">
        <v>45723.765972222223</v>
      </c>
      <c r="D28" t="s">
        <v>487</v>
      </c>
      <c r="E28" t="s">
        <v>488</v>
      </c>
      <c r="I28" t="s">
        <v>489</v>
      </c>
      <c r="J28">
        <v>0</v>
      </c>
      <c r="L28">
        <v>52312050</v>
      </c>
      <c r="M28">
        <v>0</v>
      </c>
      <c r="O28" t="s">
        <v>490</v>
      </c>
      <c r="P28">
        <v>0</v>
      </c>
      <c r="R28">
        <v>3187518177</v>
      </c>
      <c r="S28">
        <v>0</v>
      </c>
      <c r="U28">
        <v>2025</v>
      </c>
      <c r="V28">
        <v>0</v>
      </c>
      <c r="X28" t="s">
        <v>158</v>
      </c>
      <c r="Y28">
        <v>0</v>
      </c>
      <c r="AA28" t="s">
        <v>142</v>
      </c>
      <c r="AB28">
        <v>0</v>
      </c>
      <c r="AD28" t="s">
        <v>491</v>
      </c>
      <c r="AE28">
        <v>0</v>
      </c>
      <c r="AG28" t="s">
        <v>144</v>
      </c>
      <c r="AH28">
        <v>0</v>
      </c>
      <c r="AJ28" t="s">
        <v>492</v>
      </c>
      <c r="AK28">
        <v>0</v>
      </c>
      <c r="AM28" t="s">
        <v>163</v>
      </c>
      <c r="AN28">
        <v>0</v>
      </c>
      <c r="AP28" t="s">
        <v>454</v>
      </c>
      <c r="AQ28">
        <v>0</v>
      </c>
      <c r="AS28" t="s">
        <v>165</v>
      </c>
      <c r="AT28">
        <v>0</v>
      </c>
      <c r="AV28" t="s">
        <v>493</v>
      </c>
      <c r="AW28">
        <v>0</v>
      </c>
      <c r="AY28" t="s">
        <v>165</v>
      </c>
      <c r="AZ28">
        <v>0</v>
      </c>
      <c r="BB28" t="s">
        <v>494</v>
      </c>
      <c r="BC28">
        <v>0</v>
      </c>
      <c r="BE28" t="s">
        <v>165</v>
      </c>
      <c r="BF28">
        <v>0</v>
      </c>
      <c r="BH28" t="s">
        <v>146</v>
      </c>
      <c r="BI28">
        <v>0</v>
      </c>
      <c r="BK28" t="s">
        <v>163</v>
      </c>
      <c r="BL28">
        <v>0</v>
      </c>
      <c r="BN28" t="s">
        <v>495</v>
      </c>
      <c r="BO28">
        <v>0</v>
      </c>
      <c r="BQ28" t="s">
        <v>496</v>
      </c>
      <c r="BR28">
        <v>0</v>
      </c>
      <c r="BT28" t="s">
        <v>165</v>
      </c>
      <c r="BU28">
        <v>0</v>
      </c>
      <c r="BW28" t="s">
        <v>146</v>
      </c>
      <c r="BX28">
        <v>0</v>
      </c>
      <c r="BZ28" t="s">
        <v>165</v>
      </c>
      <c r="CA28">
        <v>0</v>
      </c>
      <c r="CC28" t="s">
        <v>146</v>
      </c>
      <c r="CD28">
        <v>0</v>
      </c>
      <c r="CF28" t="s">
        <v>163</v>
      </c>
      <c r="CG28">
        <v>0</v>
      </c>
      <c r="CI28" t="s">
        <v>430</v>
      </c>
      <c r="CJ28">
        <v>0</v>
      </c>
      <c r="CL28" t="s">
        <v>146</v>
      </c>
      <c r="CM28">
        <v>0</v>
      </c>
      <c r="CO28" t="s">
        <v>497</v>
      </c>
      <c r="CP28">
        <v>0</v>
      </c>
      <c r="CR28" t="s">
        <v>146</v>
      </c>
      <c r="CS28">
        <v>0</v>
      </c>
      <c r="CU28" t="s">
        <v>146</v>
      </c>
      <c r="CV28">
        <v>0</v>
      </c>
      <c r="CX28" t="s">
        <v>165</v>
      </c>
      <c r="CY28">
        <v>0</v>
      </c>
      <c r="DA28" t="s">
        <v>185</v>
      </c>
      <c r="DB28">
        <v>0</v>
      </c>
      <c r="DD28" t="s">
        <v>146</v>
      </c>
      <c r="DE28">
        <v>0</v>
      </c>
      <c r="DG28" t="s">
        <v>163</v>
      </c>
      <c r="DH28">
        <v>0</v>
      </c>
      <c r="DJ28" t="s">
        <v>165</v>
      </c>
      <c r="DK28">
        <v>0</v>
      </c>
      <c r="DM28" t="s">
        <v>146</v>
      </c>
      <c r="DN28">
        <v>0</v>
      </c>
      <c r="DP28" t="s">
        <v>146</v>
      </c>
      <c r="DQ28">
        <v>0</v>
      </c>
      <c r="DS28" t="s">
        <v>284</v>
      </c>
      <c r="DT28">
        <v>0</v>
      </c>
      <c r="DV28" t="s">
        <v>165</v>
      </c>
      <c r="DW28">
        <v>0</v>
      </c>
      <c r="DY28" t="s">
        <v>146</v>
      </c>
      <c r="DZ28">
        <v>0</v>
      </c>
      <c r="EB28" t="s">
        <v>498</v>
      </c>
      <c r="EC28">
        <v>0</v>
      </c>
      <c r="EE28" t="s">
        <v>499</v>
      </c>
      <c r="EF28">
        <v>0</v>
      </c>
    </row>
    <row r="29" spans="1:136">
      <c r="A29">
        <v>28</v>
      </c>
      <c r="B29" s="2">
        <v>45723.756249999999</v>
      </c>
      <c r="C29" s="2">
        <v>45723.765972222223</v>
      </c>
      <c r="D29" t="s">
        <v>500</v>
      </c>
      <c r="E29" t="s">
        <v>501</v>
      </c>
      <c r="I29" t="s">
        <v>502</v>
      </c>
      <c r="J29">
        <v>0</v>
      </c>
      <c r="L29">
        <v>1233912172</v>
      </c>
      <c r="M29">
        <v>0</v>
      </c>
      <c r="O29" t="s">
        <v>140</v>
      </c>
      <c r="P29">
        <v>0</v>
      </c>
      <c r="R29">
        <v>3174835512</v>
      </c>
      <c r="S29">
        <v>0</v>
      </c>
      <c r="U29">
        <v>2025</v>
      </c>
      <c r="V29">
        <v>0</v>
      </c>
      <c r="X29" t="s">
        <v>158</v>
      </c>
      <c r="Y29">
        <v>0</v>
      </c>
      <c r="AA29" t="s">
        <v>159</v>
      </c>
      <c r="AB29">
        <v>0</v>
      </c>
      <c r="AD29" t="s">
        <v>503</v>
      </c>
      <c r="AE29">
        <v>0</v>
      </c>
      <c r="AG29" t="s">
        <v>144</v>
      </c>
      <c r="AH29">
        <v>0</v>
      </c>
      <c r="AJ29" t="s">
        <v>504</v>
      </c>
      <c r="AK29">
        <v>0</v>
      </c>
      <c r="AM29" t="s">
        <v>146</v>
      </c>
      <c r="AN29">
        <v>0</v>
      </c>
      <c r="AP29" t="s">
        <v>279</v>
      </c>
      <c r="AQ29">
        <v>0</v>
      </c>
      <c r="AS29" t="s">
        <v>165</v>
      </c>
      <c r="AT29">
        <v>0</v>
      </c>
      <c r="AV29" t="s">
        <v>505</v>
      </c>
      <c r="AW29">
        <v>0</v>
      </c>
      <c r="AY29" t="s">
        <v>165</v>
      </c>
      <c r="AZ29">
        <v>0</v>
      </c>
      <c r="BB29" t="s">
        <v>506</v>
      </c>
      <c r="BC29">
        <v>0</v>
      </c>
      <c r="BE29" t="s">
        <v>165</v>
      </c>
      <c r="BF29">
        <v>0</v>
      </c>
      <c r="BH29" t="s">
        <v>165</v>
      </c>
      <c r="BI29">
        <v>0</v>
      </c>
      <c r="BK29" t="s">
        <v>165</v>
      </c>
      <c r="BL29">
        <v>0</v>
      </c>
      <c r="BN29" t="s">
        <v>507</v>
      </c>
      <c r="BO29">
        <v>0</v>
      </c>
      <c r="BQ29" t="s">
        <v>508</v>
      </c>
      <c r="BR29">
        <v>0</v>
      </c>
      <c r="BT29" t="s">
        <v>165</v>
      </c>
      <c r="BU29">
        <v>0</v>
      </c>
      <c r="BW29" t="s">
        <v>165</v>
      </c>
      <c r="BX29">
        <v>0</v>
      </c>
      <c r="BZ29" t="s">
        <v>165</v>
      </c>
      <c r="CA29">
        <v>0</v>
      </c>
      <c r="CC29" t="s">
        <v>163</v>
      </c>
      <c r="CD29">
        <v>0</v>
      </c>
      <c r="CF29" t="s">
        <v>163</v>
      </c>
      <c r="CG29">
        <v>0</v>
      </c>
      <c r="CI29" t="s">
        <v>509</v>
      </c>
      <c r="CJ29">
        <v>0</v>
      </c>
      <c r="CL29" t="s">
        <v>146</v>
      </c>
      <c r="CM29">
        <v>0</v>
      </c>
      <c r="CO29" t="s">
        <v>279</v>
      </c>
      <c r="CP29">
        <v>0</v>
      </c>
      <c r="CR29" t="s">
        <v>163</v>
      </c>
      <c r="CS29">
        <v>0</v>
      </c>
      <c r="CU29" t="s">
        <v>146</v>
      </c>
      <c r="CV29">
        <v>0</v>
      </c>
      <c r="CX29" t="s">
        <v>146</v>
      </c>
      <c r="CY29">
        <v>0</v>
      </c>
      <c r="DA29" t="s">
        <v>185</v>
      </c>
      <c r="DB29">
        <v>0</v>
      </c>
      <c r="DD29" t="s">
        <v>165</v>
      </c>
      <c r="DE29">
        <v>0</v>
      </c>
      <c r="DG29" t="s">
        <v>163</v>
      </c>
      <c r="DH29">
        <v>0</v>
      </c>
      <c r="DJ29" t="s">
        <v>165</v>
      </c>
      <c r="DK29">
        <v>0</v>
      </c>
      <c r="DM29" t="s">
        <v>165</v>
      </c>
      <c r="DN29">
        <v>0</v>
      </c>
      <c r="DP29" t="s">
        <v>146</v>
      </c>
      <c r="DQ29">
        <v>0</v>
      </c>
      <c r="DS29" t="s">
        <v>152</v>
      </c>
      <c r="DT29">
        <v>0</v>
      </c>
      <c r="DV29" t="s">
        <v>165</v>
      </c>
      <c r="DW29">
        <v>0</v>
      </c>
      <c r="DY29" t="s">
        <v>163</v>
      </c>
      <c r="DZ29">
        <v>0</v>
      </c>
      <c r="EB29" t="s">
        <v>510</v>
      </c>
      <c r="EC29">
        <v>0</v>
      </c>
      <c r="EE29" t="s">
        <v>511</v>
      </c>
      <c r="EF29">
        <v>0</v>
      </c>
    </row>
    <row r="30" spans="1:136">
      <c r="A30">
        <v>29</v>
      </c>
      <c r="B30" s="2">
        <v>45723.754166666666</v>
      </c>
      <c r="C30" s="2">
        <v>45723.767361111109</v>
      </c>
      <c r="D30" t="s">
        <v>512</v>
      </c>
      <c r="E30" t="s">
        <v>513</v>
      </c>
      <c r="I30" t="s">
        <v>514</v>
      </c>
      <c r="J30">
        <v>0</v>
      </c>
      <c r="L30">
        <v>1014278347</v>
      </c>
      <c r="M30">
        <v>0</v>
      </c>
      <c r="O30" t="s">
        <v>140</v>
      </c>
      <c r="P30">
        <v>0</v>
      </c>
      <c r="R30">
        <v>3202704353</v>
      </c>
      <c r="S30">
        <v>0</v>
      </c>
      <c r="U30">
        <v>2025</v>
      </c>
      <c r="V30">
        <v>0</v>
      </c>
      <c r="X30" t="s">
        <v>158</v>
      </c>
      <c r="Y30">
        <v>0</v>
      </c>
      <c r="AA30" t="s">
        <v>159</v>
      </c>
      <c r="AB30">
        <v>0</v>
      </c>
      <c r="AD30" t="s">
        <v>515</v>
      </c>
      <c r="AE30">
        <v>0</v>
      </c>
      <c r="AG30" t="s">
        <v>144</v>
      </c>
      <c r="AH30">
        <v>0</v>
      </c>
      <c r="AJ30" t="s">
        <v>516</v>
      </c>
      <c r="AK30">
        <v>0</v>
      </c>
      <c r="AM30" t="s">
        <v>165</v>
      </c>
      <c r="AN30">
        <v>0</v>
      </c>
      <c r="AP30" t="s">
        <v>517</v>
      </c>
      <c r="AQ30">
        <v>0</v>
      </c>
      <c r="AS30" t="s">
        <v>165</v>
      </c>
      <c r="AT30">
        <v>0</v>
      </c>
      <c r="AV30" t="s">
        <v>518</v>
      </c>
      <c r="AW30">
        <v>0</v>
      </c>
      <c r="AY30" t="s">
        <v>165</v>
      </c>
      <c r="AZ30">
        <v>0</v>
      </c>
      <c r="BB30" t="s">
        <v>519</v>
      </c>
      <c r="BC30">
        <v>0</v>
      </c>
      <c r="BE30" t="s">
        <v>165</v>
      </c>
      <c r="BF30">
        <v>0</v>
      </c>
      <c r="BH30" t="s">
        <v>165</v>
      </c>
      <c r="BI30">
        <v>0</v>
      </c>
      <c r="BK30" t="s">
        <v>165</v>
      </c>
      <c r="BL30">
        <v>0</v>
      </c>
      <c r="BN30" t="s">
        <v>520</v>
      </c>
      <c r="BO30">
        <v>0</v>
      </c>
      <c r="BQ30" t="s">
        <v>521</v>
      </c>
      <c r="BR30">
        <v>0</v>
      </c>
      <c r="BT30" t="s">
        <v>165</v>
      </c>
      <c r="BU30">
        <v>0</v>
      </c>
      <c r="BW30" t="s">
        <v>165</v>
      </c>
      <c r="BX30">
        <v>0</v>
      </c>
      <c r="BZ30" t="s">
        <v>165</v>
      </c>
      <c r="CA30">
        <v>0</v>
      </c>
      <c r="CC30" t="s">
        <v>165</v>
      </c>
      <c r="CD30">
        <v>0</v>
      </c>
      <c r="CF30" t="s">
        <v>165</v>
      </c>
      <c r="CG30">
        <v>0</v>
      </c>
      <c r="CI30" t="s">
        <v>522</v>
      </c>
      <c r="CJ30">
        <v>0</v>
      </c>
      <c r="CL30" t="s">
        <v>165</v>
      </c>
      <c r="CM30">
        <v>0</v>
      </c>
      <c r="CO30" t="s">
        <v>523</v>
      </c>
      <c r="CP30">
        <v>0</v>
      </c>
      <c r="CR30" t="s">
        <v>165</v>
      </c>
      <c r="CS30">
        <v>0</v>
      </c>
      <c r="CU30" t="s">
        <v>165</v>
      </c>
      <c r="CV30">
        <v>0</v>
      </c>
      <c r="CX30" t="s">
        <v>165</v>
      </c>
      <c r="CY30">
        <v>0</v>
      </c>
      <c r="DA30" t="s">
        <v>185</v>
      </c>
      <c r="DB30">
        <v>0</v>
      </c>
      <c r="DD30" t="s">
        <v>165</v>
      </c>
      <c r="DE30">
        <v>0</v>
      </c>
      <c r="DG30" t="s">
        <v>163</v>
      </c>
      <c r="DH30">
        <v>0</v>
      </c>
      <c r="DJ30" t="s">
        <v>165</v>
      </c>
      <c r="DK30">
        <v>0</v>
      </c>
      <c r="DM30" t="s">
        <v>165</v>
      </c>
      <c r="DN30">
        <v>0</v>
      </c>
      <c r="DP30" t="s">
        <v>165</v>
      </c>
      <c r="DQ30">
        <v>0</v>
      </c>
      <c r="DS30" t="s">
        <v>284</v>
      </c>
      <c r="DT30">
        <v>0</v>
      </c>
      <c r="DV30" t="s">
        <v>216</v>
      </c>
      <c r="DW30">
        <v>0</v>
      </c>
      <c r="DY30" t="s">
        <v>165</v>
      </c>
      <c r="DZ30">
        <v>0</v>
      </c>
      <c r="EB30" t="s">
        <v>524</v>
      </c>
      <c r="EC30">
        <v>0</v>
      </c>
      <c r="EE30" t="s">
        <v>525</v>
      </c>
      <c r="EF30">
        <v>0</v>
      </c>
    </row>
    <row r="31" spans="1:136">
      <c r="A31">
        <v>30</v>
      </c>
      <c r="B31" s="2">
        <v>45723.755555555559</v>
      </c>
      <c r="C31" s="2">
        <v>45723.767361111109</v>
      </c>
      <c r="D31" t="s">
        <v>526</v>
      </c>
      <c r="E31" t="s">
        <v>527</v>
      </c>
      <c r="I31" t="s">
        <v>528</v>
      </c>
      <c r="J31">
        <v>0</v>
      </c>
      <c r="L31">
        <v>1014263483</v>
      </c>
      <c r="M31">
        <v>0</v>
      </c>
      <c r="O31" t="s">
        <v>140</v>
      </c>
      <c r="P31">
        <v>0</v>
      </c>
      <c r="R31">
        <v>3202705593</v>
      </c>
      <c r="S31">
        <v>0</v>
      </c>
      <c r="U31">
        <v>2025</v>
      </c>
      <c r="V31">
        <v>0</v>
      </c>
      <c r="X31" t="s">
        <v>158</v>
      </c>
      <c r="Y31">
        <v>0</v>
      </c>
      <c r="AA31" t="s">
        <v>142</v>
      </c>
      <c r="AB31">
        <v>0</v>
      </c>
      <c r="AD31" t="s">
        <v>529</v>
      </c>
      <c r="AE31">
        <v>0</v>
      </c>
      <c r="AG31" t="s">
        <v>144</v>
      </c>
      <c r="AH31">
        <v>0</v>
      </c>
      <c r="AJ31" t="s">
        <v>530</v>
      </c>
      <c r="AK31">
        <v>0</v>
      </c>
      <c r="AM31" t="s">
        <v>146</v>
      </c>
      <c r="AN31">
        <v>0</v>
      </c>
      <c r="AP31" t="s">
        <v>531</v>
      </c>
      <c r="AQ31">
        <v>0</v>
      </c>
      <c r="AS31" t="s">
        <v>146</v>
      </c>
      <c r="AT31">
        <v>0</v>
      </c>
      <c r="AV31" t="s">
        <v>532</v>
      </c>
      <c r="AW31">
        <v>0</v>
      </c>
      <c r="AY31" t="s">
        <v>216</v>
      </c>
      <c r="AZ31">
        <v>0</v>
      </c>
      <c r="BB31" t="s">
        <v>533</v>
      </c>
      <c r="BC31">
        <v>0</v>
      </c>
      <c r="BE31" t="s">
        <v>146</v>
      </c>
      <c r="BF31">
        <v>0</v>
      </c>
      <c r="BH31" t="s">
        <v>146</v>
      </c>
      <c r="BI31">
        <v>0</v>
      </c>
      <c r="BK31" t="s">
        <v>146</v>
      </c>
      <c r="BL31">
        <v>0</v>
      </c>
      <c r="BN31" t="s">
        <v>534</v>
      </c>
      <c r="BO31">
        <v>0</v>
      </c>
      <c r="BQ31" t="s">
        <v>535</v>
      </c>
      <c r="BR31">
        <v>0</v>
      </c>
      <c r="BT31" t="s">
        <v>146</v>
      </c>
      <c r="BU31">
        <v>0</v>
      </c>
      <c r="BW31" t="s">
        <v>146</v>
      </c>
      <c r="BX31">
        <v>0</v>
      </c>
      <c r="BZ31" t="s">
        <v>146</v>
      </c>
      <c r="CA31">
        <v>0</v>
      </c>
      <c r="CC31" t="s">
        <v>146</v>
      </c>
      <c r="CD31">
        <v>0</v>
      </c>
      <c r="CF31" t="s">
        <v>146</v>
      </c>
      <c r="CG31">
        <v>0</v>
      </c>
      <c r="CI31" t="s">
        <v>536</v>
      </c>
      <c r="CJ31">
        <v>0</v>
      </c>
      <c r="CL31" t="s">
        <v>146</v>
      </c>
      <c r="CM31">
        <v>0</v>
      </c>
      <c r="CO31" t="s">
        <v>537</v>
      </c>
      <c r="CP31">
        <v>0</v>
      </c>
      <c r="CR31" t="s">
        <v>146</v>
      </c>
      <c r="CS31">
        <v>0</v>
      </c>
      <c r="CU31" t="s">
        <v>146</v>
      </c>
      <c r="CV31">
        <v>0</v>
      </c>
      <c r="CX31" t="s">
        <v>146</v>
      </c>
      <c r="CY31">
        <v>0</v>
      </c>
      <c r="DA31" t="s">
        <v>151</v>
      </c>
      <c r="DB31">
        <v>0</v>
      </c>
      <c r="DD31" t="s">
        <v>146</v>
      </c>
      <c r="DE31">
        <v>0</v>
      </c>
      <c r="DG31" t="s">
        <v>216</v>
      </c>
      <c r="DH31">
        <v>0</v>
      </c>
      <c r="DJ31" t="s">
        <v>146</v>
      </c>
      <c r="DK31">
        <v>0</v>
      </c>
      <c r="DM31" t="s">
        <v>146</v>
      </c>
      <c r="DN31">
        <v>0</v>
      </c>
      <c r="DP31" t="s">
        <v>146</v>
      </c>
      <c r="DQ31">
        <v>0</v>
      </c>
      <c r="DS31" t="s">
        <v>201</v>
      </c>
      <c r="DT31">
        <v>0</v>
      </c>
      <c r="DV31" t="s">
        <v>146</v>
      </c>
      <c r="DW31">
        <v>0</v>
      </c>
      <c r="DY31" t="s">
        <v>146</v>
      </c>
      <c r="DZ31">
        <v>0</v>
      </c>
      <c r="EB31" t="s">
        <v>538</v>
      </c>
      <c r="EC31">
        <v>0</v>
      </c>
      <c r="EE31" t="s">
        <v>539</v>
      </c>
      <c r="EF31">
        <v>0</v>
      </c>
    </row>
    <row r="32" spans="1:136">
      <c r="A32">
        <v>31</v>
      </c>
      <c r="B32" s="2">
        <v>45723.760416666664</v>
      </c>
      <c r="C32" s="2">
        <v>45723.768055555556</v>
      </c>
      <c r="D32" t="s">
        <v>540</v>
      </c>
      <c r="E32" t="s">
        <v>541</v>
      </c>
      <c r="I32" t="s">
        <v>542</v>
      </c>
      <c r="J32">
        <v>0</v>
      </c>
      <c r="L32">
        <v>80021923</v>
      </c>
      <c r="M32">
        <v>0</v>
      </c>
      <c r="O32" t="s">
        <v>328</v>
      </c>
      <c r="P32">
        <v>0</v>
      </c>
      <c r="R32">
        <v>3164933046</v>
      </c>
      <c r="S32">
        <v>0</v>
      </c>
      <c r="U32">
        <v>2025</v>
      </c>
      <c r="V32">
        <v>0</v>
      </c>
      <c r="X32" t="s">
        <v>158</v>
      </c>
      <c r="Y32">
        <v>0</v>
      </c>
      <c r="AA32" t="s">
        <v>142</v>
      </c>
      <c r="AB32">
        <v>0</v>
      </c>
      <c r="AD32" t="s">
        <v>543</v>
      </c>
      <c r="AE32">
        <v>0</v>
      </c>
      <c r="AG32" t="s">
        <v>148</v>
      </c>
      <c r="AH32">
        <v>0</v>
      </c>
      <c r="AJ32" t="s">
        <v>544</v>
      </c>
      <c r="AK32">
        <v>0</v>
      </c>
      <c r="AM32" t="s">
        <v>165</v>
      </c>
      <c r="AN32">
        <v>0</v>
      </c>
      <c r="AP32" t="s">
        <v>545</v>
      </c>
      <c r="AQ32">
        <v>0</v>
      </c>
      <c r="AS32" t="s">
        <v>163</v>
      </c>
      <c r="AT32">
        <v>0</v>
      </c>
      <c r="AV32" t="s">
        <v>546</v>
      </c>
      <c r="AW32">
        <v>0</v>
      </c>
      <c r="AY32" t="s">
        <v>216</v>
      </c>
      <c r="AZ32">
        <v>0</v>
      </c>
      <c r="BB32" t="s">
        <v>547</v>
      </c>
      <c r="BC32">
        <v>0</v>
      </c>
      <c r="BE32" t="s">
        <v>163</v>
      </c>
      <c r="BF32">
        <v>0</v>
      </c>
      <c r="BH32" t="s">
        <v>163</v>
      </c>
      <c r="BI32">
        <v>0</v>
      </c>
      <c r="BK32" t="s">
        <v>163</v>
      </c>
      <c r="BL32">
        <v>0</v>
      </c>
      <c r="BN32" t="s">
        <v>548</v>
      </c>
      <c r="BO32">
        <v>0</v>
      </c>
      <c r="BQ32" t="s">
        <v>549</v>
      </c>
      <c r="BR32">
        <v>0</v>
      </c>
      <c r="BT32" t="s">
        <v>163</v>
      </c>
      <c r="BU32">
        <v>0</v>
      </c>
      <c r="BW32" t="s">
        <v>163</v>
      </c>
      <c r="BX32">
        <v>0</v>
      </c>
      <c r="BZ32" t="s">
        <v>163</v>
      </c>
      <c r="CA32">
        <v>0</v>
      </c>
      <c r="CC32" t="s">
        <v>163</v>
      </c>
      <c r="CD32">
        <v>0</v>
      </c>
      <c r="CF32" t="s">
        <v>163</v>
      </c>
      <c r="CG32">
        <v>0</v>
      </c>
      <c r="CI32" t="s">
        <v>550</v>
      </c>
      <c r="CJ32">
        <v>0</v>
      </c>
      <c r="CL32" t="s">
        <v>163</v>
      </c>
      <c r="CM32">
        <v>0</v>
      </c>
      <c r="CO32" t="s">
        <v>550</v>
      </c>
      <c r="CP32">
        <v>0</v>
      </c>
      <c r="CR32" t="s">
        <v>163</v>
      </c>
      <c r="CS32">
        <v>0</v>
      </c>
      <c r="CU32" t="s">
        <v>216</v>
      </c>
      <c r="CV32">
        <v>0</v>
      </c>
      <c r="CX32" t="s">
        <v>163</v>
      </c>
      <c r="CY32">
        <v>0</v>
      </c>
      <c r="DA32" t="s">
        <v>185</v>
      </c>
      <c r="DB32">
        <v>0</v>
      </c>
      <c r="DD32" t="s">
        <v>163</v>
      </c>
      <c r="DE32">
        <v>0</v>
      </c>
      <c r="DG32" t="s">
        <v>163</v>
      </c>
      <c r="DH32">
        <v>0</v>
      </c>
      <c r="DJ32" t="s">
        <v>216</v>
      </c>
      <c r="DK32">
        <v>0</v>
      </c>
      <c r="DM32" t="s">
        <v>216</v>
      </c>
      <c r="DN32">
        <v>0</v>
      </c>
      <c r="DP32" t="s">
        <v>163</v>
      </c>
      <c r="DQ32">
        <v>0</v>
      </c>
      <c r="DS32" t="s">
        <v>201</v>
      </c>
      <c r="DT32">
        <v>0</v>
      </c>
      <c r="DV32" t="s">
        <v>165</v>
      </c>
      <c r="DW32">
        <v>0</v>
      </c>
      <c r="DY32" t="s">
        <v>163</v>
      </c>
      <c r="DZ32">
        <v>0</v>
      </c>
      <c r="EB32" t="s">
        <v>551</v>
      </c>
      <c r="EC32">
        <v>0</v>
      </c>
      <c r="EE32" t="s">
        <v>552</v>
      </c>
      <c r="EF32">
        <v>0</v>
      </c>
    </row>
    <row r="33" spans="1:136">
      <c r="A33">
        <v>32</v>
      </c>
      <c r="B33" s="2">
        <v>45723.761805555558</v>
      </c>
      <c r="C33" s="2">
        <v>45723.770833333336</v>
      </c>
      <c r="D33" t="s">
        <v>553</v>
      </c>
      <c r="E33" t="s">
        <v>554</v>
      </c>
      <c r="I33" t="s">
        <v>555</v>
      </c>
      <c r="J33">
        <v>0</v>
      </c>
      <c r="L33">
        <v>1013619955</v>
      </c>
      <c r="M33">
        <v>0</v>
      </c>
      <c r="O33" t="s">
        <v>157</v>
      </c>
      <c r="P33">
        <v>0</v>
      </c>
      <c r="R33">
        <v>3212545073</v>
      </c>
      <c r="S33">
        <v>0</v>
      </c>
      <c r="U33">
        <v>2025</v>
      </c>
      <c r="V33">
        <v>0</v>
      </c>
      <c r="X33" t="s">
        <v>158</v>
      </c>
      <c r="Y33">
        <v>0</v>
      </c>
      <c r="AA33" t="s">
        <v>142</v>
      </c>
      <c r="AB33">
        <v>0</v>
      </c>
      <c r="AD33" t="s">
        <v>556</v>
      </c>
      <c r="AE33">
        <v>0</v>
      </c>
      <c r="AG33" t="s">
        <v>144</v>
      </c>
      <c r="AH33">
        <v>0</v>
      </c>
      <c r="AJ33" t="s">
        <v>557</v>
      </c>
      <c r="AK33">
        <v>0</v>
      </c>
      <c r="AM33" t="s">
        <v>163</v>
      </c>
      <c r="AN33">
        <v>0</v>
      </c>
      <c r="AP33" t="s">
        <v>331</v>
      </c>
      <c r="AQ33">
        <v>0</v>
      </c>
      <c r="AS33" t="s">
        <v>216</v>
      </c>
      <c r="AT33">
        <v>0</v>
      </c>
      <c r="AV33" t="s">
        <v>558</v>
      </c>
      <c r="AW33">
        <v>0</v>
      </c>
      <c r="AY33" t="s">
        <v>163</v>
      </c>
      <c r="AZ33">
        <v>0</v>
      </c>
      <c r="BB33" t="s">
        <v>559</v>
      </c>
      <c r="BC33">
        <v>0</v>
      </c>
      <c r="BE33" t="s">
        <v>165</v>
      </c>
      <c r="BF33">
        <v>0</v>
      </c>
      <c r="BH33" t="s">
        <v>146</v>
      </c>
      <c r="BI33">
        <v>0</v>
      </c>
      <c r="BK33" t="s">
        <v>165</v>
      </c>
      <c r="BL33">
        <v>0</v>
      </c>
      <c r="BN33" t="s">
        <v>331</v>
      </c>
      <c r="BO33">
        <v>0</v>
      </c>
      <c r="BQ33" t="s">
        <v>560</v>
      </c>
      <c r="BR33">
        <v>0</v>
      </c>
      <c r="BT33" t="s">
        <v>165</v>
      </c>
      <c r="BU33">
        <v>0</v>
      </c>
      <c r="BW33" t="s">
        <v>165</v>
      </c>
      <c r="BX33">
        <v>0</v>
      </c>
      <c r="BZ33" t="s">
        <v>163</v>
      </c>
      <c r="CA33">
        <v>0</v>
      </c>
      <c r="CC33" t="s">
        <v>146</v>
      </c>
      <c r="CD33">
        <v>0</v>
      </c>
      <c r="CF33" t="s">
        <v>165</v>
      </c>
      <c r="CG33">
        <v>0</v>
      </c>
      <c r="CI33" t="s">
        <v>331</v>
      </c>
      <c r="CJ33">
        <v>0</v>
      </c>
      <c r="CL33" t="s">
        <v>165</v>
      </c>
      <c r="CM33">
        <v>0</v>
      </c>
      <c r="CO33" t="s">
        <v>331</v>
      </c>
      <c r="CP33">
        <v>0</v>
      </c>
      <c r="CR33" t="s">
        <v>146</v>
      </c>
      <c r="CS33">
        <v>0</v>
      </c>
      <c r="CU33" t="s">
        <v>165</v>
      </c>
      <c r="CV33">
        <v>0</v>
      </c>
      <c r="CX33" t="s">
        <v>165</v>
      </c>
      <c r="CY33">
        <v>0</v>
      </c>
      <c r="DA33" t="s">
        <v>185</v>
      </c>
      <c r="DB33">
        <v>0</v>
      </c>
      <c r="DD33" t="s">
        <v>165</v>
      </c>
      <c r="DE33">
        <v>0</v>
      </c>
      <c r="DG33" t="s">
        <v>163</v>
      </c>
      <c r="DH33">
        <v>0</v>
      </c>
      <c r="DJ33" t="s">
        <v>165</v>
      </c>
      <c r="DK33">
        <v>0</v>
      </c>
      <c r="DM33" t="s">
        <v>216</v>
      </c>
      <c r="DN33">
        <v>0</v>
      </c>
      <c r="DP33" t="s">
        <v>165</v>
      </c>
      <c r="DQ33">
        <v>0</v>
      </c>
      <c r="DS33" t="s">
        <v>152</v>
      </c>
      <c r="DT33">
        <v>0</v>
      </c>
      <c r="DV33" t="s">
        <v>146</v>
      </c>
      <c r="DW33">
        <v>0</v>
      </c>
      <c r="DY33" t="s">
        <v>165</v>
      </c>
      <c r="DZ33">
        <v>0</v>
      </c>
      <c r="EB33" t="s">
        <v>561</v>
      </c>
      <c r="EC33">
        <v>0</v>
      </c>
      <c r="EE33" t="s">
        <v>562</v>
      </c>
      <c r="EF33">
        <v>0</v>
      </c>
    </row>
    <row r="34" spans="1:136">
      <c r="A34">
        <v>33</v>
      </c>
      <c r="B34" s="2">
        <v>45723.756944444445</v>
      </c>
      <c r="C34" s="2">
        <v>45723.771527777775</v>
      </c>
      <c r="D34" t="s">
        <v>563</v>
      </c>
      <c r="E34" t="s">
        <v>564</v>
      </c>
      <c r="I34" t="s">
        <v>565</v>
      </c>
      <c r="J34">
        <v>0</v>
      </c>
      <c r="L34">
        <v>1024543666</v>
      </c>
      <c r="M34">
        <v>0</v>
      </c>
      <c r="O34" t="s">
        <v>157</v>
      </c>
      <c r="P34">
        <v>0</v>
      </c>
      <c r="R34">
        <v>3214243119</v>
      </c>
      <c r="S34">
        <v>0</v>
      </c>
      <c r="U34">
        <v>2025</v>
      </c>
      <c r="V34">
        <v>0</v>
      </c>
      <c r="X34" t="s">
        <v>158</v>
      </c>
      <c r="Y34">
        <v>0</v>
      </c>
      <c r="AA34" t="s">
        <v>159</v>
      </c>
      <c r="AB34">
        <v>0</v>
      </c>
      <c r="AD34" t="s">
        <v>566</v>
      </c>
      <c r="AE34">
        <v>0</v>
      </c>
      <c r="AG34" t="s">
        <v>144</v>
      </c>
      <c r="AH34">
        <v>0</v>
      </c>
      <c r="AJ34" t="s">
        <v>567</v>
      </c>
      <c r="AK34">
        <v>0</v>
      </c>
      <c r="AM34" t="s">
        <v>146</v>
      </c>
      <c r="AN34">
        <v>0</v>
      </c>
      <c r="AP34" t="s">
        <v>568</v>
      </c>
      <c r="AQ34">
        <v>0</v>
      </c>
      <c r="AS34" t="s">
        <v>163</v>
      </c>
      <c r="AT34">
        <v>0</v>
      </c>
      <c r="AV34" t="s">
        <v>569</v>
      </c>
      <c r="AW34">
        <v>0</v>
      </c>
      <c r="AY34" t="s">
        <v>165</v>
      </c>
      <c r="AZ34">
        <v>0</v>
      </c>
      <c r="BB34" t="s">
        <v>570</v>
      </c>
      <c r="BC34">
        <v>0</v>
      </c>
      <c r="BE34" t="s">
        <v>165</v>
      </c>
      <c r="BF34">
        <v>0</v>
      </c>
      <c r="BH34" t="s">
        <v>163</v>
      </c>
      <c r="BI34">
        <v>0</v>
      </c>
      <c r="BK34" t="s">
        <v>163</v>
      </c>
      <c r="BL34">
        <v>0</v>
      </c>
      <c r="BN34" t="s">
        <v>571</v>
      </c>
      <c r="BO34">
        <v>0</v>
      </c>
      <c r="BQ34" t="s">
        <v>572</v>
      </c>
      <c r="BR34">
        <v>0</v>
      </c>
      <c r="BT34" t="s">
        <v>165</v>
      </c>
      <c r="BU34">
        <v>0</v>
      </c>
      <c r="BW34" t="s">
        <v>163</v>
      </c>
      <c r="BX34">
        <v>0</v>
      </c>
      <c r="BZ34" t="s">
        <v>165</v>
      </c>
      <c r="CA34">
        <v>0</v>
      </c>
      <c r="CC34" t="s">
        <v>163</v>
      </c>
      <c r="CD34">
        <v>0</v>
      </c>
      <c r="CF34" t="s">
        <v>163</v>
      </c>
      <c r="CG34">
        <v>0</v>
      </c>
      <c r="CI34" t="s">
        <v>573</v>
      </c>
      <c r="CJ34">
        <v>0</v>
      </c>
      <c r="CL34" t="s">
        <v>165</v>
      </c>
      <c r="CM34">
        <v>0</v>
      </c>
      <c r="CO34" t="s">
        <v>573</v>
      </c>
      <c r="CP34">
        <v>0</v>
      </c>
      <c r="CR34" t="s">
        <v>165</v>
      </c>
      <c r="CS34">
        <v>0</v>
      </c>
      <c r="CU34" t="s">
        <v>165</v>
      </c>
      <c r="CV34">
        <v>0</v>
      </c>
      <c r="CX34" t="s">
        <v>163</v>
      </c>
      <c r="CY34">
        <v>0</v>
      </c>
      <c r="DA34" t="s">
        <v>185</v>
      </c>
      <c r="DB34">
        <v>0</v>
      </c>
      <c r="DD34" t="s">
        <v>165</v>
      </c>
      <c r="DE34">
        <v>0</v>
      </c>
      <c r="DG34" t="s">
        <v>163</v>
      </c>
      <c r="DH34">
        <v>0</v>
      </c>
      <c r="DJ34" t="s">
        <v>165</v>
      </c>
      <c r="DK34">
        <v>0</v>
      </c>
      <c r="DM34" t="s">
        <v>165</v>
      </c>
      <c r="DN34">
        <v>0</v>
      </c>
      <c r="DP34" t="s">
        <v>165</v>
      </c>
      <c r="DQ34">
        <v>0</v>
      </c>
      <c r="DS34" t="s">
        <v>284</v>
      </c>
      <c r="DT34">
        <v>0</v>
      </c>
      <c r="DV34" t="s">
        <v>165</v>
      </c>
      <c r="DW34">
        <v>0</v>
      </c>
      <c r="DY34" t="s">
        <v>165</v>
      </c>
      <c r="DZ34">
        <v>0</v>
      </c>
      <c r="EB34" t="s">
        <v>574</v>
      </c>
      <c r="EC34">
        <v>0</v>
      </c>
      <c r="EE34" t="s">
        <v>575</v>
      </c>
      <c r="EF34">
        <v>0</v>
      </c>
    </row>
    <row r="35" spans="1:136">
      <c r="A35">
        <v>34</v>
      </c>
      <c r="B35" s="2">
        <v>45723.759722222225</v>
      </c>
      <c r="C35" s="2">
        <v>45723.774305555555</v>
      </c>
      <c r="D35" t="s">
        <v>576</v>
      </c>
      <c r="E35" t="s">
        <v>577</v>
      </c>
      <c r="I35" t="s">
        <v>578</v>
      </c>
      <c r="J35">
        <v>0</v>
      </c>
      <c r="L35">
        <v>1018511461</v>
      </c>
      <c r="M35">
        <v>0</v>
      </c>
      <c r="O35" t="s">
        <v>140</v>
      </c>
      <c r="P35">
        <v>0</v>
      </c>
      <c r="R35">
        <v>3223912541</v>
      </c>
      <c r="S35">
        <v>0</v>
      </c>
      <c r="U35">
        <v>2025</v>
      </c>
      <c r="V35">
        <v>0</v>
      </c>
      <c r="X35" t="s">
        <v>158</v>
      </c>
      <c r="Y35">
        <v>0</v>
      </c>
      <c r="AA35" t="s">
        <v>159</v>
      </c>
      <c r="AB35">
        <v>0</v>
      </c>
      <c r="AD35" t="s">
        <v>579</v>
      </c>
      <c r="AE35">
        <v>0</v>
      </c>
      <c r="AG35" t="s">
        <v>144</v>
      </c>
      <c r="AH35">
        <v>0</v>
      </c>
      <c r="AJ35" t="s">
        <v>580</v>
      </c>
      <c r="AK35">
        <v>0</v>
      </c>
      <c r="AM35" t="s">
        <v>165</v>
      </c>
      <c r="AN35">
        <v>0</v>
      </c>
      <c r="AP35" t="s">
        <v>581</v>
      </c>
      <c r="AQ35">
        <v>0</v>
      </c>
      <c r="AS35" t="s">
        <v>165</v>
      </c>
      <c r="AT35">
        <v>0</v>
      </c>
      <c r="AV35" t="s">
        <v>148</v>
      </c>
      <c r="AW35">
        <v>0</v>
      </c>
      <c r="AY35" t="s">
        <v>146</v>
      </c>
      <c r="AZ35">
        <v>0</v>
      </c>
      <c r="BB35" t="s">
        <v>209</v>
      </c>
      <c r="BC35">
        <v>0</v>
      </c>
      <c r="BE35" t="s">
        <v>165</v>
      </c>
      <c r="BF35">
        <v>0</v>
      </c>
      <c r="BH35" t="s">
        <v>146</v>
      </c>
      <c r="BI35">
        <v>0</v>
      </c>
      <c r="BK35" t="s">
        <v>165</v>
      </c>
      <c r="BL35">
        <v>0</v>
      </c>
      <c r="BN35" t="s">
        <v>582</v>
      </c>
      <c r="BO35">
        <v>0</v>
      </c>
      <c r="BQ35" t="s">
        <v>583</v>
      </c>
      <c r="BR35">
        <v>0</v>
      </c>
      <c r="BT35" t="s">
        <v>165</v>
      </c>
      <c r="BU35">
        <v>0</v>
      </c>
      <c r="BW35" t="s">
        <v>165</v>
      </c>
      <c r="BX35">
        <v>0</v>
      </c>
      <c r="BZ35" t="s">
        <v>146</v>
      </c>
      <c r="CA35">
        <v>0</v>
      </c>
      <c r="CC35" t="s">
        <v>146</v>
      </c>
      <c r="CD35">
        <v>0</v>
      </c>
      <c r="CF35" t="s">
        <v>163</v>
      </c>
      <c r="CG35">
        <v>0</v>
      </c>
      <c r="CI35" t="s">
        <v>573</v>
      </c>
      <c r="CJ35">
        <v>0</v>
      </c>
      <c r="CL35" t="s">
        <v>146</v>
      </c>
      <c r="CM35">
        <v>0</v>
      </c>
      <c r="CO35" t="s">
        <v>584</v>
      </c>
      <c r="CP35">
        <v>0</v>
      </c>
      <c r="CR35" t="s">
        <v>146</v>
      </c>
      <c r="CS35">
        <v>0</v>
      </c>
      <c r="CU35" t="s">
        <v>146</v>
      </c>
      <c r="CV35">
        <v>0</v>
      </c>
      <c r="CX35" t="s">
        <v>146</v>
      </c>
      <c r="CY35">
        <v>0</v>
      </c>
      <c r="DA35" t="s">
        <v>185</v>
      </c>
      <c r="DB35">
        <v>0</v>
      </c>
      <c r="DD35" t="s">
        <v>146</v>
      </c>
      <c r="DE35">
        <v>0</v>
      </c>
      <c r="DG35" t="s">
        <v>165</v>
      </c>
      <c r="DH35">
        <v>0</v>
      </c>
      <c r="DJ35" t="s">
        <v>165</v>
      </c>
      <c r="DK35">
        <v>0</v>
      </c>
      <c r="DM35" t="s">
        <v>165</v>
      </c>
      <c r="DN35">
        <v>0</v>
      </c>
      <c r="DP35" t="s">
        <v>165</v>
      </c>
      <c r="DQ35">
        <v>0</v>
      </c>
      <c r="DS35" t="s">
        <v>244</v>
      </c>
      <c r="DT35">
        <v>0</v>
      </c>
      <c r="DV35" t="s">
        <v>165</v>
      </c>
      <c r="DW35">
        <v>0</v>
      </c>
      <c r="DY35" t="s">
        <v>165</v>
      </c>
      <c r="DZ35">
        <v>0</v>
      </c>
      <c r="EB35" t="s">
        <v>585</v>
      </c>
      <c r="EC35">
        <v>0</v>
      </c>
      <c r="EE35" t="s">
        <v>586</v>
      </c>
      <c r="EF35">
        <v>0</v>
      </c>
    </row>
    <row r="36" spans="1:136">
      <c r="A36">
        <v>35</v>
      </c>
      <c r="B36" s="2">
        <v>45723.76666666667</v>
      </c>
      <c r="C36" s="2">
        <v>45723.775000000001</v>
      </c>
      <c r="D36" t="s">
        <v>587</v>
      </c>
      <c r="E36" t="s">
        <v>588</v>
      </c>
      <c r="I36" t="s">
        <v>589</v>
      </c>
      <c r="J36">
        <v>0</v>
      </c>
      <c r="L36">
        <v>1018491467</v>
      </c>
      <c r="M36">
        <v>0</v>
      </c>
      <c r="O36" t="s">
        <v>140</v>
      </c>
      <c r="P36">
        <v>0</v>
      </c>
      <c r="R36">
        <v>3138829198</v>
      </c>
      <c r="S36">
        <v>0</v>
      </c>
      <c r="U36">
        <v>2024</v>
      </c>
      <c r="V36">
        <v>0</v>
      </c>
      <c r="X36" t="s">
        <v>412</v>
      </c>
      <c r="Y36">
        <v>0</v>
      </c>
      <c r="AA36" t="s">
        <v>142</v>
      </c>
      <c r="AB36">
        <v>0</v>
      </c>
      <c r="AD36" t="s">
        <v>590</v>
      </c>
      <c r="AE36">
        <v>0</v>
      </c>
      <c r="AG36" t="s">
        <v>144</v>
      </c>
      <c r="AH36">
        <v>0</v>
      </c>
      <c r="AJ36" t="s">
        <v>591</v>
      </c>
      <c r="AK36">
        <v>0</v>
      </c>
      <c r="AM36" t="s">
        <v>146</v>
      </c>
      <c r="AN36">
        <v>0</v>
      </c>
      <c r="AP36" t="s">
        <v>279</v>
      </c>
      <c r="AQ36">
        <v>0</v>
      </c>
      <c r="AS36" t="s">
        <v>165</v>
      </c>
      <c r="AT36">
        <v>0</v>
      </c>
      <c r="AV36" t="s">
        <v>148</v>
      </c>
      <c r="AW36">
        <v>0</v>
      </c>
      <c r="AY36" t="s">
        <v>165</v>
      </c>
      <c r="AZ36">
        <v>0</v>
      </c>
      <c r="BB36" t="s">
        <v>279</v>
      </c>
      <c r="BC36">
        <v>0</v>
      </c>
      <c r="BE36" t="s">
        <v>165</v>
      </c>
      <c r="BF36">
        <v>0</v>
      </c>
      <c r="BH36" t="s">
        <v>165</v>
      </c>
      <c r="BI36">
        <v>0</v>
      </c>
      <c r="BK36" t="s">
        <v>163</v>
      </c>
      <c r="BL36">
        <v>0</v>
      </c>
      <c r="BN36" t="s">
        <v>279</v>
      </c>
      <c r="BO36">
        <v>0</v>
      </c>
      <c r="BQ36" t="s">
        <v>592</v>
      </c>
      <c r="BR36">
        <v>0</v>
      </c>
      <c r="BT36" t="s">
        <v>165</v>
      </c>
      <c r="BU36">
        <v>0</v>
      </c>
      <c r="BW36" t="s">
        <v>165</v>
      </c>
      <c r="BX36">
        <v>0</v>
      </c>
      <c r="BZ36" t="s">
        <v>163</v>
      </c>
      <c r="CA36">
        <v>0</v>
      </c>
      <c r="CC36" t="s">
        <v>165</v>
      </c>
      <c r="CD36">
        <v>0</v>
      </c>
      <c r="CF36" t="s">
        <v>163</v>
      </c>
      <c r="CG36">
        <v>0</v>
      </c>
      <c r="CI36" t="s">
        <v>593</v>
      </c>
      <c r="CJ36">
        <v>0</v>
      </c>
      <c r="CL36" t="s">
        <v>146</v>
      </c>
      <c r="CM36">
        <v>0</v>
      </c>
      <c r="CO36" t="s">
        <v>594</v>
      </c>
      <c r="CP36">
        <v>0</v>
      </c>
      <c r="CR36" t="s">
        <v>165</v>
      </c>
      <c r="CS36">
        <v>0</v>
      </c>
      <c r="CU36" t="s">
        <v>165</v>
      </c>
      <c r="CV36">
        <v>0</v>
      </c>
      <c r="CX36" t="s">
        <v>165</v>
      </c>
      <c r="CY36">
        <v>0</v>
      </c>
      <c r="DA36" t="s">
        <v>185</v>
      </c>
      <c r="DB36">
        <v>0</v>
      </c>
      <c r="DD36" t="s">
        <v>165</v>
      </c>
      <c r="DE36">
        <v>0</v>
      </c>
      <c r="DG36" t="s">
        <v>163</v>
      </c>
      <c r="DH36">
        <v>0</v>
      </c>
      <c r="DJ36" t="s">
        <v>163</v>
      </c>
      <c r="DK36">
        <v>0</v>
      </c>
      <c r="DM36" t="s">
        <v>165</v>
      </c>
      <c r="DN36">
        <v>0</v>
      </c>
      <c r="DP36" t="s">
        <v>146</v>
      </c>
      <c r="DQ36">
        <v>0</v>
      </c>
      <c r="DS36" t="s">
        <v>152</v>
      </c>
      <c r="DT36">
        <v>0</v>
      </c>
      <c r="DV36" t="s">
        <v>165</v>
      </c>
      <c r="DW36">
        <v>0</v>
      </c>
      <c r="DY36" t="s">
        <v>163</v>
      </c>
      <c r="DZ36">
        <v>0</v>
      </c>
      <c r="EB36" t="s">
        <v>595</v>
      </c>
      <c r="EC36">
        <v>0</v>
      </c>
      <c r="EE36" t="s">
        <v>279</v>
      </c>
      <c r="EF36">
        <v>0</v>
      </c>
    </row>
    <row r="37" spans="1:136">
      <c r="A37">
        <v>36</v>
      </c>
      <c r="B37" s="2">
        <v>45723.763194444444</v>
      </c>
      <c r="C37" s="2">
        <v>45723.775694444441</v>
      </c>
      <c r="D37" t="s">
        <v>596</v>
      </c>
      <c r="E37" t="s">
        <v>597</v>
      </c>
      <c r="I37" t="s">
        <v>598</v>
      </c>
      <c r="J37">
        <v>0</v>
      </c>
      <c r="L37">
        <v>1014274957</v>
      </c>
      <c r="M37">
        <v>0</v>
      </c>
      <c r="O37" t="s">
        <v>140</v>
      </c>
      <c r="P37">
        <v>0</v>
      </c>
      <c r="R37">
        <v>3203427538</v>
      </c>
      <c r="S37">
        <v>0</v>
      </c>
      <c r="U37">
        <v>2025</v>
      </c>
      <c r="V37">
        <v>0</v>
      </c>
      <c r="X37" t="s">
        <v>412</v>
      </c>
      <c r="Y37">
        <v>0</v>
      </c>
      <c r="AA37" t="s">
        <v>142</v>
      </c>
      <c r="AB37">
        <v>0</v>
      </c>
      <c r="AD37" t="s">
        <v>599</v>
      </c>
      <c r="AE37">
        <v>0</v>
      </c>
      <c r="AG37" t="s">
        <v>144</v>
      </c>
      <c r="AH37">
        <v>0</v>
      </c>
      <c r="AJ37" t="s">
        <v>600</v>
      </c>
      <c r="AK37">
        <v>0</v>
      </c>
      <c r="AM37" t="s">
        <v>146</v>
      </c>
      <c r="AN37">
        <v>0</v>
      </c>
      <c r="AP37" t="s">
        <v>601</v>
      </c>
      <c r="AQ37">
        <v>0</v>
      </c>
      <c r="AS37" t="s">
        <v>165</v>
      </c>
      <c r="AT37">
        <v>0</v>
      </c>
      <c r="AV37" t="s">
        <v>602</v>
      </c>
      <c r="AW37">
        <v>0</v>
      </c>
      <c r="AY37" t="s">
        <v>165</v>
      </c>
      <c r="AZ37">
        <v>0</v>
      </c>
      <c r="BB37" t="s">
        <v>603</v>
      </c>
      <c r="BC37">
        <v>0</v>
      </c>
      <c r="BE37" t="s">
        <v>165</v>
      </c>
      <c r="BF37">
        <v>0</v>
      </c>
      <c r="BH37" t="s">
        <v>165</v>
      </c>
      <c r="BI37">
        <v>0</v>
      </c>
      <c r="BK37" t="s">
        <v>163</v>
      </c>
      <c r="BL37">
        <v>0</v>
      </c>
      <c r="BN37" t="s">
        <v>604</v>
      </c>
      <c r="BO37">
        <v>0</v>
      </c>
      <c r="BQ37" t="s">
        <v>605</v>
      </c>
      <c r="BR37">
        <v>0</v>
      </c>
      <c r="BT37" t="s">
        <v>165</v>
      </c>
      <c r="BU37">
        <v>0</v>
      </c>
      <c r="BW37" t="s">
        <v>165</v>
      </c>
      <c r="BX37">
        <v>0</v>
      </c>
      <c r="BZ37" t="s">
        <v>165</v>
      </c>
      <c r="CA37">
        <v>0</v>
      </c>
      <c r="CC37" t="s">
        <v>165</v>
      </c>
      <c r="CD37">
        <v>0</v>
      </c>
      <c r="CF37" t="s">
        <v>163</v>
      </c>
      <c r="CG37">
        <v>0</v>
      </c>
      <c r="CI37" t="s">
        <v>606</v>
      </c>
      <c r="CJ37">
        <v>0</v>
      </c>
      <c r="CL37" t="s">
        <v>165</v>
      </c>
      <c r="CM37">
        <v>0</v>
      </c>
      <c r="CO37" t="s">
        <v>607</v>
      </c>
      <c r="CP37">
        <v>0</v>
      </c>
      <c r="CR37" t="s">
        <v>165</v>
      </c>
      <c r="CS37">
        <v>0</v>
      </c>
      <c r="CU37" t="s">
        <v>165</v>
      </c>
      <c r="CV37">
        <v>0</v>
      </c>
      <c r="CX37" t="s">
        <v>165</v>
      </c>
      <c r="CY37">
        <v>0</v>
      </c>
      <c r="DA37" t="s">
        <v>185</v>
      </c>
      <c r="DB37">
        <v>0</v>
      </c>
      <c r="DD37" t="s">
        <v>165</v>
      </c>
      <c r="DE37">
        <v>0</v>
      </c>
      <c r="DG37" t="s">
        <v>165</v>
      </c>
      <c r="DH37">
        <v>0</v>
      </c>
      <c r="DJ37" t="s">
        <v>165</v>
      </c>
      <c r="DK37">
        <v>0</v>
      </c>
      <c r="DM37" t="s">
        <v>165</v>
      </c>
      <c r="DN37">
        <v>0</v>
      </c>
      <c r="DP37" t="s">
        <v>165</v>
      </c>
      <c r="DQ37">
        <v>0</v>
      </c>
      <c r="DS37" t="s">
        <v>152</v>
      </c>
      <c r="DT37">
        <v>0</v>
      </c>
      <c r="DV37" t="s">
        <v>146</v>
      </c>
      <c r="DW37">
        <v>0</v>
      </c>
      <c r="DY37" t="s">
        <v>163</v>
      </c>
      <c r="DZ37">
        <v>0</v>
      </c>
      <c r="EB37" t="s">
        <v>608</v>
      </c>
      <c r="EC37">
        <v>0</v>
      </c>
      <c r="EE37" t="s">
        <v>609</v>
      </c>
      <c r="EF37">
        <v>0</v>
      </c>
    </row>
    <row r="38" spans="1:136">
      <c r="A38">
        <v>37</v>
      </c>
      <c r="B38" s="2">
        <v>45723.770833333336</v>
      </c>
      <c r="C38" s="2">
        <v>45723.775694444441</v>
      </c>
      <c r="D38" t="s">
        <v>610</v>
      </c>
      <c r="E38" t="s">
        <v>611</v>
      </c>
      <c r="I38" t="s">
        <v>612</v>
      </c>
      <c r="J38">
        <v>0</v>
      </c>
      <c r="L38">
        <v>1022437869</v>
      </c>
      <c r="M38">
        <v>0</v>
      </c>
      <c r="O38" t="s">
        <v>140</v>
      </c>
      <c r="P38">
        <v>0</v>
      </c>
      <c r="R38">
        <v>3046228667</v>
      </c>
      <c r="S38">
        <v>0</v>
      </c>
      <c r="U38">
        <v>2024</v>
      </c>
      <c r="V38">
        <v>0</v>
      </c>
      <c r="X38" t="s">
        <v>412</v>
      </c>
      <c r="Y38">
        <v>0</v>
      </c>
      <c r="AA38" t="s">
        <v>142</v>
      </c>
      <c r="AB38">
        <v>0</v>
      </c>
      <c r="AD38" t="s">
        <v>491</v>
      </c>
      <c r="AE38">
        <v>0</v>
      </c>
      <c r="AG38" t="s">
        <v>144</v>
      </c>
      <c r="AH38">
        <v>0</v>
      </c>
      <c r="AJ38" t="s">
        <v>613</v>
      </c>
      <c r="AK38">
        <v>0</v>
      </c>
      <c r="AM38" t="s">
        <v>146</v>
      </c>
      <c r="AN38">
        <v>0</v>
      </c>
      <c r="AP38" t="s">
        <v>614</v>
      </c>
      <c r="AQ38">
        <v>0</v>
      </c>
      <c r="AS38" t="s">
        <v>165</v>
      </c>
      <c r="AT38">
        <v>0</v>
      </c>
      <c r="AV38" t="s">
        <v>615</v>
      </c>
      <c r="AW38">
        <v>0</v>
      </c>
      <c r="AY38" t="s">
        <v>165</v>
      </c>
      <c r="AZ38">
        <v>0</v>
      </c>
      <c r="BB38" t="s">
        <v>616</v>
      </c>
      <c r="BC38">
        <v>0</v>
      </c>
      <c r="BE38" t="s">
        <v>146</v>
      </c>
      <c r="BF38">
        <v>0</v>
      </c>
      <c r="BH38" t="s">
        <v>146</v>
      </c>
      <c r="BI38">
        <v>0</v>
      </c>
      <c r="BK38" t="s">
        <v>146</v>
      </c>
      <c r="BL38">
        <v>0</v>
      </c>
      <c r="BN38" t="s">
        <v>617</v>
      </c>
      <c r="BO38">
        <v>0</v>
      </c>
      <c r="BQ38" t="s">
        <v>618</v>
      </c>
      <c r="BR38">
        <v>0</v>
      </c>
      <c r="BT38" t="s">
        <v>165</v>
      </c>
      <c r="BU38">
        <v>0</v>
      </c>
      <c r="BW38" t="s">
        <v>165</v>
      </c>
      <c r="BX38">
        <v>0</v>
      </c>
      <c r="BZ38" t="s">
        <v>165</v>
      </c>
      <c r="CA38">
        <v>0</v>
      </c>
      <c r="CC38" t="s">
        <v>165</v>
      </c>
      <c r="CD38">
        <v>0</v>
      </c>
      <c r="CF38" t="s">
        <v>165</v>
      </c>
      <c r="CG38">
        <v>0</v>
      </c>
      <c r="CI38" t="s">
        <v>619</v>
      </c>
      <c r="CJ38">
        <v>0</v>
      </c>
      <c r="CL38" t="s">
        <v>165</v>
      </c>
      <c r="CM38">
        <v>0</v>
      </c>
      <c r="CO38" t="s">
        <v>620</v>
      </c>
      <c r="CP38">
        <v>0</v>
      </c>
      <c r="CR38" t="s">
        <v>165</v>
      </c>
      <c r="CS38">
        <v>0</v>
      </c>
      <c r="CU38" t="s">
        <v>165</v>
      </c>
      <c r="CV38">
        <v>0</v>
      </c>
      <c r="CX38" t="s">
        <v>165</v>
      </c>
      <c r="CY38">
        <v>0</v>
      </c>
      <c r="DA38" t="s">
        <v>185</v>
      </c>
      <c r="DB38">
        <v>0</v>
      </c>
      <c r="DD38" t="s">
        <v>146</v>
      </c>
      <c r="DE38">
        <v>0</v>
      </c>
      <c r="DG38" t="s">
        <v>146</v>
      </c>
      <c r="DH38">
        <v>0</v>
      </c>
      <c r="DJ38" t="s">
        <v>165</v>
      </c>
      <c r="DK38">
        <v>0</v>
      </c>
      <c r="DM38" t="s">
        <v>146</v>
      </c>
      <c r="DN38">
        <v>0</v>
      </c>
      <c r="DP38" t="s">
        <v>146</v>
      </c>
      <c r="DQ38">
        <v>0</v>
      </c>
      <c r="DS38" t="s">
        <v>284</v>
      </c>
      <c r="DT38">
        <v>0</v>
      </c>
      <c r="DV38" t="s">
        <v>146</v>
      </c>
      <c r="DW38">
        <v>0</v>
      </c>
      <c r="DY38" t="s">
        <v>146</v>
      </c>
      <c r="DZ38">
        <v>0</v>
      </c>
      <c r="EB38" t="s">
        <v>621</v>
      </c>
      <c r="EC38">
        <v>0</v>
      </c>
      <c r="EE38" t="s">
        <v>622</v>
      </c>
      <c r="EF38">
        <v>0</v>
      </c>
    </row>
    <row r="39" spans="1:136">
      <c r="A39">
        <v>38</v>
      </c>
      <c r="B39" s="2">
        <v>45723.768750000003</v>
      </c>
      <c r="C39" s="2">
        <v>45723.780555555553</v>
      </c>
      <c r="D39" t="s">
        <v>623</v>
      </c>
      <c r="E39" t="s">
        <v>624</v>
      </c>
      <c r="I39" t="s">
        <v>625</v>
      </c>
      <c r="J39">
        <v>0</v>
      </c>
      <c r="L39">
        <v>1030631243</v>
      </c>
      <c r="M39">
        <v>0</v>
      </c>
      <c r="O39" t="s">
        <v>157</v>
      </c>
      <c r="P39">
        <v>0</v>
      </c>
      <c r="R39">
        <v>3103983564</v>
      </c>
      <c r="S39">
        <v>0</v>
      </c>
      <c r="U39">
        <v>2022</v>
      </c>
      <c r="V39">
        <v>0</v>
      </c>
      <c r="X39" t="s">
        <v>141</v>
      </c>
      <c r="Y39">
        <v>0</v>
      </c>
      <c r="AA39" t="s">
        <v>159</v>
      </c>
      <c r="AB39">
        <v>0</v>
      </c>
      <c r="AD39" t="s">
        <v>626</v>
      </c>
      <c r="AE39">
        <v>0</v>
      </c>
      <c r="AG39" t="s">
        <v>144</v>
      </c>
      <c r="AH39">
        <v>0</v>
      </c>
      <c r="AJ39" t="s">
        <v>627</v>
      </c>
      <c r="AK39">
        <v>0</v>
      </c>
      <c r="AM39" t="s">
        <v>165</v>
      </c>
      <c r="AN39">
        <v>0</v>
      </c>
      <c r="AP39" t="s">
        <v>628</v>
      </c>
      <c r="AQ39">
        <v>0</v>
      </c>
      <c r="AS39" t="s">
        <v>163</v>
      </c>
      <c r="AT39">
        <v>0</v>
      </c>
      <c r="AV39" t="s">
        <v>629</v>
      </c>
      <c r="AW39">
        <v>0</v>
      </c>
      <c r="AY39" t="s">
        <v>163</v>
      </c>
      <c r="AZ39">
        <v>0</v>
      </c>
      <c r="BB39" t="s">
        <v>630</v>
      </c>
      <c r="BC39">
        <v>0</v>
      </c>
      <c r="BE39" t="s">
        <v>216</v>
      </c>
      <c r="BF39">
        <v>0</v>
      </c>
      <c r="BH39" t="s">
        <v>216</v>
      </c>
      <c r="BI39">
        <v>0</v>
      </c>
      <c r="BK39" t="s">
        <v>146</v>
      </c>
      <c r="BL39">
        <v>0</v>
      </c>
      <c r="BN39" t="s">
        <v>631</v>
      </c>
      <c r="BO39">
        <v>0</v>
      </c>
      <c r="BQ39" t="s">
        <v>632</v>
      </c>
      <c r="BR39">
        <v>0</v>
      </c>
      <c r="BT39" t="s">
        <v>163</v>
      </c>
      <c r="BU39">
        <v>0</v>
      </c>
      <c r="BW39" t="s">
        <v>163</v>
      </c>
      <c r="BX39">
        <v>0</v>
      </c>
      <c r="BZ39" t="s">
        <v>163</v>
      </c>
      <c r="CA39">
        <v>0</v>
      </c>
      <c r="CC39" t="s">
        <v>165</v>
      </c>
      <c r="CD39">
        <v>0</v>
      </c>
      <c r="CF39" t="s">
        <v>146</v>
      </c>
      <c r="CG39">
        <v>0</v>
      </c>
      <c r="CI39" t="s">
        <v>633</v>
      </c>
      <c r="CJ39">
        <v>0</v>
      </c>
      <c r="CL39" t="s">
        <v>163</v>
      </c>
      <c r="CM39">
        <v>0</v>
      </c>
      <c r="CO39" t="s">
        <v>331</v>
      </c>
      <c r="CP39">
        <v>0</v>
      </c>
      <c r="CR39" t="s">
        <v>163</v>
      </c>
      <c r="CS39">
        <v>0</v>
      </c>
      <c r="CU39" t="s">
        <v>163</v>
      </c>
      <c r="CV39">
        <v>0</v>
      </c>
      <c r="CX39" t="s">
        <v>163</v>
      </c>
      <c r="CY39">
        <v>0</v>
      </c>
      <c r="DA39" t="s">
        <v>215</v>
      </c>
      <c r="DB39">
        <v>0</v>
      </c>
      <c r="DD39" t="s">
        <v>165</v>
      </c>
      <c r="DE39">
        <v>0</v>
      </c>
      <c r="DG39" t="s">
        <v>163</v>
      </c>
      <c r="DH39">
        <v>0</v>
      </c>
      <c r="DJ39" t="s">
        <v>163</v>
      </c>
      <c r="DK39">
        <v>0</v>
      </c>
      <c r="DM39" t="s">
        <v>163</v>
      </c>
      <c r="DN39">
        <v>0</v>
      </c>
      <c r="DP39" t="s">
        <v>163</v>
      </c>
      <c r="DQ39">
        <v>0</v>
      </c>
      <c r="DS39" t="s">
        <v>296</v>
      </c>
      <c r="DT39">
        <v>0</v>
      </c>
      <c r="DV39" t="s">
        <v>165</v>
      </c>
      <c r="DW39">
        <v>0</v>
      </c>
      <c r="DY39" t="s">
        <v>163</v>
      </c>
      <c r="DZ39">
        <v>0</v>
      </c>
      <c r="EB39" t="s">
        <v>634</v>
      </c>
      <c r="EC39">
        <v>0</v>
      </c>
      <c r="EE39" t="s">
        <v>331</v>
      </c>
      <c r="EF39">
        <v>0</v>
      </c>
    </row>
    <row r="40" spans="1:136">
      <c r="A40">
        <v>39</v>
      </c>
      <c r="B40" s="2">
        <v>45723.762499999997</v>
      </c>
      <c r="C40" s="2">
        <v>45723.780555555553</v>
      </c>
      <c r="D40" t="s">
        <v>635</v>
      </c>
      <c r="E40" t="s">
        <v>636</v>
      </c>
      <c r="I40" t="s">
        <v>637</v>
      </c>
      <c r="J40">
        <v>0</v>
      </c>
      <c r="L40">
        <v>1014276639</v>
      </c>
      <c r="M40">
        <v>0</v>
      </c>
      <c r="O40" t="s">
        <v>140</v>
      </c>
      <c r="P40">
        <v>0</v>
      </c>
      <c r="R40">
        <v>3186980190</v>
      </c>
      <c r="S40">
        <v>0</v>
      </c>
      <c r="U40">
        <v>2025</v>
      </c>
      <c r="V40">
        <v>0</v>
      </c>
      <c r="X40" t="s">
        <v>158</v>
      </c>
      <c r="Y40">
        <v>0</v>
      </c>
      <c r="AA40" t="s">
        <v>142</v>
      </c>
      <c r="AB40">
        <v>0</v>
      </c>
      <c r="AD40" t="s">
        <v>638</v>
      </c>
      <c r="AE40">
        <v>0</v>
      </c>
      <c r="AG40" t="s">
        <v>144</v>
      </c>
      <c r="AH40">
        <v>0</v>
      </c>
      <c r="AJ40" t="s">
        <v>639</v>
      </c>
      <c r="AK40">
        <v>0</v>
      </c>
      <c r="AM40" t="s">
        <v>163</v>
      </c>
      <c r="AN40">
        <v>0</v>
      </c>
      <c r="AP40" t="s">
        <v>640</v>
      </c>
      <c r="AQ40">
        <v>0</v>
      </c>
      <c r="AS40" t="s">
        <v>163</v>
      </c>
      <c r="AT40">
        <v>0</v>
      </c>
      <c r="AV40" t="s">
        <v>641</v>
      </c>
      <c r="AW40">
        <v>0</v>
      </c>
      <c r="AY40" t="s">
        <v>163</v>
      </c>
      <c r="AZ40">
        <v>0</v>
      </c>
      <c r="BB40" t="s">
        <v>642</v>
      </c>
      <c r="BC40">
        <v>0</v>
      </c>
      <c r="BE40" t="s">
        <v>165</v>
      </c>
      <c r="BF40">
        <v>0</v>
      </c>
      <c r="BH40" t="s">
        <v>165</v>
      </c>
      <c r="BI40">
        <v>0</v>
      </c>
      <c r="BK40" t="s">
        <v>163</v>
      </c>
      <c r="BL40">
        <v>0</v>
      </c>
      <c r="BN40" t="s">
        <v>643</v>
      </c>
      <c r="BO40">
        <v>0</v>
      </c>
      <c r="BQ40" t="s">
        <v>644</v>
      </c>
      <c r="BR40">
        <v>0</v>
      </c>
      <c r="BT40" t="s">
        <v>165</v>
      </c>
      <c r="BU40">
        <v>0</v>
      </c>
      <c r="BW40" t="s">
        <v>163</v>
      </c>
      <c r="BX40">
        <v>0</v>
      </c>
      <c r="BZ40" t="s">
        <v>165</v>
      </c>
      <c r="CA40">
        <v>0</v>
      </c>
      <c r="CC40" t="s">
        <v>165</v>
      </c>
      <c r="CD40">
        <v>0</v>
      </c>
      <c r="CF40" t="s">
        <v>163</v>
      </c>
      <c r="CG40">
        <v>0</v>
      </c>
      <c r="CI40" t="s">
        <v>645</v>
      </c>
      <c r="CJ40">
        <v>0</v>
      </c>
      <c r="CL40" t="s">
        <v>216</v>
      </c>
      <c r="CM40">
        <v>0</v>
      </c>
      <c r="CO40" t="s">
        <v>646</v>
      </c>
      <c r="CP40">
        <v>0</v>
      </c>
      <c r="CR40" t="s">
        <v>165</v>
      </c>
      <c r="CS40">
        <v>0</v>
      </c>
      <c r="CU40" t="s">
        <v>163</v>
      </c>
      <c r="CV40">
        <v>0</v>
      </c>
      <c r="CX40" t="s">
        <v>165</v>
      </c>
      <c r="CY40">
        <v>0</v>
      </c>
      <c r="DA40" t="s">
        <v>185</v>
      </c>
      <c r="DB40">
        <v>0</v>
      </c>
      <c r="DD40" t="s">
        <v>165</v>
      </c>
      <c r="DE40">
        <v>0</v>
      </c>
      <c r="DG40" t="s">
        <v>163</v>
      </c>
      <c r="DH40">
        <v>0</v>
      </c>
      <c r="DJ40" t="s">
        <v>163</v>
      </c>
      <c r="DK40">
        <v>0</v>
      </c>
      <c r="DM40" t="s">
        <v>163</v>
      </c>
      <c r="DN40">
        <v>0</v>
      </c>
      <c r="DP40" t="s">
        <v>165</v>
      </c>
      <c r="DQ40">
        <v>0</v>
      </c>
      <c r="DS40" t="s">
        <v>152</v>
      </c>
      <c r="DT40">
        <v>0</v>
      </c>
      <c r="DV40" t="s">
        <v>165</v>
      </c>
      <c r="DW40">
        <v>0</v>
      </c>
      <c r="DY40" t="s">
        <v>163</v>
      </c>
      <c r="DZ40">
        <v>0</v>
      </c>
      <c r="EB40" t="s">
        <v>647</v>
      </c>
      <c r="EC40">
        <v>0</v>
      </c>
      <c r="EE40" t="s">
        <v>648</v>
      </c>
      <c r="EF40">
        <v>0</v>
      </c>
    </row>
    <row r="41" spans="1:136">
      <c r="A41">
        <v>40</v>
      </c>
      <c r="B41" s="2">
        <v>45724.29583333333</v>
      </c>
      <c r="C41" s="2">
        <v>45724.302083333336</v>
      </c>
      <c r="D41" t="s">
        <v>649</v>
      </c>
      <c r="E41" t="s">
        <v>650</v>
      </c>
      <c r="I41" t="s">
        <v>651</v>
      </c>
      <c r="J41">
        <v>0</v>
      </c>
      <c r="L41">
        <v>1019145200</v>
      </c>
      <c r="M41">
        <v>0</v>
      </c>
      <c r="O41" t="s">
        <v>140</v>
      </c>
      <c r="P41">
        <v>0</v>
      </c>
      <c r="R41">
        <v>3143757501</v>
      </c>
      <c r="S41">
        <v>0</v>
      </c>
      <c r="U41">
        <v>2024</v>
      </c>
      <c r="V41">
        <v>0</v>
      </c>
      <c r="X41" t="s">
        <v>158</v>
      </c>
      <c r="Y41">
        <v>0</v>
      </c>
      <c r="AA41" t="s">
        <v>159</v>
      </c>
      <c r="AB41">
        <v>0</v>
      </c>
      <c r="AD41" t="s">
        <v>579</v>
      </c>
      <c r="AE41">
        <v>0</v>
      </c>
      <c r="AG41" t="s">
        <v>144</v>
      </c>
      <c r="AH41">
        <v>0</v>
      </c>
      <c r="AJ41" t="s">
        <v>652</v>
      </c>
      <c r="AK41">
        <v>0</v>
      </c>
      <c r="AM41" t="s">
        <v>165</v>
      </c>
      <c r="AN41">
        <v>0</v>
      </c>
      <c r="AP41" t="s">
        <v>653</v>
      </c>
      <c r="AQ41">
        <v>0</v>
      </c>
      <c r="AS41" t="s">
        <v>165</v>
      </c>
      <c r="AT41">
        <v>0</v>
      </c>
      <c r="AV41" t="s">
        <v>148</v>
      </c>
      <c r="AW41">
        <v>0</v>
      </c>
      <c r="AY41" t="s">
        <v>163</v>
      </c>
      <c r="AZ41">
        <v>0</v>
      </c>
      <c r="BB41" t="s">
        <v>654</v>
      </c>
      <c r="BC41">
        <v>0</v>
      </c>
      <c r="BE41" t="s">
        <v>146</v>
      </c>
      <c r="BF41">
        <v>0</v>
      </c>
      <c r="BH41" t="s">
        <v>146</v>
      </c>
      <c r="BI41">
        <v>0</v>
      </c>
      <c r="BK41" t="s">
        <v>163</v>
      </c>
      <c r="BL41">
        <v>0</v>
      </c>
      <c r="BN41" t="s">
        <v>655</v>
      </c>
      <c r="BO41">
        <v>0</v>
      </c>
      <c r="BQ41" t="s">
        <v>656</v>
      </c>
      <c r="BR41">
        <v>0</v>
      </c>
      <c r="BT41" t="s">
        <v>165</v>
      </c>
      <c r="BU41">
        <v>0</v>
      </c>
      <c r="BW41" t="s">
        <v>165</v>
      </c>
      <c r="BX41">
        <v>0</v>
      </c>
      <c r="BZ41" t="s">
        <v>163</v>
      </c>
      <c r="CA41">
        <v>0</v>
      </c>
      <c r="CC41" t="s">
        <v>146</v>
      </c>
      <c r="CD41">
        <v>0</v>
      </c>
      <c r="CF41" t="s">
        <v>163</v>
      </c>
      <c r="CG41">
        <v>0</v>
      </c>
      <c r="CI41" t="s">
        <v>657</v>
      </c>
      <c r="CJ41">
        <v>0</v>
      </c>
      <c r="CL41" t="s">
        <v>146</v>
      </c>
      <c r="CM41">
        <v>0</v>
      </c>
      <c r="CO41" t="s">
        <v>658</v>
      </c>
      <c r="CP41">
        <v>0</v>
      </c>
      <c r="CR41" t="s">
        <v>216</v>
      </c>
      <c r="CS41">
        <v>0</v>
      </c>
      <c r="CU41" t="s">
        <v>165</v>
      </c>
      <c r="CV41">
        <v>0</v>
      </c>
      <c r="CX41" t="s">
        <v>165</v>
      </c>
      <c r="CY41">
        <v>0</v>
      </c>
      <c r="DA41" t="s">
        <v>185</v>
      </c>
      <c r="DB41">
        <v>0</v>
      </c>
      <c r="DD41" t="s">
        <v>163</v>
      </c>
      <c r="DE41">
        <v>0</v>
      </c>
      <c r="DG41" t="s">
        <v>163</v>
      </c>
      <c r="DH41">
        <v>0</v>
      </c>
      <c r="DJ41" t="s">
        <v>165</v>
      </c>
      <c r="DK41">
        <v>0</v>
      </c>
      <c r="DM41" t="s">
        <v>146</v>
      </c>
      <c r="DN41">
        <v>0</v>
      </c>
      <c r="DP41" t="s">
        <v>163</v>
      </c>
      <c r="DQ41">
        <v>0</v>
      </c>
      <c r="DS41" t="s">
        <v>284</v>
      </c>
      <c r="DT41">
        <v>0</v>
      </c>
      <c r="DV41" t="s">
        <v>216</v>
      </c>
      <c r="DW41">
        <v>0</v>
      </c>
      <c r="DY41" t="s">
        <v>163</v>
      </c>
      <c r="DZ41">
        <v>0</v>
      </c>
      <c r="EB41" t="s">
        <v>659</v>
      </c>
      <c r="EC41">
        <v>0</v>
      </c>
      <c r="EE41" t="s">
        <v>660</v>
      </c>
      <c r="EF41">
        <v>0</v>
      </c>
    </row>
    <row r="42" spans="1:136">
      <c r="A42">
        <v>41</v>
      </c>
      <c r="B42" s="2">
        <v>45724.29583333333</v>
      </c>
      <c r="C42" s="2">
        <v>45724.306944444441</v>
      </c>
      <c r="D42" t="s">
        <v>661</v>
      </c>
      <c r="E42" t="s">
        <v>662</v>
      </c>
      <c r="I42" t="s">
        <v>663</v>
      </c>
      <c r="J42">
        <v>0</v>
      </c>
      <c r="L42">
        <v>1233508093</v>
      </c>
      <c r="M42">
        <v>0</v>
      </c>
      <c r="O42" t="s">
        <v>140</v>
      </c>
      <c r="P42">
        <v>0</v>
      </c>
      <c r="R42">
        <v>3226074150</v>
      </c>
      <c r="S42">
        <v>0</v>
      </c>
      <c r="U42">
        <v>2024</v>
      </c>
      <c r="V42">
        <v>0</v>
      </c>
      <c r="X42" t="s">
        <v>579</v>
      </c>
      <c r="Y42">
        <v>0</v>
      </c>
      <c r="AA42" t="s">
        <v>159</v>
      </c>
      <c r="AB42">
        <v>0</v>
      </c>
      <c r="AD42" t="s">
        <v>664</v>
      </c>
      <c r="AE42">
        <v>0</v>
      </c>
      <c r="AG42" t="s">
        <v>144</v>
      </c>
      <c r="AH42">
        <v>0</v>
      </c>
      <c r="AJ42" t="s">
        <v>665</v>
      </c>
      <c r="AK42">
        <v>0</v>
      </c>
      <c r="AM42" t="s">
        <v>165</v>
      </c>
      <c r="AN42">
        <v>0</v>
      </c>
      <c r="AP42" t="s">
        <v>666</v>
      </c>
      <c r="AQ42">
        <v>0</v>
      </c>
      <c r="AS42" t="s">
        <v>163</v>
      </c>
      <c r="AT42">
        <v>0</v>
      </c>
      <c r="AV42" t="s">
        <v>667</v>
      </c>
      <c r="AW42">
        <v>0</v>
      </c>
      <c r="AY42" t="s">
        <v>165</v>
      </c>
      <c r="AZ42">
        <v>0</v>
      </c>
      <c r="BB42" t="s">
        <v>668</v>
      </c>
      <c r="BC42">
        <v>0</v>
      </c>
      <c r="BE42" t="s">
        <v>165</v>
      </c>
      <c r="BF42">
        <v>0</v>
      </c>
      <c r="BH42" t="s">
        <v>216</v>
      </c>
      <c r="BI42">
        <v>0</v>
      </c>
      <c r="BK42" t="s">
        <v>165</v>
      </c>
      <c r="BL42">
        <v>0</v>
      </c>
      <c r="BN42" t="s">
        <v>669</v>
      </c>
      <c r="BO42">
        <v>0</v>
      </c>
      <c r="BQ42" t="s">
        <v>670</v>
      </c>
      <c r="BR42">
        <v>0</v>
      </c>
      <c r="BT42" t="s">
        <v>165</v>
      </c>
      <c r="BU42">
        <v>0</v>
      </c>
      <c r="BW42" t="s">
        <v>165</v>
      </c>
      <c r="BX42">
        <v>0</v>
      </c>
      <c r="BZ42" t="s">
        <v>165</v>
      </c>
      <c r="CA42">
        <v>0</v>
      </c>
      <c r="CC42" t="s">
        <v>163</v>
      </c>
      <c r="CD42">
        <v>0</v>
      </c>
      <c r="CF42" t="s">
        <v>163</v>
      </c>
      <c r="CG42">
        <v>0</v>
      </c>
      <c r="CI42" t="s">
        <v>573</v>
      </c>
      <c r="CJ42">
        <v>0</v>
      </c>
      <c r="CL42" t="s">
        <v>165</v>
      </c>
      <c r="CM42">
        <v>0</v>
      </c>
      <c r="CO42" t="s">
        <v>573</v>
      </c>
      <c r="CP42">
        <v>0</v>
      </c>
      <c r="CR42" t="s">
        <v>163</v>
      </c>
      <c r="CS42">
        <v>0</v>
      </c>
      <c r="CU42" t="s">
        <v>163</v>
      </c>
      <c r="CV42">
        <v>0</v>
      </c>
      <c r="CX42" t="s">
        <v>163</v>
      </c>
      <c r="CY42">
        <v>0</v>
      </c>
      <c r="DA42" t="s">
        <v>215</v>
      </c>
      <c r="DB42">
        <v>0</v>
      </c>
      <c r="DD42" t="s">
        <v>216</v>
      </c>
      <c r="DE42">
        <v>0</v>
      </c>
      <c r="DG42" t="s">
        <v>165</v>
      </c>
      <c r="DH42">
        <v>0</v>
      </c>
      <c r="DJ42" t="s">
        <v>163</v>
      </c>
      <c r="DK42">
        <v>0</v>
      </c>
      <c r="DM42" t="s">
        <v>165</v>
      </c>
      <c r="DN42">
        <v>0</v>
      </c>
      <c r="DP42" t="s">
        <v>165</v>
      </c>
      <c r="DQ42">
        <v>0</v>
      </c>
      <c r="DS42" t="s">
        <v>152</v>
      </c>
      <c r="DT42">
        <v>0</v>
      </c>
      <c r="DV42" t="s">
        <v>165</v>
      </c>
      <c r="DW42">
        <v>0</v>
      </c>
      <c r="DY42" t="s">
        <v>163</v>
      </c>
      <c r="DZ42">
        <v>0</v>
      </c>
      <c r="EB42" t="s">
        <v>671</v>
      </c>
      <c r="EC42">
        <v>0</v>
      </c>
      <c r="EE42" t="s">
        <v>672</v>
      </c>
      <c r="EF42">
        <v>0</v>
      </c>
    </row>
    <row r="43" spans="1:136">
      <c r="A43">
        <v>42</v>
      </c>
      <c r="B43" s="2">
        <v>45724.296527777777</v>
      </c>
      <c r="C43" s="2">
        <v>45724.309027777781</v>
      </c>
      <c r="D43" t="s">
        <v>673</v>
      </c>
      <c r="E43" t="s">
        <v>674</v>
      </c>
      <c r="I43" t="s">
        <v>675</v>
      </c>
      <c r="J43">
        <v>0</v>
      </c>
      <c r="L43">
        <v>1018472591</v>
      </c>
      <c r="M43">
        <v>0</v>
      </c>
      <c r="O43" t="s">
        <v>157</v>
      </c>
      <c r="P43">
        <v>0</v>
      </c>
      <c r="R43">
        <v>3192202160</v>
      </c>
      <c r="S43">
        <v>0</v>
      </c>
      <c r="U43">
        <v>2024</v>
      </c>
      <c r="V43">
        <v>0</v>
      </c>
      <c r="X43" t="s">
        <v>579</v>
      </c>
      <c r="Y43">
        <v>0</v>
      </c>
      <c r="AA43" t="s">
        <v>159</v>
      </c>
      <c r="AB43">
        <v>0</v>
      </c>
      <c r="AD43" t="s">
        <v>676</v>
      </c>
      <c r="AE43">
        <v>0</v>
      </c>
      <c r="AG43" t="s">
        <v>144</v>
      </c>
      <c r="AH43">
        <v>0</v>
      </c>
      <c r="AJ43" t="s">
        <v>677</v>
      </c>
      <c r="AK43">
        <v>0</v>
      </c>
      <c r="AM43" t="s">
        <v>146</v>
      </c>
      <c r="AN43">
        <v>0</v>
      </c>
      <c r="AP43" t="s">
        <v>678</v>
      </c>
      <c r="AQ43">
        <v>0</v>
      </c>
      <c r="AS43" t="s">
        <v>165</v>
      </c>
      <c r="AT43">
        <v>0</v>
      </c>
      <c r="AV43" t="s">
        <v>679</v>
      </c>
      <c r="AW43">
        <v>0</v>
      </c>
      <c r="AY43" t="s">
        <v>146</v>
      </c>
      <c r="AZ43">
        <v>0</v>
      </c>
      <c r="BB43" t="s">
        <v>680</v>
      </c>
      <c r="BC43">
        <v>0</v>
      </c>
      <c r="BE43" t="s">
        <v>165</v>
      </c>
      <c r="BF43">
        <v>0</v>
      </c>
      <c r="BH43" t="s">
        <v>146</v>
      </c>
      <c r="BI43">
        <v>0</v>
      </c>
      <c r="BK43" t="s">
        <v>146</v>
      </c>
      <c r="BL43">
        <v>0</v>
      </c>
      <c r="BN43" t="s">
        <v>681</v>
      </c>
      <c r="BO43">
        <v>0</v>
      </c>
      <c r="BQ43" t="s">
        <v>682</v>
      </c>
      <c r="BR43">
        <v>0</v>
      </c>
      <c r="BT43" t="s">
        <v>163</v>
      </c>
      <c r="BU43">
        <v>0</v>
      </c>
      <c r="BW43" t="s">
        <v>165</v>
      </c>
      <c r="BX43">
        <v>0</v>
      </c>
      <c r="BZ43" t="s">
        <v>165</v>
      </c>
      <c r="CA43">
        <v>0</v>
      </c>
      <c r="CC43" t="s">
        <v>163</v>
      </c>
      <c r="CD43">
        <v>0</v>
      </c>
      <c r="CF43" t="s">
        <v>163</v>
      </c>
      <c r="CG43">
        <v>0</v>
      </c>
      <c r="CI43" t="s">
        <v>683</v>
      </c>
      <c r="CJ43">
        <v>0</v>
      </c>
      <c r="CL43" t="s">
        <v>146</v>
      </c>
      <c r="CM43">
        <v>0</v>
      </c>
      <c r="CO43" t="s">
        <v>683</v>
      </c>
      <c r="CP43">
        <v>0</v>
      </c>
      <c r="CR43" t="s">
        <v>163</v>
      </c>
      <c r="CS43">
        <v>0</v>
      </c>
      <c r="CU43" t="s">
        <v>146</v>
      </c>
      <c r="CV43">
        <v>0</v>
      </c>
      <c r="CX43" t="s">
        <v>163</v>
      </c>
      <c r="CY43">
        <v>0</v>
      </c>
      <c r="DA43" t="s">
        <v>185</v>
      </c>
      <c r="DB43">
        <v>0</v>
      </c>
      <c r="DD43" t="s">
        <v>165</v>
      </c>
      <c r="DE43">
        <v>0</v>
      </c>
      <c r="DG43" t="s">
        <v>163</v>
      </c>
      <c r="DH43">
        <v>0</v>
      </c>
      <c r="DJ43" t="s">
        <v>165</v>
      </c>
      <c r="DK43">
        <v>0</v>
      </c>
      <c r="DM43" t="s">
        <v>146</v>
      </c>
      <c r="DN43">
        <v>0</v>
      </c>
      <c r="DP43" t="s">
        <v>216</v>
      </c>
      <c r="DQ43">
        <v>0</v>
      </c>
      <c r="DS43" t="s">
        <v>152</v>
      </c>
      <c r="DT43">
        <v>0</v>
      </c>
      <c r="DV43" t="s">
        <v>146</v>
      </c>
      <c r="DW43">
        <v>0</v>
      </c>
      <c r="DY43" t="s">
        <v>165</v>
      </c>
      <c r="DZ43">
        <v>0</v>
      </c>
      <c r="EB43" t="s">
        <v>148</v>
      </c>
      <c r="EC43">
        <v>0</v>
      </c>
      <c r="EE43" t="s">
        <v>684</v>
      </c>
      <c r="EF43">
        <v>0</v>
      </c>
    </row>
    <row r="44" spans="1:136">
      <c r="A44">
        <v>43</v>
      </c>
      <c r="B44" s="2">
        <v>45724.300694444442</v>
      </c>
      <c r="C44" s="2">
        <v>45724.3125</v>
      </c>
      <c r="D44" t="s">
        <v>685</v>
      </c>
      <c r="E44" t="s">
        <v>686</v>
      </c>
      <c r="I44" t="s">
        <v>687</v>
      </c>
      <c r="J44">
        <v>0</v>
      </c>
      <c r="L44">
        <v>1031170176</v>
      </c>
      <c r="M44">
        <v>0</v>
      </c>
      <c r="O44" t="s">
        <v>140</v>
      </c>
      <c r="P44">
        <v>0</v>
      </c>
      <c r="R44">
        <v>3185208646</v>
      </c>
      <c r="S44">
        <v>0</v>
      </c>
      <c r="U44">
        <v>2024</v>
      </c>
      <c r="V44">
        <v>0</v>
      </c>
      <c r="X44" t="s">
        <v>158</v>
      </c>
      <c r="Y44">
        <v>0</v>
      </c>
      <c r="AA44" t="s">
        <v>159</v>
      </c>
      <c r="AB44">
        <v>0</v>
      </c>
      <c r="AD44" t="s">
        <v>688</v>
      </c>
      <c r="AE44">
        <v>0</v>
      </c>
      <c r="AG44" t="s">
        <v>148</v>
      </c>
      <c r="AH44">
        <v>0</v>
      </c>
      <c r="AJ44" t="s">
        <v>689</v>
      </c>
      <c r="AK44">
        <v>0</v>
      </c>
      <c r="AM44" t="s">
        <v>165</v>
      </c>
      <c r="AN44">
        <v>0</v>
      </c>
      <c r="AP44" t="s">
        <v>690</v>
      </c>
      <c r="AQ44">
        <v>0</v>
      </c>
      <c r="AS44" t="s">
        <v>163</v>
      </c>
      <c r="AT44">
        <v>0</v>
      </c>
      <c r="AV44" t="s">
        <v>331</v>
      </c>
      <c r="AW44">
        <v>0</v>
      </c>
      <c r="AY44" t="s">
        <v>165</v>
      </c>
      <c r="AZ44">
        <v>0</v>
      </c>
      <c r="BB44" t="s">
        <v>331</v>
      </c>
      <c r="BC44">
        <v>0</v>
      </c>
      <c r="BE44" t="s">
        <v>165</v>
      </c>
      <c r="BF44">
        <v>0</v>
      </c>
      <c r="BH44" t="s">
        <v>165</v>
      </c>
      <c r="BI44">
        <v>0</v>
      </c>
      <c r="BK44" t="s">
        <v>165</v>
      </c>
      <c r="BL44">
        <v>0</v>
      </c>
      <c r="BN44" t="s">
        <v>691</v>
      </c>
      <c r="BO44">
        <v>0</v>
      </c>
      <c r="BQ44" t="s">
        <v>331</v>
      </c>
      <c r="BR44">
        <v>0</v>
      </c>
      <c r="BT44" t="s">
        <v>165</v>
      </c>
      <c r="BU44">
        <v>0</v>
      </c>
      <c r="BW44" t="s">
        <v>165</v>
      </c>
      <c r="BX44">
        <v>0</v>
      </c>
      <c r="BZ44" t="s">
        <v>165</v>
      </c>
      <c r="CA44">
        <v>0</v>
      </c>
      <c r="CC44" t="s">
        <v>165</v>
      </c>
      <c r="CD44">
        <v>0</v>
      </c>
      <c r="CF44" t="s">
        <v>165</v>
      </c>
      <c r="CG44">
        <v>0</v>
      </c>
      <c r="CI44" t="s">
        <v>331</v>
      </c>
      <c r="CJ44">
        <v>0</v>
      </c>
      <c r="CL44" t="s">
        <v>165</v>
      </c>
      <c r="CM44">
        <v>0</v>
      </c>
      <c r="CO44" t="s">
        <v>692</v>
      </c>
      <c r="CP44">
        <v>0</v>
      </c>
      <c r="CR44" t="s">
        <v>165</v>
      </c>
      <c r="CS44">
        <v>0</v>
      </c>
      <c r="CU44" t="s">
        <v>165</v>
      </c>
      <c r="CV44">
        <v>0</v>
      </c>
      <c r="CX44" t="s">
        <v>165</v>
      </c>
      <c r="CY44">
        <v>0</v>
      </c>
      <c r="DA44" t="s">
        <v>151</v>
      </c>
      <c r="DB44">
        <v>0</v>
      </c>
      <c r="DD44" t="s">
        <v>165</v>
      </c>
      <c r="DE44">
        <v>0</v>
      </c>
      <c r="DG44" t="s">
        <v>165</v>
      </c>
      <c r="DH44">
        <v>0</v>
      </c>
      <c r="DJ44" t="s">
        <v>165</v>
      </c>
      <c r="DK44">
        <v>0</v>
      </c>
      <c r="DM44" t="s">
        <v>165</v>
      </c>
      <c r="DN44">
        <v>0</v>
      </c>
      <c r="DP44" t="s">
        <v>165</v>
      </c>
      <c r="DQ44">
        <v>0</v>
      </c>
      <c r="DS44" t="s">
        <v>152</v>
      </c>
      <c r="DT44">
        <v>0</v>
      </c>
      <c r="DV44" t="s">
        <v>163</v>
      </c>
      <c r="DW44">
        <v>0</v>
      </c>
      <c r="DY44" t="s">
        <v>163</v>
      </c>
      <c r="DZ44">
        <v>0</v>
      </c>
      <c r="EB44" t="s">
        <v>693</v>
      </c>
      <c r="EC44">
        <v>0</v>
      </c>
      <c r="EE44" t="s">
        <v>694</v>
      </c>
      <c r="EF44">
        <v>0</v>
      </c>
    </row>
    <row r="45" spans="1:136">
      <c r="A45">
        <v>44</v>
      </c>
      <c r="B45" s="2">
        <v>45724.3</v>
      </c>
      <c r="C45" s="2">
        <v>45724.313194444447</v>
      </c>
      <c r="D45" t="s">
        <v>695</v>
      </c>
      <c r="E45" t="s">
        <v>696</v>
      </c>
      <c r="I45" t="s">
        <v>697</v>
      </c>
      <c r="J45">
        <v>0</v>
      </c>
      <c r="L45">
        <v>1032457392</v>
      </c>
      <c r="M45">
        <v>0</v>
      </c>
      <c r="O45" t="s">
        <v>157</v>
      </c>
      <c r="P45">
        <v>0</v>
      </c>
      <c r="R45">
        <v>3106291488</v>
      </c>
      <c r="S45">
        <v>0</v>
      </c>
      <c r="U45">
        <v>2024</v>
      </c>
      <c r="V45">
        <v>0</v>
      </c>
      <c r="X45" t="s">
        <v>579</v>
      </c>
      <c r="Y45">
        <v>0</v>
      </c>
      <c r="AA45" t="s">
        <v>159</v>
      </c>
      <c r="AB45">
        <v>0</v>
      </c>
      <c r="AD45" t="s">
        <v>698</v>
      </c>
      <c r="AE45">
        <v>0</v>
      </c>
      <c r="AG45" t="s">
        <v>144</v>
      </c>
      <c r="AH45">
        <v>0</v>
      </c>
      <c r="AJ45" t="s">
        <v>699</v>
      </c>
      <c r="AK45">
        <v>0</v>
      </c>
      <c r="AM45" t="s">
        <v>165</v>
      </c>
      <c r="AN45">
        <v>0</v>
      </c>
      <c r="AP45" t="s">
        <v>700</v>
      </c>
      <c r="AQ45">
        <v>0</v>
      </c>
      <c r="AS45" t="s">
        <v>165</v>
      </c>
      <c r="AT45">
        <v>0</v>
      </c>
      <c r="AV45" t="s">
        <v>279</v>
      </c>
      <c r="AW45">
        <v>0</v>
      </c>
      <c r="AY45" t="s">
        <v>165</v>
      </c>
      <c r="AZ45">
        <v>0</v>
      </c>
      <c r="BB45" t="s">
        <v>279</v>
      </c>
      <c r="BC45">
        <v>0</v>
      </c>
      <c r="BE45" t="s">
        <v>146</v>
      </c>
      <c r="BF45">
        <v>0</v>
      </c>
      <c r="BH45" t="s">
        <v>146</v>
      </c>
      <c r="BI45">
        <v>0</v>
      </c>
      <c r="BK45" t="s">
        <v>146</v>
      </c>
      <c r="BL45">
        <v>0</v>
      </c>
      <c r="BN45" t="s">
        <v>701</v>
      </c>
      <c r="BO45">
        <v>0</v>
      </c>
      <c r="BQ45" t="s">
        <v>702</v>
      </c>
      <c r="BR45">
        <v>0</v>
      </c>
      <c r="BT45" t="s">
        <v>146</v>
      </c>
      <c r="BU45">
        <v>0</v>
      </c>
      <c r="BW45" t="s">
        <v>146</v>
      </c>
      <c r="BX45">
        <v>0</v>
      </c>
      <c r="BZ45" t="s">
        <v>146</v>
      </c>
      <c r="CA45">
        <v>0</v>
      </c>
      <c r="CC45" t="s">
        <v>146</v>
      </c>
      <c r="CD45">
        <v>0</v>
      </c>
      <c r="CF45" t="s">
        <v>146</v>
      </c>
      <c r="CG45">
        <v>0</v>
      </c>
      <c r="CI45" t="s">
        <v>279</v>
      </c>
      <c r="CJ45">
        <v>0</v>
      </c>
      <c r="CL45" t="s">
        <v>146</v>
      </c>
      <c r="CM45">
        <v>0</v>
      </c>
      <c r="CO45" t="s">
        <v>703</v>
      </c>
      <c r="CP45">
        <v>0</v>
      </c>
      <c r="CR45" t="s">
        <v>146</v>
      </c>
      <c r="CS45">
        <v>0</v>
      </c>
      <c r="CU45" t="s">
        <v>146</v>
      </c>
      <c r="CV45">
        <v>0</v>
      </c>
      <c r="CX45" t="s">
        <v>146</v>
      </c>
      <c r="CY45">
        <v>0</v>
      </c>
      <c r="DA45" t="s">
        <v>151</v>
      </c>
      <c r="DB45">
        <v>0</v>
      </c>
      <c r="DD45" t="s">
        <v>146</v>
      </c>
      <c r="DE45">
        <v>0</v>
      </c>
      <c r="DG45" t="s">
        <v>165</v>
      </c>
      <c r="DH45">
        <v>0</v>
      </c>
      <c r="DJ45" t="s">
        <v>146</v>
      </c>
      <c r="DK45">
        <v>0</v>
      </c>
      <c r="DM45" t="s">
        <v>146</v>
      </c>
      <c r="DN45">
        <v>0</v>
      </c>
      <c r="DP45" t="s">
        <v>146</v>
      </c>
      <c r="DQ45">
        <v>0</v>
      </c>
      <c r="DS45" t="s">
        <v>284</v>
      </c>
      <c r="DT45">
        <v>0</v>
      </c>
      <c r="DV45" t="s">
        <v>146</v>
      </c>
      <c r="DW45">
        <v>0</v>
      </c>
      <c r="DY45" t="s">
        <v>163</v>
      </c>
      <c r="DZ45">
        <v>0</v>
      </c>
      <c r="EB45" t="s">
        <v>704</v>
      </c>
      <c r="EC45">
        <v>0</v>
      </c>
      <c r="EE45">
        <v>3114273516</v>
      </c>
      <c r="EF45">
        <v>0</v>
      </c>
    </row>
    <row r="46" spans="1:136">
      <c r="A46">
        <v>45</v>
      </c>
      <c r="B46" s="2">
        <v>45724.302083333336</v>
      </c>
      <c r="C46" s="2">
        <v>45724.315972222219</v>
      </c>
      <c r="D46" t="s">
        <v>705</v>
      </c>
      <c r="E46" t="s">
        <v>706</v>
      </c>
      <c r="I46" t="s">
        <v>707</v>
      </c>
      <c r="J46">
        <v>0</v>
      </c>
      <c r="L46">
        <v>1014294978</v>
      </c>
      <c r="M46">
        <v>0</v>
      </c>
      <c r="O46" t="s">
        <v>140</v>
      </c>
      <c r="P46">
        <v>0</v>
      </c>
      <c r="R46">
        <v>3103375466</v>
      </c>
      <c r="S46">
        <v>0</v>
      </c>
      <c r="U46">
        <v>2024</v>
      </c>
      <c r="V46">
        <v>0</v>
      </c>
      <c r="X46" t="s">
        <v>141</v>
      </c>
      <c r="Y46">
        <v>0</v>
      </c>
      <c r="AA46" t="s">
        <v>159</v>
      </c>
      <c r="AB46">
        <v>0</v>
      </c>
      <c r="AD46" t="s">
        <v>708</v>
      </c>
      <c r="AE46">
        <v>0</v>
      </c>
      <c r="AG46" t="s">
        <v>144</v>
      </c>
      <c r="AH46">
        <v>0</v>
      </c>
      <c r="AJ46" t="s">
        <v>709</v>
      </c>
      <c r="AK46">
        <v>0</v>
      </c>
      <c r="AM46" t="s">
        <v>146</v>
      </c>
      <c r="AN46">
        <v>0</v>
      </c>
      <c r="AP46" t="s">
        <v>710</v>
      </c>
      <c r="AQ46">
        <v>0</v>
      </c>
      <c r="AS46" t="s">
        <v>165</v>
      </c>
      <c r="AT46">
        <v>0</v>
      </c>
      <c r="AV46" t="s">
        <v>711</v>
      </c>
      <c r="AW46">
        <v>0</v>
      </c>
      <c r="AY46" t="s">
        <v>165</v>
      </c>
      <c r="AZ46">
        <v>0</v>
      </c>
      <c r="BB46" t="s">
        <v>712</v>
      </c>
      <c r="BC46">
        <v>0</v>
      </c>
      <c r="BE46" t="s">
        <v>165</v>
      </c>
      <c r="BF46">
        <v>0</v>
      </c>
      <c r="BH46" t="s">
        <v>165</v>
      </c>
      <c r="BI46">
        <v>0</v>
      </c>
      <c r="BK46" t="s">
        <v>165</v>
      </c>
      <c r="BL46">
        <v>0</v>
      </c>
      <c r="BN46" t="s">
        <v>713</v>
      </c>
      <c r="BO46">
        <v>0</v>
      </c>
      <c r="BQ46" t="s">
        <v>714</v>
      </c>
      <c r="BR46">
        <v>0</v>
      </c>
      <c r="BT46" t="s">
        <v>165</v>
      </c>
      <c r="BU46">
        <v>0</v>
      </c>
      <c r="BW46" t="s">
        <v>165</v>
      </c>
      <c r="BX46">
        <v>0</v>
      </c>
      <c r="BZ46" t="s">
        <v>165</v>
      </c>
      <c r="CA46">
        <v>0</v>
      </c>
      <c r="CC46" t="s">
        <v>165</v>
      </c>
      <c r="CD46">
        <v>0</v>
      </c>
      <c r="CF46" t="s">
        <v>163</v>
      </c>
      <c r="CG46">
        <v>0</v>
      </c>
      <c r="CI46" t="s">
        <v>715</v>
      </c>
      <c r="CJ46">
        <v>0</v>
      </c>
      <c r="CL46" t="s">
        <v>165</v>
      </c>
      <c r="CM46">
        <v>0</v>
      </c>
      <c r="CO46" t="s">
        <v>716</v>
      </c>
      <c r="CP46">
        <v>0</v>
      </c>
      <c r="CR46" t="s">
        <v>165</v>
      </c>
      <c r="CS46">
        <v>0</v>
      </c>
      <c r="CU46" t="s">
        <v>165</v>
      </c>
      <c r="CV46">
        <v>0</v>
      </c>
      <c r="CX46" t="s">
        <v>165</v>
      </c>
      <c r="CY46">
        <v>0</v>
      </c>
      <c r="DA46" t="s">
        <v>151</v>
      </c>
      <c r="DB46">
        <v>0</v>
      </c>
      <c r="DD46" t="s">
        <v>165</v>
      </c>
      <c r="DE46">
        <v>0</v>
      </c>
      <c r="DG46" t="s">
        <v>163</v>
      </c>
      <c r="DH46">
        <v>0</v>
      </c>
      <c r="DJ46" t="s">
        <v>216</v>
      </c>
      <c r="DK46">
        <v>0</v>
      </c>
      <c r="DM46" t="s">
        <v>165</v>
      </c>
      <c r="DN46">
        <v>0</v>
      </c>
      <c r="DP46" t="s">
        <v>165</v>
      </c>
      <c r="DQ46">
        <v>0</v>
      </c>
      <c r="DS46" t="s">
        <v>152</v>
      </c>
      <c r="DT46">
        <v>0</v>
      </c>
      <c r="DV46" t="s">
        <v>146</v>
      </c>
      <c r="DW46">
        <v>0</v>
      </c>
      <c r="DY46" t="s">
        <v>165</v>
      </c>
      <c r="DZ46">
        <v>0</v>
      </c>
      <c r="EB46" t="s">
        <v>717</v>
      </c>
      <c r="EC46">
        <v>0</v>
      </c>
      <c r="EE46" t="s">
        <v>718</v>
      </c>
      <c r="EF46">
        <v>0</v>
      </c>
    </row>
    <row r="47" spans="1:136">
      <c r="A47">
        <v>46</v>
      </c>
      <c r="B47" s="2">
        <v>45724.29791666667</v>
      </c>
      <c r="C47" s="2">
        <v>45724.326388888891</v>
      </c>
      <c r="D47" t="s">
        <v>719</v>
      </c>
      <c r="E47" t="s">
        <v>720</v>
      </c>
      <c r="I47" t="s">
        <v>721</v>
      </c>
      <c r="J47">
        <v>0</v>
      </c>
      <c r="L47">
        <v>1022432262</v>
      </c>
      <c r="M47">
        <v>0</v>
      </c>
      <c r="O47" t="s">
        <v>140</v>
      </c>
      <c r="P47">
        <v>0</v>
      </c>
      <c r="R47">
        <v>3133851772</v>
      </c>
      <c r="S47">
        <v>0</v>
      </c>
      <c r="U47">
        <v>2024</v>
      </c>
      <c r="V47">
        <v>0</v>
      </c>
      <c r="X47" t="s">
        <v>412</v>
      </c>
      <c r="Y47">
        <v>0</v>
      </c>
      <c r="AA47" t="s">
        <v>159</v>
      </c>
      <c r="AB47">
        <v>0</v>
      </c>
      <c r="AD47" t="s">
        <v>722</v>
      </c>
      <c r="AE47">
        <v>0</v>
      </c>
      <c r="AG47" t="s">
        <v>144</v>
      </c>
      <c r="AH47">
        <v>0</v>
      </c>
      <c r="AJ47" t="s">
        <v>723</v>
      </c>
      <c r="AK47">
        <v>0</v>
      </c>
      <c r="AM47" t="s">
        <v>163</v>
      </c>
      <c r="AN47">
        <v>0</v>
      </c>
      <c r="AP47" t="s">
        <v>724</v>
      </c>
      <c r="AQ47">
        <v>0</v>
      </c>
      <c r="AS47" t="s">
        <v>165</v>
      </c>
      <c r="AT47">
        <v>0</v>
      </c>
      <c r="AV47" t="s">
        <v>148</v>
      </c>
      <c r="AW47">
        <v>0</v>
      </c>
      <c r="AY47" t="s">
        <v>165</v>
      </c>
      <c r="AZ47">
        <v>0</v>
      </c>
      <c r="BB47" t="s">
        <v>725</v>
      </c>
      <c r="BC47">
        <v>0</v>
      </c>
      <c r="BE47" t="s">
        <v>146</v>
      </c>
      <c r="BF47">
        <v>0</v>
      </c>
      <c r="BH47" t="s">
        <v>165</v>
      </c>
      <c r="BI47">
        <v>0</v>
      </c>
      <c r="BK47" t="s">
        <v>163</v>
      </c>
      <c r="BL47">
        <v>0</v>
      </c>
      <c r="BN47" t="s">
        <v>532</v>
      </c>
      <c r="BO47">
        <v>0</v>
      </c>
      <c r="BQ47" t="s">
        <v>726</v>
      </c>
      <c r="BR47">
        <v>0</v>
      </c>
      <c r="BT47" t="s">
        <v>165</v>
      </c>
      <c r="BU47">
        <v>0</v>
      </c>
      <c r="BW47" t="s">
        <v>165</v>
      </c>
      <c r="BX47">
        <v>0</v>
      </c>
      <c r="BZ47" t="s">
        <v>163</v>
      </c>
      <c r="CA47">
        <v>0</v>
      </c>
      <c r="CC47" t="s">
        <v>163</v>
      </c>
      <c r="CD47">
        <v>0</v>
      </c>
      <c r="CF47" t="s">
        <v>163</v>
      </c>
      <c r="CG47">
        <v>0</v>
      </c>
      <c r="CI47" t="s">
        <v>532</v>
      </c>
      <c r="CJ47">
        <v>0</v>
      </c>
      <c r="CL47" t="s">
        <v>165</v>
      </c>
      <c r="CM47">
        <v>0</v>
      </c>
      <c r="CO47" t="s">
        <v>532</v>
      </c>
      <c r="CP47">
        <v>0</v>
      </c>
      <c r="CR47" t="s">
        <v>165</v>
      </c>
      <c r="CS47">
        <v>0</v>
      </c>
      <c r="CU47" t="s">
        <v>163</v>
      </c>
      <c r="CV47">
        <v>0</v>
      </c>
      <c r="CX47" t="s">
        <v>165</v>
      </c>
      <c r="CY47">
        <v>0</v>
      </c>
      <c r="DA47" t="s">
        <v>215</v>
      </c>
      <c r="DB47">
        <v>0</v>
      </c>
      <c r="DD47" t="s">
        <v>146</v>
      </c>
      <c r="DE47">
        <v>0</v>
      </c>
      <c r="DG47" t="s">
        <v>163</v>
      </c>
      <c r="DH47">
        <v>0</v>
      </c>
      <c r="DJ47" t="s">
        <v>163</v>
      </c>
      <c r="DK47">
        <v>0</v>
      </c>
      <c r="DM47" t="s">
        <v>165</v>
      </c>
      <c r="DN47">
        <v>0</v>
      </c>
      <c r="DP47" t="s">
        <v>165</v>
      </c>
      <c r="DQ47">
        <v>0</v>
      </c>
      <c r="DS47" t="s">
        <v>284</v>
      </c>
      <c r="DT47">
        <v>0</v>
      </c>
      <c r="DV47" t="s">
        <v>216</v>
      </c>
      <c r="DW47">
        <v>0</v>
      </c>
      <c r="DY47" t="s">
        <v>216</v>
      </c>
      <c r="DZ47">
        <v>0</v>
      </c>
      <c r="EB47" t="s">
        <v>727</v>
      </c>
      <c r="EC47">
        <v>0</v>
      </c>
      <c r="EE47" t="s">
        <v>728</v>
      </c>
      <c r="EF47">
        <v>0</v>
      </c>
    </row>
    <row r="48" spans="1:136">
      <c r="A48">
        <v>47</v>
      </c>
      <c r="B48" s="2">
        <v>45724.406944444447</v>
      </c>
      <c r="C48" s="2">
        <v>45724.427083333336</v>
      </c>
      <c r="D48" t="s">
        <v>729</v>
      </c>
      <c r="E48" t="s">
        <v>730</v>
      </c>
      <c r="I48" t="s">
        <v>731</v>
      </c>
      <c r="J48">
        <v>0</v>
      </c>
      <c r="L48">
        <v>1031136781</v>
      </c>
      <c r="M48">
        <v>0</v>
      </c>
      <c r="O48" t="s">
        <v>157</v>
      </c>
      <c r="P48">
        <v>0</v>
      </c>
      <c r="R48">
        <v>3158026703</v>
      </c>
      <c r="S48">
        <v>0</v>
      </c>
      <c r="U48">
        <v>2017</v>
      </c>
      <c r="V48">
        <v>0</v>
      </c>
      <c r="X48" t="s">
        <v>141</v>
      </c>
      <c r="Y48">
        <v>0</v>
      </c>
      <c r="AA48" t="s">
        <v>159</v>
      </c>
      <c r="AB48">
        <v>0</v>
      </c>
      <c r="AD48" t="s">
        <v>732</v>
      </c>
      <c r="AE48">
        <v>0</v>
      </c>
      <c r="AG48" t="s">
        <v>148</v>
      </c>
      <c r="AH48">
        <v>0</v>
      </c>
      <c r="AJ48" t="s">
        <v>733</v>
      </c>
      <c r="AK48">
        <v>0</v>
      </c>
      <c r="AM48" t="s">
        <v>146</v>
      </c>
      <c r="AN48">
        <v>0</v>
      </c>
      <c r="AP48" t="s">
        <v>734</v>
      </c>
      <c r="AQ48">
        <v>0</v>
      </c>
      <c r="AS48" t="s">
        <v>146</v>
      </c>
      <c r="AT48">
        <v>0</v>
      </c>
      <c r="AV48" t="s">
        <v>148</v>
      </c>
      <c r="AW48">
        <v>0</v>
      </c>
      <c r="AY48" t="s">
        <v>146</v>
      </c>
      <c r="AZ48">
        <v>0</v>
      </c>
      <c r="BB48" t="s">
        <v>735</v>
      </c>
      <c r="BC48">
        <v>0</v>
      </c>
      <c r="BE48" t="s">
        <v>165</v>
      </c>
      <c r="BF48">
        <v>0</v>
      </c>
      <c r="BH48" t="s">
        <v>146</v>
      </c>
      <c r="BI48">
        <v>0</v>
      </c>
      <c r="BK48" t="s">
        <v>146</v>
      </c>
      <c r="BL48">
        <v>0</v>
      </c>
      <c r="BN48" t="s">
        <v>736</v>
      </c>
      <c r="BO48">
        <v>0</v>
      </c>
      <c r="BQ48" t="s">
        <v>737</v>
      </c>
      <c r="BR48">
        <v>0</v>
      </c>
      <c r="BT48" t="s">
        <v>146</v>
      </c>
      <c r="BU48">
        <v>0</v>
      </c>
      <c r="BW48" t="s">
        <v>146</v>
      </c>
      <c r="BX48">
        <v>0</v>
      </c>
      <c r="BZ48" t="s">
        <v>165</v>
      </c>
      <c r="CA48">
        <v>0</v>
      </c>
      <c r="CC48" t="s">
        <v>163</v>
      </c>
      <c r="CD48">
        <v>0</v>
      </c>
      <c r="CF48" t="s">
        <v>163</v>
      </c>
      <c r="CG48">
        <v>0</v>
      </c>
      <c r="CI48" t="s">
        <v>738</v>
      </c>
      <c r="CJ48">
        <v>0</v>
      </c>
      <c r="CL48" t="s">
        <v>165</v>
      </c>
      <c r="CM48">
        <v>0</v>
      </c>
      <c r="CO48" t="s">
        <v>739</v>
      </c>
      <c r="CP48">
        <v>0</v>
      </c>
      <c r="CR48" t="s">
        <v>163</v>
      </c>
      <c r="CS48">
        <v>0</v>
      </c>
      <c r="CU48" t="s">
        <v>165</v>
      </c>
      <c r="CV48">
        <v>0</v>
      </c>
      <c r="CX48" t="s">
        <v>165</v>
      </c>
      <c r="CY48">
        <v>0</v>
      </c>
      <c r="DA48" t="s">
        <v>185</v>
      </c>
      <c r="DB48">
        <v>0</v>
      </c>
      <c r="DD48" t="s">
        <v>163</v>
      </c>
      <c r="DE48">
        <v>0</v>
      </c>
      <c r="DG48" t="s">
        <v>163</v>
      </c>
      <c r="DH48">
        <v>0</v>
      </c>
      <c r="DJ48" t="s">
        <v>146</v>
      </c>
      <c r="DK48">
        <v>0</v>
      </c>
      <c r="DM48" t="s">
        <v>165</v>
      </c>
      <c r="DN48">
        <v>0</v>
      </c>
      <c r="DP48" t="s">
        <v>165</v>
      </c>
      <c r="DQ48">
        <v>0</v>
      </c>
      <c r="DS48" t="s">
        <v>740</v>
      </c>
      <c r="DT48">
        <v>0</v>
      </c>
      <c r="DV48" t="s">
        <v>165</v>
      </c>
      <c r="DW48">
        <v>0</v>
      </c>
      <c r="DY48" t="s">
        <v>165</v>
      </c>
      <c r="DZ48">
        <v>0</v>
      </c>
      <c r="EB48" t="s">
        <v>741</v>
      </c>
      <c r="EC48">
        <v>0</v>
      </c>
      <c r="EE48" t="s">
        <v>742</v>
      </c>
      <c r="EF48">
        <v>0</v>
      </c>
    </row>
    <row r="49" spans="1:136">
      <c r="A49">
        <v>48</v>
      </c>
      <c r="B49" s="2">
        <v>45725.675694444442</v>
      </c>
      <c r="C49" s="2">
        <v>45725.689583333333</v>
      </c>
      <c r="D49" t="s">
        <v>743</v>
      </c>
      <c r="E49" t="s">
        <v>744</v>
      </c>
      <c r="I49" t="s">
        <v>745</v>
      </c>
      <c r="J49">
        <v>0</v>
      </c>
      <c r="L49">
        <v>80742478</v>
      </c>
      <c r="M49">
        <v>0</v>
      </c>
      <c r="O49" t="s">
        <v>490</v>
      </c>
      <c r="P49">
        <v>0</v>
      </c>
      <c r="R49">
        <v>3006226021</v>
      </c>
      <c r="S49">
        <v>0</v>
      </c>
      <c r="U49">
        <v>2017</v>
      </c>
      <c r="V49">
        <v>0</v>
      </c>
      <c r="X49" t="s">
        <v>158</v>
      </c>
      <c r="Y49">
        <v>0</v>
      </c>
      <c r="AA49" t="s">
        <v>159</v>
      </c>
      <c r="AB49">
        <v>0</v>
      </c>
      <c r="AD49" t="s">
        <v>746</v>
      </c>
      <c r="AE49">
        <v>0</v>
      </c>
      <c r="AG49" t="s">
        <v>144</v>
      </c>
      <c r="AH49">
        <v>0</v>
      </c>
      <c r="AJ49" t="s">
        <v>747</v>
      </c>
      <c r="AK49">
        <v>0</v>
      </c>
      <c r="AM49" t="s">
        <v>146</v>
      </c>
      <c r="AN49">
        <v>0</v>
      </c>
      <c r="AP49" t="s">
        <v>748</v>
      </c>
      <c r="AQ49">
        <v>0</v>
      </c>
      <c r="AS49" t="s">
        <v>146</v>
      </c>
      <c r="AT49">
        <v>0</v>
      </c>
      <c r="AV49" t="s">
        <v>215</v>
      </c>
      <c r="AW49">
        <v>0</v>
      </c>
      <c r="AY49" t="s">
        <v>146</v>
      </c>
      <c r="AZ49">
        <v>0</v>
      </c>
      <c r="BB49" t="s">
        <v>749</v>
      </c>
      <c r="BC49">
        <v>0</v>
      </c>
      <c r="BE49" t="s">
        <v>165</v>
      </c>
      <c r="BF49">
        <v>0</v>
      </c>
      <c r="BH49" t="s">
        <v>146</v>
      </c>
      <c r="BI49">
        <v>0</v>
      </c>
      <c r="BK49" t="s">
        <v>163</v>
      </c>
      <c r="BL49">
        <v>0</v>
      </c>
      <c r="BN49" t="s">
        <v>750</v>
      </c>
      <c r="BO49">
        <v>0</v>
      </c>
      <c r="BQ49" t="s">
        <v>751</v>
      </c>
      <c r="BR49">
        <v>0</v>
      </c>
      <c r="BT49" t="s">
        <v>165</v>
      </c>
      <c r="BU49">
        <v>0</v>
      </c>
      <c r="BW49" t="s">
        <v>165</v>
      </c>
      <c r="BX49">
        <v>0</v>
      </c>
      <c r="BZ49" t="s">
        <v>165</v>
      </c>
      <c r="CA49">
        <v>0</v>
      </c>
      <c r="CC49" t="s">
        <v>165</v>
      </c>
      <c r="CD49">
        <v>0</v>
      </c>
      <c r="CF49" t="s">
        <v>163</v>
      </c>
      <c r="CG49">
        <v>0</v>
      </c>
      <c r="CI49" t="s">
        <v>752</v>
      </c>
      <c r="CJ49">
        <v>0</v>
      </c>
      <c r="CL49" t="s">
        <v>165</v>
      </c>
      <c r="CM49">
        <v>0</v>
      </c>
      <c r="CO49" t="s">
        <v>753</v>
      </c>
      <c r="CP49">
        <v>0</v>
      </c>
      <c r="CR49" t="s">
        <v>165</v>
      </c>
      <c r="CS49">
        <v>0</v>
      </c>
      <c r="CU49" t="s">
        <v>163</v>
      </c>
      <c r="CV49">
        <v>0</v>
      </c>
      <c r="CX49" t="s">
        <v>165</v>
      </c>
      <c r="CY49">
        <v>0</v>
      </c>
      <c r="DA49" t="s">
        <v>151</v>
      </c>
      <c r="DB49">
        <v>0</v>
      </c>
      <c r="DD49" t="s">
        <v>146</v>
      </c>
      <c r="DE49">
        <v>0</v>
      </c>
      <c r="DG49" t="s">
        <v>163</v>
      </c>
      <c r="DH49">
        <v>0</v>
      </c>
      <c r="DJ49" t="s">
        <v>165</v>
      </c>
      <c r="DK49">
        <v>0</v>
      </c>
      <c r="DM49" t="s">
        <v>165</v>
      </c>
      <c r="DN49">
        <v>0</v>
      </c>
      <c r="DP49" t="s">
        <v>165</v>
      </c>
      <c r="DQ49">
        <v>0</v>
      </c>
      <c r="DS49" t="s">
        <v>152</v>
      </c>
      <c r="DT49">
        <v>0</v>
      </c>
      <c r="DV49" t="s">
        <v>165</v>
      </c>
      <c r="DW49">
        <v>0</v>
      </c>
      <c r="DY49" t="s">
        <v>165</v>
      </c>
      <c r="DZ49">
        <v>0</v>
      </c>
      <c r="EB49" t="s">
        <v>671</v>
      </c>
      <c r="EC49">
        <v>0</v>
      </c>
      <c r="EE49" t="s">
        <v>754</v>
      </c>
      <c r="EF49">
        <v>0</v>
      </c>
    </row>
    <row r="50" spans="1:136">
      <c r="A50">
        <v>49</v>
      </c>
      <c r="B50" s="2">
        <v>45728.856249999997</v>
      </c>
      <c r="C50" s="2">
        <v>45728.867361111108</v>
      </c>
      <c r="D50" t="s">
        <v>755</v>
      </c>
      <c r="E50" t="s">
        <v>756</v>
      </c>
      <c r="I50" t="s">
        <v>757</v>
      </c>
      <c r="L50">
        <v>1015405675</v>
      </c>
      <c r="O50" t="s">
        <v>157</v>
      </c>
      <c r="R50">
        <v>3202038936</v>
      </c>
      <c r="U50">
        <v>2018</v>
      </c>
      <c r="X50" t="s">
        <v>158</v>
      </c>
      <c r="AA50" t="s">
        <v>159</v>
      </c>
      <c r="AD50" t="s">
        <v>758</v>
      </c>
      <c r="AG50" t="s">
        <v>144</v>
      </c>
      <c r="AJ50" t="s">
        <v>759</v>
      </c>
      <c r="AM50" t="s">
        <v>165</v>
      </c>
      <c r="AP50" t="s">
        <v>760</v>
      </c>
      <c r="AS50" t="s">
        <v>165</v>
      </c>
      <c r="AV50" t="s">
        <v>761</v>
      </c>
      <c r="AY50" t="s">
        <v>163</v>
      </c>
      <c r="BB50" t="s">
        <v>762</v>
      </c>
      <c r="BE50" t="s">
        <v>163</v>
      </c>
      <c r="BH50" t="s">
        <v>163</v>
      </c>
      <c r="BK50" t="s">
        <v>165</v>
      </c>
      <c r="BN50" t="s">
        <v>763</v>
      </c>
      <c r="BQ50" t="s">
        <v>764</v>
      </c>
      <c r="BT50" t="s">
        <v>165</v>
      </c>
      <c r="BW50" t="s">
        <v>165</v>
      </c>
      <c r="BZ50" t="s">
        <v>165</v>
      </c>
      <c r="CC50" t="s">
        <v>163</v>
      </c>
      <c r="CF50" t="s">
        <v>165</v>
      </c>
      <c r="CI50" t="s">
        <v>765</v>
      </c>
      <c r="CL50" t="s">
        <v>165</v>
      </c>
      <c r="CO50" t="s">
        <v>766</v>
      </c>
      <c r="CR50" t="s">
        <v>163</v>
      </c>
      <c r="CU50" t="s">
        <v>216</v>
      </c>
      <c r="CX50" t="s">
        <v>163</v>
      </c>
      <c r="DA50" t="s">
        <v>151</v>
      </c>
      <c r="DD50" t="s">
        <v>163</v>
      </c>
      <c r="DG50" t="s">
        <v>163</v>
      </c>
      <c r="DJ50" t="s">
        <v>165</v>
      </c>
      <c r="DM50" t="s">
        <v>165</v>
      </c>
      <c r="DP50" t="s">
        <v>165</v>
      </c>
      <c r="DS50" t="s">
        <v>152</v>
      </c>
      <c r="DV50" t="s">
        <v>146</v>
      </c>
      <c r="DY50" t="s">
        <v>165</v>
      </c>
      <c r="EB50" t="s">
        <v>767</v>
      </c>
      <c r="EE50" t="s">
        <v>279</v>
      </c>
    </row>
    <row r="51" spans="1:136">
      <c r="A51">
        <v>50</v>
      </c>
      <c r="B51" s="2">
        <v>45729.380555555559</v>
      </c>
      <c r="C51" s="2">
        <v>45729.390972222223</v>
      </c>
      <c r="D51" t="s">
        <v>768</v>
      </c>
      <c r="E51" t="s">
        <v>769</v>
      </c>
      <c r="I51" t="s">
        <v>770</v>
      </c>
      <c r="L51">
        <v>1032431801</v>
      </c>
      <c r="O51" t="s">
        <v>157</v>
      </c>
      <c r="R51">
        <v>3134722505</v>
      </c>
      <c r="U51">
        <v>2020</v>
      </c>
      <c r="X51" t="s">
        <v>141</v>
      </c>
      <c r="AA51" t="s">
        <v>142</v>
      </c>
      <c r="AD51" t="s">
        <v>771</v>
      </c>
      <c r="AG51" t="s">
        <v>144</v>
      </c>
      <c r="AJ51" t="s">
        <v>144</v>
      </c>
      <c r="AM51" t="s">
        <v>146</v>
      </c>
      <c r="AP51" t="s">
        <v>772</v>
      </c>
      <c r="AS51" t="s">
        <v>163</v>
      </c>
      <c r="AV51" t="s">
        <v>773</v>
      </c>
      <c r="AY51" t="s">
        <v>216</v>
      </c>
      <c r="BB51" t="s">
        <v>774</v>
      </c>
      <c r="BE51" t="s">
        <v>163</v>
      </c>
      <c r="BH51" t="s">
        <v>216</v>
      </c>
      <c r="BK51" t="s">
        <v>163</v>
      </c>
      <c r="BN51" t="s">
        <v>775</v>
      </c>
      <c r="BQ51" t="s">
        <v>670</v>
      </c>
      <c r="BT51" t="s">
        <v>165</v>
      </c>
      <c r="BW51" t="s">
        <v>165</v>
      </c>
      <c r="BZ51" t="s">
        <v>163</v>
      </c>
      <c r="CC51" t="s">
        <v>216</v>
      </c>
      <c r="CF51" t="s">
        <v>200</v>
      </c>
      <c r="CI51" t="s">
        <v>776</v>
      </c>
      <c r="CL51" t="s">
        <v>216</v>
      </c>
      <c r="CO51" t="s">
        <v>777</v>
      </c>
      <c r="CR51" t="s">
        <v>216</v>
      </c>
      <c r="CU51" t="s">
        <v>163</v>
      </c>
      <c r="CX51" t="s">
        <v>216</v>
      </c>
      <c r="DA51" t="s">
        <v>215</v>
      </c>
      <c r="DD51" t="s">
        <v>216</v>
      </c>
      <c r="DG51" t="s">
        <v>216</v>
      </c>
      <c r="DJ51" t="s">
        <v>163</v>
      </c>
      <c r="DM51" t="s">
        <v>216</v>
      </c>
      <c r="DP51" t="s">
        <v>216</v>
      </c>
      <c r="DS51" t="s">
        <v>201</v>
      </c>
      <c r="DV51" t="s">
        <v>165</v>
      </c>
      <c r="DY51" t="s">
        <v>165</v>
      </c>
      <c r="EB51" t="s">
        <v>778</v>
      </c>
      <c r="EE51" t="s">
        <v>148</v>
      </c>
    </row>
    <row r="52" spans="1:136">
      <c r="A52">
        <v>51</v>
      </c>
      <c r="B52" s="2">
        <v>45729.835416666669</v>
      </c>
      <c r="C52" s="2">
        <v>45729.843055555553</v>
      </c>
      <c r="D52" t="s">
        <v>779</v>
      </c>
      <c r="E52" t="s">
        <v>780</v>
      </c>
      <c r="I52" t="s">
        <v>781</v>
      </c>
      <c r="L52">
        <v>1088592425</v>
      </c>
      <c r="O52" t="s">
        <v>157</v>
      </c>
      <c r="R52">
        <v>3504564323</v>
      </c>
      <c r="U52">
        <v>2018</v>
      </c>
      <c r="X52" t="s">
        <v>158</v>
      </c>
      <c r="AA52" t="s">
        <v>159</v>
      </c>
      <c r="AD52" t="s">
        <v>782</v>
      </c>
      <c r="AG52" t="s">
        <v>148</v>
      </c>
      <c r="AJ52" t="s">
        <v>783</v>
      </c>
      <c r="AM52" t="s">
        <v>163</v>
      </c>
      <c r="AP52" t="s">
        <v>784</v>
      </c>
      <c r="AS52" t="s">
        <v>163</v>
      </c>
      <c r="AV52" t="s">
        <v>148</v>
      </c>
      <c r="AY52" t="s">
        <v>163</v>
      </c>
      <c r="BB52" t="s">
        <v>785</v>
      </c>
      <c r="BE52" t="s">
        <v>165</v>
      </c>
      <c r="BH52" t="s">
        <v>165</v>
      </c>
      <c r="BK52" t="s">
        <v>163</v>
      </c>
      <c r="BN52" t="s">
        <v>786</v>
      </c>
      <c r="BQ52" t="s">
        <v>787</v>
      </c>
      <c r="BT52" t="s">
        <v>216</v>
      </c>
      <c r="BW52" t="s">
        <v>216</v>
      </c>
      <c r="BZ52" t="s">
        <v>216</v>
      </c>
      <c r="CC52" t="s">
        <v>216</v>
      </c>
      <c r="CF52" t="s">
        <v>163</v>
      </c>
      <c r="CI52" t="s">
        <v>788</v>
      </c>
      <c r="CL52" t="s">
        <v>216</v>
      </c>
      <c r="CO52" t="s">
        <v>789</v>
      </c>
      <c r="CR52" t="s">
        <v>163</v>
      </c>
      <c r="CU52" t="s">
        <v>165</v>
      </c>
      <c r="CX52" t="s">
        <v>165</v>
      </c>
      <c r="DA52" t="s">
        <v>215</v>
      </c>
      <c r="DD52" t="s">
        <v>165</v>
      </c>
      <c r="DG52" t="s">
        <v>163</v>
      </c>
      <c r="DJ52" t="s">
        <v>165</v>
      </c>
      <c r="DM52" t="s">
        <v>216</v>
      </c>
      <c r="DP52" t="s">
        <v>216</v>
      </c>
      <c r="DS52" t="s">
        <v>152</v>
      </c>
      <c r="DV52" t="s">
        <v>165</v>
      </c>
      <c r="DY52" t="s">
        <v>216</v>
      </c>
      <c r="EB52" t="s">
        <v>790</v>
      </c>
      <c r="EE52" t="s">
        <v>791</v>
      </c>
    </row>
    <row r="53" spans="1:136">
      <c r="A53">
        <v>52</v>
      </c>
      <c r="B53" s="2">
        <v>45737.755555555559</v>
      </c>
      <c r="C53" s="2">
        <v>45737.76458333333</v>
      </c>
      <c r="D53" t="s">
        <v>792</v>
      </c>
      <c r="E53" t="s">
        <v>793</v>
      </c>
      <c r="I53" t="s">
        <v>794</v>
      </c>
      <c r="L53">
        <v>13747816</v>
      </c>
      <c r="O53" t="s">
        <v>490</v>
      </c>
      <c r="R53">
        <v>3017893411</v>
      </c>
      <c r="U53">
        <v>2016</v>
      </c>
      <c r="X53" t="s">
        <v>412</v>
      </c>
      <c r="AA53" t="s">
        <v>159</v>
      </c>
      <c r="AD53" t="s">
        <v>795</v>
      </c>
      <c r="AG53" t="s">
        <v>144</v>
      </c>
      <c r="AJ53" t="s">
        <v>796</v>
      </c>
      <c r="AM53" t="s">
        <v>146</v>
      </c>
      <c r="AP53" t="s">
        <v>797</v>
      </c>
      <c r="AS53" t="s">
        <v>165</v>
      </c>
      <c r="AV53" t="s">
        <v>798</v>
      </c>
      <c r="AY53" t="s">
        <v>165</v>
      </c>
      <c r="BB53" t="s">
        <v>799</v>
      </c>
      <c r="BE53" t="s">
        <v>163</v>
      </c>
      <c r="BH53" t="s">
        <v>163</v>
      </c>
      <c r="BK53" t="s">
        <v>163</v>
      </c>
      <c r="BN53" t="s">
        <v>800</v>
      </c>
      <c r="BQ53" t="s">
        <v>801</v>
      </c>
      <c r="BT53" t="s">
        <v>163</v>
      </c>
      <c r="BW53" t="s">
        <v>163</v>
      </c>
      <c r="BZ53" t="s">
        <v>163</v>
      </c>
      <c r="CC53" t="s">
        <v>163</v>
      </c>
      <c r="CF53" t="s">
        <v>163</v>
      </c>
      <c r="CI53" t="s">
        <v>148</v>
      </c>
      <c r="CL53" t="s">
        <v>163</v>
      </c>
      <c r="CO53" t="s">
        <v>148</v>
      </c>
      <c r="CR53" t="s">
        <v>163</v>
      </c>
      <c r="CU53" t="s">
        <v>163</v>
      </c>
      <c r="CX53" t="s">
        <v>163</v>
      </c>
      <c r="DA53" t="s">
        <v>151</v>
      </c>
      <c r="DD53" t="s">
        <v>165</v>
      </c>
      <c r="DG53" t="s">
        <v>163</v>
      </c>
      <c r="DJ53" t="s">
        <v>163</v>
      </c>
      <c r="DM53" t="s">
        <v>216</v>
      </c>
      <c r="DP53" t="s">
        <v>163</v>
      </c>
      <c r="DS53" t="s">
        <v>152</v>
      </c>
      <c r="DV53" t="s">
        <v>163</v>
      </c>
      <c r="DY53" t="s">
        <v>216</v>
      </c>
      <c r="EB53" t="s">
        <v>802</v>
      </c>
      <c r="EE53" t="s">
        <v>803</v>
      </c>
    </row>
    <row r="56" spans="1:136">
      <c r="AM56" s="4" t="str">
        <f>AM1</f>
        <v xml:space="preserve">Considero que mi participación en actividades de investigación, desarrollo tecnológico, creación artística, culturales, deportivas y de extensión ha contribuido a mi desarrollo integral como persona, </v>
      </c>
      <c r="AN56" s="4"/>
      <c r="AS56" s="4" t="str">
        <f>AS1</f>
        <v>Considero que el reglamento estudiantil y las políticas académicas del programa son pertinentes y están actualizadas.</v>
      </c>
      <c r="AT56" s="4"/>
      <c r="AY56" s="4" t="str">
        <f>AY1</f>
        <v>Considero que los criterios para la concesión de estímulos académicos y apoyos socioeconómicos, son claros y justos.</v>
      </c>
      <c r="AZ56" s="4"/>
      <c r="BE56" s="4" t="str">
        <f>BE1</f>
        <v>Considero que el material académico producido por los docentes es pertinente y adecuado con las necesidades y objetivos de la Maestría en Ciencias de la Información y las Comunicaciones.</v>
      </c>
      <c r="BF56" s="4"/>
      <c r="BH56" s="4" t="str">
        <f>BH1</f>
        <v>Considero que los criterios y mecanismos utilizados para la evaluación de los profesores son transparentes, accesibles y eficaces</v>
      </c>
      <c r="BI56" s="4"/>
      <c r="BK56" s="4" t="str">
        <f>BK1</f>
        <v>Considero que las estrategias de flexibilidad curricular me han permitido personalizar mi formación de acuerdo con mis objetivos profesionales y académicos.</v>
      </c>
      <c r="BL56" s="4"/>
      <c r="BT56" s="4" t="str">
        <f>BT1</f>
        <v>Considero que las estrategias pedagógicas y escenarios de práctica utilizadas en la Maestría en Ciencias de la Información y las Comunicaciones son coherentes y efectivas para facilitar los resultados</v>
      </c>
      <c r="BU56" s="4"/>
      <c r="BW56" s="4" t="str">
        <f>BW$1</f>
        <v>Considero que los sistemas de evaluación de los resultados de aprendizaje permiten una realimentación efectiva que contribuye a la mejora continua de la formación en los estudiantes.</v>
      </c>
      <c r="BX56" s="4"/>
      <c r="BZ56" s="4" t="str">
        <f>BZ$1</f>
        <v>Considero que el proceso de evaluación y autorregulación de la Maestría en Ciencias de la Información y las Comunicaciones tiene en cuenta de manera efectiva las necesidades y expectativas de los estu</v>
      </c>
      <c r="CA56" s="4"/>
      <c r="CC56" s="3" t="str">
        <f>CC$1</f>
        <v>Considero que las intervenciones y el apoyo proporcionados para alertarme de forma temprana, han sido útiles para mejorar mi rendimiento académico y facilitar mi progreso hacia la graduación.</v>
      </c>
      <c r="CD56" s="3"/>
      <c r="CF56" s="3" t="str">
        <f>CF$1</f>
        <v>Considero que la interacción con homólogos nacionales e internacionales ha mejorado mis competencias académicas y científicas, así como las oportunidades de desarrollo profesional.</v>
      </c>
      <c r="CG56" s="3"/>
      <c r="CL56" s="3" t="str">
        <f>CL$1</f>
        <v>Considero que la Maestría en Ciencias de la Información y las Comunicaciones me proporciona una formación adecuada para la investigación, fomentando el desarrollo de un pensamiento crítico, creativo e</v>
      </c>
      <c r="CM56" s="3"/>
      <c r="CR56" s="3" t="str">
        <f>CR$1</f>
        <v>Considero que las políticas, programas y servicios de bienestar implementados en Maestría en Ciencias de la Información y las Comunicaciones son coherentes con las condiciones y necesidades específica</v>
      </c>
      <c r="CS56" s="3"/>
      <c r="CU56" s="3" t="str">
        <f>CU$1</f>
        <v>Considero que el acompañamiento proporcionado en la Maestría en Ciencias de la Información y las Comunicaciones facilita una comunicación efectiva y una interacción constructiva entre profesores y est</v>
      </c>
      <c r="CV56" s="3"/>
      <c r="CX56" s="3" t="str">
        <f>CX$1</f>
        <v>Considero que los espacios, recurso, herramientas y equipos de apoyo ofrecidos son pertinentes y se ajustan adecuadamente a mis necesidades formativas en los diferentes contextos que requiero.</v>
      </c>
      <c r="CY56" s="3"/>
      <c r="DA56" s="4" t="str">
        <f>DA1</f>
        <v>¿Has notado alguna mejora en las estrategias y recursos de apoyo como resultado de retroalimentaciones previas?</v>
      </c>
      <c r="DB56" s="4"/>
      <c r="DD56" s="3" t="str">
        <f>DD$1</f>
        <v>Considero que el material bibliográfico y de información disponible en la Maestría en Ciencias de la Información y las Comunicaciones es pertinente y adecuado para apoyar el desarrollo de las distinta</v>
      </c>
      <c r="DE56" s="3"/>
      <c r="DG56" s="3" t="str">
        <f>DG$1</f>
        <v>Considero que el representante estudiantil en los diferentes escenarios institucionales ha sido valorada y ha influido en las decisiones orientadas al mejoramiento de la Maestría en Ciencias de la Inf</v>
      </c>
      <c r="DH56" s="3"/>
      <c r="DJ56" s="3" t="str">
        <f>DJ$1</f>
        <v>Creo que los procesos administrativos están orientados adecuadamente y son eficaces para apoyar el desarrollo integral de las labores formativas, académicas, docentes, científicas, culturales y de ext</v>
      </c>
      <c r="DK56" s="3"/>
      <c r="DM56" s="3" t="str">
        <f>DM$1</f>
        <v>Considero que los recursos humanos (profesores, personal administrativo, etc.) disponibles en la Maestría en Ciencias de la Información y las Comunicaciones son suficientes y adecuados para atender el</v>
      </c>
      <c r="DN56" s="3"/>
      <c r="DP56" s="3" t="str">
        <f>DP$1</f>
        <v>Considero que los recursos informáticos disponibles, corresponden adecuadamente con las
necesidades tecnológicas de la Maestría en Ciencias de la Información y las Comunicaciones y de sus miembros (pr</v>
      </c>
      <c r="DQ56" s="3"/>
      <c r="DS56" s="4" t="str">
        <f>DS1</f>
        <v>¿En qué sector se desempeña su trabajo actual?</v>
      </c>
      <c r="DT56" s="4"/>
      <c r="DV56" s="3" t="str">
        <f>DV$1</f>
        <v>¿El trabajo que realiza actualmente se relaciona directamente con los conocimientos adquiridos en la maestría?</v>
      </c>
      <c r="DW56" s="3"/>
      <c r="DY56" s="3" t="str">
        <f>DY$1</f>
        <v>¿Siente que la maestría te ha abierto nuevas oportunidades laborales?</v>
      </c>
      <c r="DZ56" s="3"/>
    </row>
    <row r="57" spans="1:136">
      <c r="U57" s="4" t="str">
        <f>U1</f>
        <v>¿En qué año ingreso a la Maestría en Ciencias de la Información y las Comunicaciones?</v>
      </c>
      <c r="V57" s="4"/>
      <c r="X57" s="4" t="str">
        <f>X1</f>
        <v>¿En qué énfasis se encuentra inscrito?</v>
      </c>
      <c r="Y57" s="4"/>
      <c r="AA57" s="4" t="str">
        <f>AA1</f>
        <v>¿En qué Modalidad o Metodología se encuentra inscrito?</v>
      </c>
      <c r="AB57" s="4"/>
      <c r="AG57" s="4" t="str">
        <f>AG1</f>
        <v>Si se ofreciera una asignatura impartida en un 50% en inglés el próximo semestre, ¿se inscribiría?</v>
      </c>
      <c r="AH57" s="4"/>
      <c r="AM57" t="s">
        <v>146</v>
      </c>
      <c r="AN57">
        <f>COUNTIF(AM$2:AM$53,AM57)</f>
        <v>25</v>
      </c>
      <c r="AS57" t="s">
        <v>146</v>
      </c>
      <c r="AT57">
        <f>COUNTIF(AS$2:AS$53,AS57)</f>
        <v>9</v>
      </c>
      <c r="AY57" t="s">
        <v>146</v>
      </c>
      <c r="AZ57">
        <f>COUNTIF(AY$2:AY$53,AY57)</f>
        <v>12</v>
      </c>
      <c r="BE57" t="s">
        <v>146</v>
      </c>
      <c r="BF57">
        <f>COUNTIF(BE$2:BE$53,BE57)</f>
        <v>14</v>
      </c>
      <c r="BH57" t="s">
        <v>146</v>
      </c>
      <c r="BI57">
        <f>COUNTIF(BH$2:BH$53,BH57)</f>
        <v>19</v>
      </c>
      <c r="BK57" t="s">
        <v>146</v>
      </c>
      <c r="BL57">
        <f>COUNTIF(BK$2:BK$53,BK57)</f>
        <v>13</v>
      </c>
      <c r="BT57" t="s">
        <v>146</v>
      </c>
      <c r="BU57">
        <f>COUNTIF(BT$2:BT$53,BT57)</f>
        <v>8</v>
      </c>
      <c r="BW57" t="s">
        <v>146</v>
      </c>
      <c r="BX57">
        <f>COUNTIF(BW$2:BW$53,BW57)</f>
        <v>11</v>
      </c>
      <c r="BZ57" t="s">
        <v>146</v>
      </c>
      <c r="CA57">
        <f>COUNTIF(BZ$2:BZ$53,BZ57)</f>
        <v>6</v>
      </c>
      <c r="CC57" t="s">
        <v>146</v>
      </c>
      <c r="CD57">
        <f>COUNTIF(CC$2:CC$53,CC57)</f>
        <v>11</v>
      </c>
      <c r="CF57" t="s">
        <v>146</v>
      </c>
      <c r="CG57">
        <f>COUNTIF(CF$2:CF$53,CF57)</f>
        <v>7</v>
      </c>
      <c r="CL57" t="s">
        <v>146</v>
      </c>
      <c r="CM57">
        <f>COUNTIF(CL$2:CL$53,CL57)</f>
        <v>17</v>
      </c>
      <c r="CR57" t="s">
        <v>146</v>
      </c>
      <c r="CS57">
        <f>COUNTIF(CR$2:CR$53,CR57)</f>
        <v>6</v>
      </c>
      <c r="CU57" t="s">
        <v>146</v>
      </c>
      <c r="CV57">
        <f>COUNTIF(CU$2:CU$53,CU57)</f>
        <v>8</v>
      </c>
      <c r="CX57" t="s">
        <v>146</v>
      </c>
      <c r="CY57">
        <f>COUNTIF(CX$2:CX$53,CX57)</f>
        <v>12</v>
      </c>
      <c r="DA57" t="s">
        <v>151</v>
      </c>
      <c r="DB57">
        <f>COUNTIF(DA$2:DA$53,DA57)</f>
        <v>17</v>
      </c>
      <c r="DD57" t="s">
        <v>146</v>
      </c>
      <c r="DE57">
        <f>COUNTIF(DD$2:DD$53,DD57)</f>
        <v>15</v>
      </c>
      <c r="DG57" t="s">
        <v>146</v>
      </c>
      <c r="DH57">
        <f>COUNTIF(DG$2:DG$53,DG57)</f>
        <v>2</v>
      </c>
      <c r="DJ57" t="s">
        <v>146</v>
      </c>
      <c r="DK57">
        <f>COUNTIF(DJ$2:DJ$53,DJ57)</f>
        <v>6</v>
      </c>
      <c r="DM57" t="s">
        <v>146</v>
      </c>
      <c r="DN57">
        <f>COUNTIF(DM$2:DM$53,DM57)</f>
        <v>12</v>
      </c>
      <c r="DP57" t="s">
        <v>146</v>
      </c>
      <c r="DQ57">
        <f>COUNTIF(DP$2:DP$53,DP57)</f>
        <v>13</v>
      </c>
      <c r="DS57" t="s">
        <v>740</v>
      </c>
      <c r="DT57">
        <f>COUNTIF(DS$2:DS$53,DS57)</f>
        <v>1</v>
      </c>
      <c r="DV57" t="s">
        <v>146</v>
      </c>
      <c r="DW57">
        <f>COUNTIF(DV$2:DV$53,DV57)</f>
        <v>22</v>
      </c>
      <c r="DY57" t="s">
        <v>146</v>
      </c>
      <c r="DZ57">
        <f>COUNTIF(DY$2:DY$53,DY57)</f>
        <v>10</v>
      </c>
    </row>
    <row r="58" spans="1:136">
      <c r="O58" s="4" t="str">
        <f>O1</f>
        <v>¿En que rango de edad se encuentra?</v>
      </c>
      <c r="P58" s="4"/>
      <c r="U58">
        <v>2016</v>
      </c>
      <c r="V58">
        <f>COUNTIF(U$2:U$53,U58)</f>
        <v>2</v>
      </c>
      <c r="X58" t="s">
        <v>141</v>
      </c>
      <c r="Y58">
        <f>COUNTIF(X$2:X$53,X58)</f>
        <v>21</v>
      </c>
      <c r="AA58" t="s">
        <v>159</v>
      </c>
      <c r="AB58">
        <f>COUNTIF(AA$2:AA$53,AA58)</f>
        <v>24</v>
      </c>
      <c r="AC58">
        <f>AB58*100/$AB$62</f>
        <v>46.153846153846153</v>
      </c>
      <c r="AG58" t="s">
        <v>804</v>
      </c>
      <c r="AH58">
        <f>COUNTIF(AG$2:AG$53,AG58)</f>
        <v>43</v>
      </c>
      <c r="AM58" t="s">
        <v>165</v>
      </c>
      <c r="AN58">
        <f t="shared" ref="AN58:AN61" si="0">COUNTIF(AM$2:AM$53,AM58)</f>
        <v>17</v>
      </c>
      <c r="AS58" t="s">
        <v>165</v>
      </c>
      <c r="AT58">
        <f t="shared" ref="AT58:AT61" si="1">COUNTIF(AS$2:AS$53,AS58)</f>
        <v>28</v>
      </c>
      <c r="AY58" t="s">
        <v>165</v>
      </c>
      <c r="AZ58">
        <f t="shared" ref="AZ58:AZ61" si="2">COUNTIF(AY$2:AY$53,AY58)</f>
        <v>21</v>
      </c>
      <c r="BE58" t="s">
        <v>165</v>
      </c>
      <c r="BF58">
        <f t="shared" ref="BF58:BF61" si="3">COUNTIF(BE$2:BE$53,BE58)</f>
        <v>32</v>
      </c>
      <c r="BH58" t="s">
        <v>165</v>
      </c>
      <c r="BI58">
        <f t="shared" ref="BI58:BI61" si="4">COUNTIF(BH$2:BH$53,BH58)</f>
        <v>25</v>
      </c>
      <c r="BK58" t="s">
        <v>165</v>
      </c>
      <c r="BL58">
        <f t="shared" ref="BL58:BL61" si="5">COUNTIF(BK$2:BK$53,BK58)</f>
        <v>17</v>
      </c>
      <c r="BT58" t="s">
        <v>165</v>
      </c>
      <c r="BU58">
        <f t="shared" ref="BU58:BU61" si="6">COUNTIF(BT$2:BT$53,BT58)</f>
        <v>35</v>
      </c>
      <c r="BW58" t="s">
        <v>165</v>
      </c>
      <c r="BX58">
        <f t="shared" ref="BX58" si="7">COUNTIF(BW$2:BW$53,BW58)</f>
        <v>32</v>
      </c>
      <c r="BZ58" t="s">
        <v>165</v>
      </c>
      <c r="CA58">
        <f t="shared" ref="CA58" si="8">COUNTIF(BZ$2:BZ$53,BZ58)</f>
        <v>28</v>
      </c>
      <c r="CC58" t="s">
        <v>165</v>
      </c>
      <c r="CD58">
        <f t="shared" ref="CD58:CD61" si="9">COUNTIF(CC$2:CC$53,CC58)</f>
        <v>25</v>
      </c>
      <c r="CF58" t="s">
        <v>165</v>
      </c>
      <c r="CG58">
        <f t="shared" ref="CG58" si="10">COUNTIF(CF$2:CF$53,CF58)</f>
        <v>10</v>
      </c>
      <c r="CL58" t="s">
        <v>165</v>
      </c>
      <c r="CM58">
        <f t="shared" ref="CM58" si="11">COUNTIF(CL$2:CL$53,CL58)</f>
        <v>29</v>
      </c>
      <c r="CR58" t="s">
        <v>165</v>
      </c>
      <c r="CS58">
        <f t="shared" ref="CS58" si="12">COUNTIF(CR$2:CR$53,CR58)</f>
        <v>23</v>
      </c>
      <c r="CU58" t="s">
        <v>165</v>
      </c>
      <c r="CV58">
        <f t="shared" ref="CV58" si="13">COUNTIF(CU$2:CU$53,CU58)</f>
        <v>32</v>
      </c>
      <c r="CX58" t="s">
        <v>165</v>
      </c>
      <c r="CY58">
        <f t="shared" ref="CY58" si="14">COUNTIF(CX$2:CX$53,CX58)</f>
        <v>26</v>
      </c>
      <c r="DA58" t="s">
        <v>215</v>
      </c>
      <c r="DB58">
        <f t="shared" ref="DB58:DB61" si="15">COUNTIF(DA$2:DA$53,DA58)</f>
        <v>8</v>
      </c>
      <c r="DD58" t="s">
        <v>165</v>
      </c>
      <c r="DE58">
        <f t="shared" ref="DE58" si="16">COUNTIF(DD$2:DD$53,DD58)</f>
        <v>27</v>
      </c>
      <c r="DG58" t="s">
        <v>165</v>
      </c>
      <c r="DH58">
        <f t="shared" ref="DH58" si="17">COUNTIF(DG$2:DG$53,DG58)</f>
        <v>9</v>
      </c>
      <c r="DJ58" t="s">
        <v>165</v>
      </c>
      <c r="DK58">
        <f t="shared" ref="DK58" si="18">COUNTIF(DJ$2:DJ$53,DJ58)</f>
        <v>32</v>
      </c>
      <c r="DM58" t="s">
        <v>165</v>
      </c>
      <c r="DN58">
        <f t="shared" ref="DN58" si="19">COUNTIF(DM$2:DM$53,DM58)</f>
        <v>28</v>
      </c>
      <c r="DP58" t="s">
        <v>165</v>
      </c>
      <c r="DQ58">
        <f t="shared" ref="DQ58" si="20">COUNTIF(DP$2:DP$53,DP58)</f>
        <v>27</v>
      </c>
      <c r="DS58" t="s">
        <v>201</v>
      </c>
      <c r="DT58">
        <f t="shared" ref="DT58:DT62" si="21">COUNTIF(DS$2:DS$53,DS58)</f>
        <v>10</v>
      </c>
      <c r="DV58" t="s">
        <v>165</v>
      </c>
      <c r="DW58">
        <f t="shared" ref="DW58" si="22">COUNTIF(DV$2:DV$53,DV58)</f>
        <v>20</v>
      </c>
      <c r="DY58" t="s">
        <v>165</v>
      </c>
      <c r="DZ58">
        <f t="shared" ref="DZ58" si="23">COUNTIF(DY$2:DY$53,DY58)</f>
        <v>12</v>
      </c>
    </row>
    <row r="59" spans="1:136">
      <c r="O59" t="s">
        <v>140</v>
      </c>
      <c r="P59">
        <f>COUNTIF(O$2:O$53,O59)</f>
        <v>30</v>
      </c>
      <c r="U59">
        <v>2017</v>
      </c>
      <c r="V59">
        <f t="shared" ref="V59:V65" si="24">COUNTIF(U$2:U$53,U59)</f>
        <v>2</v>
      </c>
      <c r="X59" t="s">
        <v>158</v>
      </c>
      <c r="Y59">
        <f t="shared" ref="Y59:Y61" si="25">COUNTIF(X$2:X$53,X59)</f>
        <v>22</v>
      </c>
      <c r="AA59" t="s">
        <v>142</v>
      </c>
      <c r="AB59">
        <f t="shared" ref="AB59:AB61" si="26">COUNTIF(AA$2:AA$53,AA59)</f>
        <v>28</v>
      </c>
      <c r="AC59">
        <f>AB59*100/$AB$62</f>
        <v>53.846153846153847</v>
      </c>
      <c r="AG59" t="s">
        <v>265</v>
      </c>
      <c r="AH59">
        <f>COUNTIF(AG$2:AG$53,AG59)</f>
        <v>9</v>
      </c>
      <c r="AM59" t="s">
        <v>805</v>
      </c>
      <c r="AN59">
        <f t="shared" si="0"/>
        <v>0</v>
      </c>
      <c r="AS59" t="s">
        <v>216</v>
      </c>
      <c r="AT59">
        <f t="shared" si="1"/>
        <v>1</v>
      </c>
      <c r="AY59" t="s">
        <v>216</v>
      </c>
      <c r="AZ59">
        <f t="shared" si="2"/>
        <v>5</v>
      </c>
      <c r="BE59" t="s">
        <v>216</v>
      </c>
      <c r="BF59">
        <f t="shared" si="3"/>
        <v>1</v>
      </c>
      <c r="BH59" t="s">
        <v>216</v>
      </c>
      <c r="BI59">
        <f t="shared" si="4"/>
        <v>3</v>
      </c>
      <c r="BK59" t="s">
        <v>216</v>
      </c>
      <c r="BL59">
        <f t="shared" si="5"/>
        <v>1</v>
      </c>
      <c r="BT59" t="s">
        <v>216</v>
      </c>
      <c r="BU59">
        <f t="shared" si="6"/>
        <v>2</v>
      </c>
      <c r="BW59" t="s">
        <v>163</v>
      </c>
      <c r="BX59">
        <f>COUNTIF(BW$2:BW$53,BW59)</f>
        <v>8</v>
      </c>
      <c r="BZ59" t="s">
        <v>163</v>
      </c>
      <c r="CA59">
        <f>COUNTIF(BZ$2:BZ$53,BZ59)</f>
        <v>16</v>
      </c>
      <c r="CC59" t="s">
        <v>163</v>
      </c>
      <c r="CD59">
        <f>COUNTIF(CC$2:CC$53,CC59)</f>
        <v>14</v>
      </c>
      <c r="CF59" t="s">
        <v>163</v>
      </c>
      <c r="CG59">
        <f>COUNTIF(CF$2:CF$53,CF59)</f>
        <v>34</v>
      </c>
      <c r="CL59" t="s">
        <v>163</v>
      </c>
      <c r="CM59">
        <f>COUNTIF(CL$2:CL$53,CL59)</f>
        <v>3</v>
      </c>
      <c r="CR59" t="s">
        <v>163</v>
      </c>
      <c r="CS59">
        <f>COUNTIF(CR$2:CR$53,CR59)</f>
        <v>19</v>
      </c>
      <c r="CU59" t="s">
        <v>163</v>
      </c>
      <c r="CV59">
        <f>COUNTIF(CU$2:CU$53,CU59)</f>
        <v>9</v>
      </c>
      <c r="CX59" t="s">
        <v>163</v>
      </c>
      <c r="CY59">
        <f>COUNTIF(CX$2:CX$53,CX59)</f>
        <v>11</v>
      </c>
      <c r="DA59" t="s">
        <v>185</v>
      </c>
      <c r="DB59">
        <f t="shared" si="15"/>
        <v>27</v>
      </c>
      <c r="DD59" t="s">
        <v>163</v>
      </c>
      <c r="DE59">
        <f>COUNTIF(DD$2:DD$53,DD59)</f>
        <v>8</v>
      </c>
      <c r="DG59" t="s">
        <v>163</v>
      </c>
      <c r="DH59">
        <f>COUNTIF(DG$2:DG$53,DG59)</f>
        <v>36</v>
      </c>
      <c r="DJ59" t="s">
        <v>163</v>
      </c>
      <c r="DK59">
        <f>COUNTIF(DJ$2:DJ$53,DJ59)</f>
        <v>11</v>
      </c>
      <c r="DM59" t="s">
        <v>163</v>
      </c>
      <c r="DN59">
        <f>COUNTIF(DM$2:DM$53,DM59)</f>
        <v>5</v>
      </c>
      <c r="DP59" t="s">
        <v>163</v>
      </c>
      <c r="DQ59">
        <f>COUNTIF(DP$2:DP$53,DP59)</f>
        <v>9</v>
      </c>
      <c r="DS59" t="s">
        <v>244</v>
      </c>
      <c r="DT59">
        <f t="shared" si="21"/>
        <v>3</v>
      </c>
      <c r="DV59" t="s">
        <v>163</v>
      </c>
      <c r="DW59">
        <f>COUNTIF(DV$2:DV$53,DV59)</f>
        <v>7</v>
      </c>
      <c r="DY59" t="s">
        <v>163</v>
      </c>
      <c r="DZ59">
        <f>COUNTIF(DY$2:DY$53,DY59)</f>
        <v>25</v>
      </c>
    </row>
    <row r="60" spans="1:136">
      <c r="O60" t="s">
        <v>157</v>
      </c>
      <c r="P60">
        <f t="shared" ref="P60:P62" si="27">COUNTIF(O$2:O$53,O60)</f>
        <v>16</v>
      </c>
      <c r="U60">
        <v>2018</v>
      </c>
      <c r="V60">
        <f t="shared" si="24"/>
        <v>2</v>
      </c>
      <c r="X60" t="s">
        <v>579</v>
      </c>
      <c r="Y60">
        <f t="shared" si="25"/>
        <v>3</v>
      </c>
      <c r="AB60">
        <f t="shared" si="26"/>
        <v>0</v>
      </c>
      <c r="AM60" t="s">
        <v>163</v>
      </c>
      <c r="AN60">
        <f t="shared" si="0"/>
        <v>10</v>
      </c>
      <c r="AS60" t="s">
        <v>163</v>
      </c>
      <c r="AT60">
        <f t="shared" si="1"/>
        <v>13</v>
      </c>
      <c r="AY60" t="s">
        <v>163</v>
      </c>
      <c r="AZ60">
        <f t="shared" si="2"/>
        <v>14</v>
      </c>
      <c r="BE60" t="s">
        <v>163</v>
      </c>
      <c r="BF60">
        <f t="shared" si="3"/>
        <v>5</v>
      </c>
      <c r="BH60" t="s">
        <v>163</v>
      </c>
      <c r="BI60">
        <f t="shared" si="4"/>
        <v>5</v>
      </c>
      <c r="BK60" t="s">
        <v>163</v>
      </c>
      <c r="BL60">
        <f t="shared" si="5"/>
        <v>20</v>
      </c>
      <c r="BT60" t="s">
        <v>163</v>
      </c>
      <c r="BU60">
        <f t="shared" si="6"/>
        <v>7</v>
      </c>
      <c r="BW60" t="s">
        <v>216</v>
      </c>
      <c r="BX60">
        <f>COUNTIF(BW$2:BW$53,BW60)</f>
        <v>1</v>
      </c>
      <c r="BZ60" t="s">
        <v>216</v>
      </c>
      <c r="CA60">
        <f>COUNTIF(BZ$2:BZ$53,BZ60)</f>
        <v>2</v>
      </c>
      <c r="CC60" t="s">
        <v>216</v>
      </c>
      <c r="CD60">
        <f>COUNTIF(CC$2:CC$53,CC60)</f>
        <v>2</v>
      </c>
      <c r="CF60" t="s">
        <v>216</v>
      </c>
      <c r="CG60">
        <f>COUNTIF(CF$2:CF$53,CF60)</f>
        <v>0</v>
      </c>
      <c r="CL60" t="s">
        <v>216</v>
      </c>
      <c r="CM60">
        <f>COUNTIF(CL$2:CL$53,CL60)</f>
        <v>3</v>
      </c>
      <c r="CR60" t="s">
        <v>216</v>
      </c>
      <c r="CS60">
        <f>COUNTIF(CR$2:CR$53,CR60)</f>
        <v>4</v>
      </c>
      <c r="CU60" t="s">
        <v>216</v>
      </c>
      <c r="CV60">
        <f>COUNTIF(CU$2:CU$53,CU60)</f>
        <v>3</v>
      </c>
      <c r="CX60" t="s">
        <v>216</v>
      </c>
      <c r="CY60">
        <f>COUNTIF(CX$2:CX$53,CX60)</f>
        <v>3</v>
      </c>
      <c r="DB60">
        <f t="shared" si="15"/>
        <v>0</v>
      </c>
      <c r="DD60" t="s">
        <v>216</v>
      </c>
      <c r="DE60">
        <f>COUNTIF(DD$2:DD$53,DD60)</f>
        <v>2</v>
      </c>
      <c r="DG60" t="s">
        <v>216</v>
      </c>
      <c r="DH60">
        <f>COUNTIF(DG$2:DG$53,DG60)</f>
        <v>4</v>
      </c>
      <c r="DJ60" t="s">
        <v>216</v>
      </c>
      <c r="DK60">
        <f>COUNTIF(DJ$2:DJ$53,DJ60)</f>
        <v>3</v>
      </c>
      <c r="DM60" t="s">
        <v>216</v>
      </c>
      <c r="DN60">
        <f>COUNTIF(DM$2:DM$53,DM60)</f>
        <v>7</v>
      </c>
      <c r="DP60" t="s">
        <v>216</v>
      </c>
      <c r="DQ60">
        <f>COUNTIF(DP$2:DP$53,DP60)</f>
        <v>3</v>
      </c>
      <c r="DS60" t="s">
        <v>284</v>
      </c>
      <c r="DT60">
        <f t="shared" si="21"/>
        <v>10</v>
      </c>
      <c r="DV60" t="s">
        <v>216</v>
      </c>
      <c r="DW60">
        <f>COUNTIF(DV$2:DV$53,DV60)</f>
        <v>3</v>
      </c>
      <c r="DY60" t="s">
        <v>216</v>
      </c>
      <c r="DZ60">
        <f>COUNTIF(DY$2:DY$53,DY60)</f>
        <v>5</v>
      </c>
    </row>
    <row r="61" spans="1:136">
      <c r="O61" t="s">
        <v>490</v>
      </c>
      <c r="P61">
        <f t="shared" si="27"/>
        <v>3</v>
      </c>
      <c r="U61">
        <v>2020</v>
      </c>
      <c r="V61">
        <f t="shared" si="24"/>
        <v>3</v>
      </c>
      <c r="X61" t="s">
        <v>412</v>
      </c>
      <c r="Y61">
        <f t="shared" si="25"/>
        <v>6</v>
      </c>
      <c r="AB61">
        <f t="shared" si="26"/>
        <v>0</v>
      </c>
      <c r="AH61">
        <f>SUM(AH58:AH59)</f>
        <v>52</v>
      </c>
      <c r="AM61" t="s">
        <v>200</v>
      </c>
      <c r="AN61">
        <f t="shared" si="0"/>
        <v>0</v>
      </c>
      <c r="AS61" t="s">
        <v>200</v>
      </c>
      <c r="AT61">
        <f t="shared" si="1"/>
        <v>1</v>
      </c>
      <c r="AY61" t="s">
        <v>200</v>
      </c>
      <c r="AZ61">
        <f t="shared" si="2"/>
        <v>0</v>
      </c>
      <c r="BE61" t="s">
        <v>200</v>
      </c>
      <c r="BF61">
        <f t="shared" si="3"/>
        <v>0</v>
      </c>
      <c r="BH61" t="s">
        <v>200</v>
      </c>
      <c r="BI61">
        <f t="shared" si="4"/>
        <v>0</v>
      </c>
      <c r="BK61" t="s">
        <v>200</v>
      </c>
      <c r="BL61">
        <f t="shared" si="5"/>
        <v>1</v>
      </c>
      <c r="BT61" t="s">
        <v>200</v>
      </c>
      <c r="BU61">
        <f t="shared" si="6"/>
        <v>0</v>
      </c>
      <c r="BW61" t="s">
        <v>200</v>
      </c>
      <c r="BX61">
        <f t="shared" ref="BX61" si="28">COUNTIF(BW$2:BW$53,BW61)</f>
        <v>0</v>
      </c>
      <c r="BZ61" t="s">
        <v>200</v>
      </c>
      <c r="CA61">
        <f t="shared" ref="CA61" si="29">COUNTIF(BZ$2:BZ$53,BZ61)</f>
        <v>0</v>
      </c>
      <c r="CC61" t="s">
        <v>200</v>
      </c>
      <c r="CD61">
        <f t="shared" si="9"/>
        <v>0</v>
      </c>
      <c r="CF61" t="s">
        <v>200</v>
      </c>
      <c r="CG61">
        <f t="shared" ref="CG61" si="30">COUNTIF(CF$2:CF$53,CF61)</f>
        <v>1</v>
      </c>
      <c r="CL61" t="s">
        <v>200</v>
      </c>
      <c r="CM61">
        <f t="shared" ref="CM61" si="31">COUNTIF(CL$2:CL$53,CL61)</f>
        <v>0</v>
      </c>
      <c r="CR61" t="s">
        <v>200</v>
      </c>
      <c r="CS61">
        <f t="shared" ref="CS61" si="32">COUNTIF(CR$2:CR$53,CR61)</f>
        <v>0</v>
      </c>
      <c r="CU61" t="s">
        <v>200</v>
      </c>
      <c r="CV61">
        <f t="shared" ref="CV61" si="33">COUNTIF(CU$2:CU$53,CU61)</f>
        <v>0</v>
      </c>
      <c r="CX61" t="s">
        <v>200</v>
      </c>
      <c r="CY61">
        <f t="shared" ref="CY61" si="34">COUNTIF(CX$2:CX$53,CX61)</f>
        <v>0</v>
      </c>
      <c r="DB61">
        <f t="shared" si="15"/>
        <v>0</v>
      </c>
      <c r="DD61" t="s">
        <v>200</v>
      </c>
      <c r="DE61">
        <f t="shared" ref="DE61" si="35">COUNTIF(DD$2:DD$53,DD61)</f>
        <v>0</v>
      </c>
      <c r="DG61" t="s">
        <v>200</v>
      </c>
      <c r="DH61">
        <f t="shared" ref="DH61" si="36">COUNTIF(DG$2:DG$53,DG61)</f>
        <v>1</v>
      </c>
      <c r="DJ61" t="s">
        <v>200</v>
      </c>
      <c r="DK61">
        <f t="shared" ref="DK61" si="37">COUNTIF(DJ$2:DJ$53,DJ61)</f>
        <v>0</v>
      </c>
      <c r="DM61" t="s">
        <v>200</v>
      </c>
      <c r="DN61">
        <f t="shared" ref="DN61" si="38">COUNTIF(DM$2:DM$53,DM61)</f>
        <v>0</v>
      </c>
      <c r="DP61" t="s">
        <v>200</v>
      </c>
      <c r="DQ61">
        <f t="shared" ref="DQ61" si="39">COUNTIF(DP$2:DP$53,DP61)</f>
        <v>0</v>
      </c>
      <c r="DS61" t="s">
        <v>152</v>
      </c>
      <c r="DT61">
        <f t="shared" si="21"/>
        <v>25</v>
      </c>
      <c r="DV61" t="s">
        <v>200</v>
      </c>
      <c r="DW61">
        <f t="shared" ref="DW61" si="40">COUNTIF(DV$2:DV$53,DV61)</f>
        <v>0</v>
      </c>
      <c r="DY61" t="s">
        <v>200</v>
      </c>
      <c r="DZ61">
        <f t="shared" ref="DZ61" si="41">COUNTIF(DY$2:DY$53,DY61)</f>
        <v>0</v>
      </c>
    </row>
    <row r="62" spans="1:136">
      <c r="O62" t="s">
        <v>328</v>
      </c>
      <c r="P62">
        <f t="shared" si="27"/>
        <v>3</v>
      </c>
      <c r="U62">
        <v>2021</v>
      </c>
      <c r="V62">
        <f t="shared" si="24"/>
        <v>1</v>
      </c>
      <c r="Y62">
        <f>SUM(Y58:Y61)</f>
        <v>52</v>
      </c>
      <c r="AB62">
        <f>SUM(AB58:AB61)</f>
        <v>52</v>
      </c>
      <c r="DS62" t="s">
        <v>296</v>
      </c>
      <c r="DT62">
        <f t="shared" si="21"/>
        <v>3</v>
      </c>
    </row>
    <row r="63" spans="1:136">
      <c r="P63">
        <f>SUM(P59:P62)</f>
        <v>52</v>
      </c>
      <c r="U63">
        <v>2022</v>
      </c>
      <c r="V63">
        <f t="shared" si="24"/>
        <v>1</v>
      </c>
      <c r="AN63">
        <f>SUM(AN57:AN61)</f>
        <v>52</v>
      </c>
      <c r="AT63">
        <f>SUM(AT57:AT61)</f>
        <v>52</v>
      </c>
      <c r="AZ63">
        <f>SUM(AZ57:AZ61)</f>
        <v>52</v>
      </c>
      <c r="BF63">
        <f>SUM(BF57:BF61)</f>
        <v>52</v>
      </c>
      <c r="BI63">
        <f>SUM(BI57:BI61)</f>
        <v>52</v>
      </c>
      <c r="BL63">
        <f>SUM(BL57:BL61)</f>
        <v>52</v>
      </c>
      <c r="BU63">
        <f>SUM(BU57:BU61)</f>
        <v>52</v>
      </c>
      <c r="BX63">
        <f>SUM(BX57:BX61)</f>
        <v>52</v>
      </c>
      <c r="CA63">
        <f>SUM(CA57:CA61)</f>
        <v>52</v>
      </c>
      <c r="CD63">
        <f>SUM(CD57:CD61)</f>
        <v>52</v>
      </c>
      <c r="CG63">
        <f>SUM(CG57:CG61)</f>
        <v>52</v>
      </c>
      <c r="CM63">
        <f>SUM(CM57:CM61)</f>
        <v>52</v>
      </c>
      <c r="CS63">
        <f>SUM(CS57:CS61)</f>
        <v>52</v>
      </c>
      <c r="CV63">
        <f>SUM(CV57:CV61)</f>
        <v>52</v>
      </c>
      <c r="CY63">
        <f>SUM(CY57:CY61)</f>
        <v>52</v>
      </c>
      <c r="DB63">
        <f>SUM(DB57:DB61)</f>
        <v>52</v>
      </c>
      <c r="DE63">
        <f>SUM(DE57:DE61)</f>
        <v>52</v>
      </c>
      <c r="DH63">
        <f>SUM(DH57:DH61)</f>
        <v>52</v>
      </c>
      <c r="DK63">
        <f>SUM(DK57:DK61)</f>
        <v>52</v>
      </c>
      <c r="DN63">
        <f>SUM(DN57:DN61)</f>
        <v>52</v>
      </c>
      <c r="DQ63">
        <f>SUM(DQ57:DQ61)</f>
        <v>52</v>
      </c>
      <c r="DW63">
        <f>SUM(DW57:DW61)</f>
        <v>52</v>
      </c>
      <c r="DZ63">
        <f>SUM(DZ57:DZ61)</f>
        <v>52</v>
      </c>
    </row>
    <row r="64" spans="1:136">
      <c r="U64">
        <v>2024</v>
      </c>
      <c r="V64">
        <f t="shared" si="24"/>
        <v>25</v>
      </c>
      <c r="DT64">
        <f>SUM(DT57:DT62)</f>
        <v>52</v>
      </c>
    </row>
    <row r="65" spans="21:22">
      <c r="U65">
        <v>2025</v>
      </c>
      <c r="V65">
        <f t="shared" si="24"/>
        <v>16</v>
      </c>
    </row>
    <row r="67" spans="21:22">
      <c r="V67">
        <f>SUM(V58:V65)</f>
        <v>52</v>
      </c>
    </row>
  </sheetData>
  <autoFilter ref="A1:EG53" xr:uid="{AD6FD15D-5788-4BDF-AB49-3F183D7A7F0F}"/>
  <mergeCells count="16">
    <mergeCell ref="DS56:DT56"/>
    <mergeCell ref="O58:P58"/>
    <mergeCell ref="DA56:DB56"/>
    <mergeCell ref="BT56:BU56"/>
    <mergeCell ref="BW56:BX56"/>
    <mergeCell ref="BZ56:CA56"/>
    <mergeCell ref="AS56:AT56"/>
    <mergeCell ref="AY56:AZ56"/>
    <mergeCell ref="BE56:BF56"/>
    <mergeCell ref="BH56:BI56"/>
    <mergeCell ref="BK56:BL56"/>
    <mergeCell ref="X57:Y57"/>
    <mergeCell ref="U57:V57"/>
    <mergeCell ref="AA57:AB57"/>
    <mergeCell ref="AG57:AH57"/>
    <mergeCell ref="AM56:AN5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Caiman</dc:creator>
  <cp:keywords/>
  <dc:description/>
  <cp:lastModifiedBy>CAIMAN URQUIJO CAMILO ANDRES</cp:lastModifiedBy>
  <cp:revision/>
  <dcterms:created xsi:type="dcterms:W3CDTF">2025-04-04T20:00:36Z</dcterms:created>
  <dcterms:modified xsi:type="dcterms:W3CDTF">2025-04-09T15:03:54Z</dcterms:modified>
  <cp:category/>
  <cp:contentStatus/>
</cp:coreProperties>
</file>