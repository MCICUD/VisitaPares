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rcl\OneDrive\Documentos\2025\UNIVERSIDAD DISTRITAL\30.6 Acreditación\Facultad de Ingenieria\4. MAESTRIA EN CIENCIAS DE LA INFORMACION Y LAS COMUNICACIONES\"/>
    </mc:Choice>
  </mc:AlternateContent>
  <bookViews>
    <workbookView xWindow="0" yWindow="0" windowWidth="20490" windowHeight="7620" tabRatio="853"/>
  </bookViews>
  <sheets>
    <sheet name="Contenido" sheetId="17" r:id="rId1"/>
    <sheet name="A. Uso_Servicios CRAI+desglose" sheetId="11" r:id="rId2"/>
    <sheet name="B. Colecciones_bibliográficas" sheetId="1" r:id="rId3"/>
    <sheet name="C Colección_impresa_ubicación" sheetId="2" r:id="rId4"/>
    <sheet name="D. Biblioteca_digital_BDIGITAL" sheetId="3" r:id="rId5"/>
    <sheet name="E. Colección_digital_RIUD" sheetId="9" r:id="rId6"/>
    <sheet name="F.CRAI+2_Alianza Interbiblio" sheetId="12" r:id="rId7"/>
    <sheet name="H.CRAI+11_Plan_formación" sheetId="15" r:id="rId8"/>
    <sheet name="I. Infraestructura Biblioteca" sheetId="19" r:id="rId9"/>
  </sheets>
  <externalReferences>
    <externalReference r:id="rId10"/>
    <externalReference r:id="rId11"/>
  </externalReferences>
  <definedNames>
    <definedName name="_xlnm._FilterDatabase" localSheetId="4" hidden="1">'D. Biblioteca_digital_BDIGITAL'!$B$251:$L$268</definedName>
    <definedName name="_xlnm._FilterDatabase" localSheetId="6" hidden="1">'F.CRAI+2_Alianza Interbiblio'!$B$11:$G$11</definedName>
    <definedName name="_xlnm._FilterDatabase" localSheetId="7" hidden="1">'H.CRAI+11_Plan_formación'!$D$9:$H$30</definedName>
    <definedName name="_xlnm._FilterDatabase" localSheetId="8" hidden="1">'I. Infraestructura Biblioteca'!$B$6:$I$6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142" i="3" l="1"/>
  <c r="L143" i="3"/>
  <c r="L144" i="3"/>
  <c r="L145" i="3"/>
  <c r="L146" i="3"/>
  <c r="L147" i="3"/>
  <c r="L148" i="3"/>
  <c r="L149" i="3"/>
  <c r="L150" i="3"/>
  <c r="L151" i="3"/>
  <c r="L152" i="3"/>
  <c r="L153" i="3"/>
  <c r="L154" i="3"/>
  <c r="L155" i="3"/>
  <c r="L156" i="3"/>
  <c r="L157" i="3"/>
  <c r="L158" i="3"/>
  <c r="L159" i="3"/>
  <c r="L160" i="3"/>
  <c r="L161" i="3"/>
  <c r="L162" i="3"/>
  <c r="L163" i="3"/>
  <c r="L164" i="3"/>
  <c r="L165" i="3"/>
  <c r="L166" i="3"/>
  <c r="G49" i="15" l="1"/>
  <c r="G50" i="15"/>
  <c r="J246" i="3"/>
  <c r="J247" i="3"/>
  <c r="J248" i="3"/>
  <c r="J249"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252" i="3"/>
  <c r="K52" i="2"/>
  <c r="K53" i="2"/>
  <c r="K54" i="2"/>
  <c r="K55" i="2"/>
  <c r="K56" i="2"/>
  <c r="K51" i="2"/>
  <c r="K61" i="2"/>
  <c r="K62" i="2"/>
  <c r="K63" i="2"/>
  <c r="K64" i="2"/>
  <c r="K65" i="2"/>
  <c r="K42" i="2"/>
  <c r="K43" i="2"/>
  <c r="K44" i="2"/>
  <c r="K45" i="2"/>
  <c r="K46" i="2"/>
  <c r="K41" i="2"/>
  <c r="K33" i="2"/>
  <c r="K34" i="2"/>
  <c r="K35" i="2"/>
  <c r="K36" i="2"/>
  <c r="K37" i="2"/>
  <c r="K32" i="2"/>
  <c r="G54" i="15" l="1"/>
  <c r="G55" i="15"/>
  <c r="G56" i="15"/>
  <c r="G57" i="15"/>
  <c r="G11" i="15" l="1"/>
  <c r="P98" i="11" l="1"/>
  <c r="O98" i="11"/>
  <c r="M98" i="11"/>
  <c r="K98" i="11"/>
  <c r="I98" i="11"/>
  <c r="H98" i="11"/>
  <c r="G98" i="11"/>
  <c r="P97" i="11"/>
  <c r="O97" i="11"/>
  <c r="M97" i="11"/>
  <c r="K97" i="11"/>
  <c r="R96" i="11"/>
  <c r="R95" i="11"/>
  <c r="R94" i="11"/>
  <c r="R93" i="11"/>
  <c r="R92" i="11"/>
  <c r="R91" i="11"/>
  <c r="R90" i="11"/>
  <c r="R89" i="11"/>
  <c r="R88" i="11"/>
  <c r="R87" i="11"/>
  <c r="R86" i="11"/>
  <c r="R85" i="11"/>
  <c r="R84" i="11"/>
  <c r="R83" i="11"/>
  <c r="R82" i="11"/>
  <c r="R81" i="11"/>
  <c r="R80" i="11"/>
  <c r="R79" i="11"/>
  <c r="R78" i="11"/>
  <c r="O77" i="11"/>
  <c r="N77" i="11"/>
  <c r="N98" i="11" s="1"/>
  <c r="L77" i="11"/>
  <c r="L97" i="11" s="1"/>
  <c r="K77" i="11"/>
  <c r="J77" i="11"/>
  <c r="J98" i="11" s="1"/>
  <c r="R76" i="11"/>
  <c r="R75" i="11"/>
  <c r="R74" i="11"/>
  <c r="R73" i="11"/>
  <c r="R72" i="11"/>
  <c r="R71" i="11"/>
  <c r="R70" i="11"/>
  <c r="R69" i="11"/>
  <c r="R68" i="11"/>
  <c r="R67" i="11"/>
  <c r="R66" i="11"/>
  <c r="R65" i="11"/>
  <c r="R64" i="11"/>
  <c r="R63" i="11"/>
  <c r="Q62" i="11"/>
  <c r="R62" i="11" s="1"/>
  <c r="R61" i="11"/>
  <c r="R59" i="11"/>
  <c r="Q58" i="11"/>
  <c r="R58" i="11" s="1"/>
  <c r="R57" i="11"/>
  <c r="R56" i="11"/>
  <c r="O56" i="11"/>
  <c r="R55" i="11"/>
  <c r="R54" i="11"/>
  <c r="R53" i="11"/>
  <c r="R52" i="11"/>
  <c r="R51" i="11"/>
  <c r="R50" i="11"/>
  <c r="R49" i="11"/>
  <c r="R48" i="11"/>
  <c r="R47" i="11"/>
  <c r="R46" i="11"/>
  <c r="R45" i="11"/>
  <c r="R44" i="11"/>
  <c r="R43" i="11"/>
  <c r="R42" i="11"/>
  <c r="R41" i="11"/>
  <c r="R40" i="11"/>
  <c r="R39" i="11"/>
  <c r="R38" i="11"/>
  <c r="R37" i="11"/>
  <c r="O37" i="11"/>
  <c r="R36" i="11"/>
  <c r="R35" i="11"/>
  <c r="R34" i="11"/>
  <c r="R33" i="11"/>
  <c r="R32" i="11"/>
  <c r="R31" i="11"/>
  <c r="R30" i="11"/>
  <c r="Q30" i="11"/>
  <c r="Q98" i="11" s="1"/>
  <c r="R29" i="11"/>
  <c r="R28" i="11"/>
  <c r="R27" i="11"/>
  <c r="R26" i="11"/>
  <c r="R25" i="11"/>
  <c r="R24" i="11"/>
  <c r="R98" i="11" l="1"/>
  <c r="L98" i="11"/>
  <c r="Q97" i="11"/>
  <c r="R77" i="11"/>
  <c r="J97" i="11"/>
  <c r="N97" i="11"/>
  <c r="R97" i="11"/>
  <c r="J18" i="19" l="1"/>
  <c r="G44" i="15" l="1"/>
  <c r="G37" i="15" l="1"/>
  <c r="E37" i="15"/>
  <c r="H36" i="15"/>
  <c r="H35" i="15"/>
  <c r="H34" i="15"/>
  <c r="H33" i="15"/>
  <c r="H32" i="15"/>
  <c r="H31" i="15"/>
  <c r="H30" i="15"/>
  <c r="H29" i="15"/>
  <c r="H28" i="15"/>
  <c r="H27" i="15"/>
  <c r="H26" i="15"/>
  <c r="H25" i="15"/>
  <c r="H24" i="15"/>
  <c r="H23" i="15"/>
  <c r="H22" i="15"/>
  <c r="H21" i="15"/>
  <c r="H20" i="15"/>
  <c r="H19" i="15"/>
  <c r="H18" i="15"/>
  <c r="H17" i="15"/>
  <c r="H16" i="15"/>
  <c r="H15" i="15"/>
  <c r="H14" i="15"/>
  <c r="H13" i="15"/>
  <c r="H12" i="15"/>
  <c r="H11" i="15"/>
  <c r="F37" i="15"/>
  <c r="H10" i="15"/>
  <c r="H37" i="15" l="1"/>
  <c r="K60" i="2"/>
  <c r="K47" i="2"/>
  <c r="I117" i="12" l="1"/>
  <c r="D117" i="12"/>
  <c r="H117" i="12"/>
  <c r="G117" i="12"/>
  <c r="F117" i="12"/>
  <c r="E117" i="12"/>
  <c r="H31" i="9"/>
  <c r="H32" i="9"/>
  <c r="H33" i="9"/>
  <c r="H30" i="9"/>
  <c r="I54" i="9"/>
  <c r="I53" i="9"/>
  <c r="K236" i="3" l="1"/>
  <c r="J236" i="3"/>
  <c r="I236" i="3"/>
  <c r="H236" i="3"/>
  <c r="F236" i="3"/>
  <c r="E236" i="3"/>
  <c r="D236" i="3"/>
  <c r="L230" i="3"/>
  <c r="L229" i="3"/>
  <c r="L228" i="3"/>
  <c r="L227" i="3"/>
  <c r="L226" i="3"/>
  <c r="L225" i="3"/>
  <c r="L224" i="3"/>
  <c r="L223" i="3"/>
  <c r="L222" i="3"/>
  <c r="L221" i="3"/>
  <c r="L220" i="3"/>
  <c r="L219" i="3"/>
  <c r="L218" i="3"/>
  <c r="L217" i="3"/>
  <c r="L216" i="3"/>
  <c r="L215" i="3"/>
  <c r="L214" i="3"/>
  <c r="L213" i="3"/>
  <c r="L212" i="3"/>
  <c r="L211" i="3"/>
  <c r="L210" i="3"/>
  <c r="L209" i="3"/>
  <c r="G208" i="3"/>
  <c r="G236" i="3" s="1"/>
  <c r="L207" i="3"/>
  <c r="L206" i="3"/>
  <c r="L205" i="3"/>
  <c r="L204" i="3"/>
  <c r="L203" i="3"/>
  <c r="L202" i="3"/>
  <c r="L201" i="3"/>
  <c r="L200" i="3"/>
  <c r="L199" i="3"/>
  <c r="L198" i="3"/>
  <c r="L197" i="3"/>
  <c r="L196" i="3"/>
  <c r="L195" i="3"/>
  <c r="L194" i="3"/>
  <c r="L193" i="3"/>
  <c r="L192" i="3"/>
  <c r="L191" i="3"/>
  <c r="L190" i="3"/>
  <c r="L189" i="3"/>
  <c r="L188" i="3"/>
  <c r="L187" i="3"/>
  <c r="L186" i="3"/>
  <c r="L185" i="3"/>
  <c r="L184" i="3"/>
  <c r="L183" i="3"/>
  <c r="L182" i="3"/>
  <c r="L181" i="3"/>
  <c r="L180" i="3"/>
  <c r="L179" i="3"/>
  <c r="L178" i="3"/>
  <c r="L177" i="3"/>
  <c r="L176" i="3"/>
  <c r="L175" i="3"/>
  <c r="L174" i="3"/>
  <c r="L173" i="3"/>
  <c r="L172" i="3"/>
  <c r="L171" i="3"/>
  <c r="L170" i="3"/>
  <c r="L169" i="3"/>
  <c r="L168" i="3"/>
  <c r="L167" i="3"/>
  <c r="L208" i="3" l="1"/>
  <c r="L236" i="3" s="1"/>
  <c r="P17" i="2" l="1"/>
  <c r="P16" i="2"/>
  <c r="P15" i="2"/>
  <c r="P14" i="2"/>
  <c r="P13" i="2"/>
  <c r="O18" i="2"/>
  <c r="N18" i="2"/>
  <c r="M18" i="2"/>
  <c r="K18" i="2"/>
  <c r="J18" i="2"/>
  <c r="I18" i="2"/>
  <c r="H18" i="2"/>
  <c r="G18" i="2"/>
  <c r="F18" i="2"/>
  <c r="E18" i="2"/>
  <c r="D18" i="2"/>
  <c r="K40" i="1"/>
  <c r="I40" i="1"/>
  <c r="H40" i="1"/>
  <c r="G40" i="1"/>
  <c r="F40" i="1"/>
  <c r="E40" i="1"/>
  <c r="D40" i="1"/>
  <c r="I39" i="1"/>
  <c r="H32" i="1"/>
  <c r="G32" i="1"/>
  <c r="F32" i="1"/>
  <c r="E32" i="1"/>
  <c r="D32" i="1"/>
  <c r="J19" i="1"/>
  <c r="J40" i="1" s="1"/>
  <c r="J18" i="1"/>
  <c r="J17" i="1"/>
  <c r="J32" i="1" s="1"/>
  <c r="I17" i="1"/>
  <c r="I32" i="1" s="1"/>
  <c r="J13" i="1"/>
  <c r="L18" i="2" l="1"/>
  <c r="P12" i="2"/>
  <c r="C18" i="2"/>
  <c r="K32" i="1"/>
  <c r="P18" i="2" l="1"/>
  <c r="C19" i="2" s="1"/>
  <c r="P19" i="2" l="1"/>
  <c r="I19" i="2"/>
  <c r="D19" i="2"/>
  <c r="H19" i="2"/>
  <c r="K19" i="2"/>
  <c r="N19" i="2"/>
  <c r="M19" i="2"/>
  <c r="L19" i="2"/>
  <c r="E19" i="2"/>
  <c r="F19" i="2"/>
  <c r="J19" i="2"/>
  <c r="G19" i="2"/>
  <c r="O19" i="2"/>
  <c r="J19" i="11" l="1"/>
  <c r="O53" i="19" l="1"/>
  <c r="M53" i="19"/>
  <c r="L53" i="19"/>
  <c r="K53" i="19"/>
  <c r="J53" i="19"/>
  <c r="I53" i="19"/>
  <c r="H53" i="19"/>
  <c r="G53" i="19"/>
  <c r="F53" i="19"/>
  <c r="E53" i="19"/>
  <c r="D53" i="19"/>
  <c r="C53" i="19"/>
  <c r="N52" i="19"/>
  <c r="N51" i="19"/>
  <c r="N50" i="19"/>
  <c r="N49" i="19"/>
  <c r="N48" i="19"/>
  <c r="N47" i="19"/>
  <c r="N46" i="19"/>
  <c r="N45" i="19"/>
  <c r="N44" i="19"/>
  <c r="N43" i="19"/>
  <c r="N42" i="19"/>
  <c r="N41" i="19"/>
  <c r="N40" i="19"/>
  <c r="N39" i="19"/>
  <c r="N38" i="19"/>
  <c r="N37" i="19"/>
  <c r="N36" i="19"/>
  <c r="N32" i="19"/>
  <c r="M32" i="19"/>
  <c r="L32" i="19"/>
  <c r="K32" i="19"/>
  <c r="J32" i="19"/>
  <c r="I32" i="19"/>
  <c r="H32" i="19"/>
  <c r="G32" i="19"/>
  <c r="F32" i="19"/>
  <c r="D32" i="19"/>
  <c r="E22" i="19"/>
  <c r="E32" i="19" s="1"/>
  <c r="I18" i="19"/>
  <c r="H18" i="19"/>
  <c r="G18" i="19"/>
  <c r="F18" i="19"/>
  <c r="N53" i="19" l="1"/>
  <c r="G46" i="9"/>
  <c r="G45" i="9"/>
  <c r="G44" i="9"/>
  <c r="G43" i="9"/>
  <c r="G42" i="9"/>
  <c r="F41" i="9"/>
  <c r="F47" i="9" s="1"/>
  <c r="F33" i="9" s="1"/>
  <c r="E41" i="9"/>
  <c r="E47" i="9" s="1"/>
  <c r="E33" i="9" s="1"/>
  <c r="D41" i="9"/>
  <c r="D47" i="9" s="1"/>
  <c r="D33" i="9" s="1"/>
  <c r="C41" i="9"/>
  <c r="G41" i="9" l="1"/>
  <c r="G47" i="9" s="1"/>
  <c r="C47" i="9"/>
  <c r="C33" i="9" s="1"/>
  <c r="K19" i="11" l="1"/>
  <c r="L15" i="11" s="1"/>
  <c r="I19" i="11"/>
  <c r="H19" i="11"/>
  <c r="G19" i="11"/>
  <c r="F19" i="11"/>
  <c r="E19" i="11"/>
  <c r="D19" i="11"/>
  <c r="C19" i="11"/>
  <c r="L17" i="11" l="1"/>
  <c r="L8" i="11"/>
  <c r="L9" i="11"/>
  <c r="L16" i="11"/>
  <c r="L18" i="11"/>
  <c r="L11" i="11"/>
  <c r="L19" i="11"/>
  <c r="L12" i="11"/>
  <c r="L14" i="11"/>
  <c r="L10" i="11"/>
  <c r="L13" i="11"/>
  <c r="J11" i="9" l="1"/>
  <c r="H11" i="9" l="1"/>
  <c r="E10" i="3" l="1"/>
  <c r="J245" i="3" l="1"/>
</calcChain>
</file>

<file path=xl/sharedStrings.xml><?xml version="1.0" encoding="utf-8"?>
<sst xmlns="http://schemas.openxmlformats.org/spreadsheetml/2006/main" count="3071" uniqueCount="863">
  <si>
    <t>UNIVERSIDAD DISTRITAL FRANCISCO JOSÉ DE CALDAS</t>
  </si>
  <si>
    <t xml:space="preserve">RECURSOS BIBLIOGRÁFICOS </t>
  </si>
  <si>
    <t>INFORMACIÓN GENERAL COLECCIONES UNIDAD BIBLIOTECA (En ejemplares)</t>
  </si>
  <si>
    <t>COLECCIÓN BIBLIOGRAFICA EN EJEMPLARES DISPONIBLE</t>
  </si>
  <si>
    <t>N°</t>
  </si>
  <si>
    <t xml:space="preserve">Tipo de recurso </t>
  </si>
  <si>
    <t>Ubicación (sede, unidad académica)</t>
  </si>
  <si>
    <t>Descripción (Incluya las características de los recursos )</t>
  </si>
  <si>
    <t xml:space="preserve">Unidad académica que presta el servicio </t>
  </si>
  <si>
    <t xml:space="preserve">Colección general </t>
  </si>
  <si>
    <t>Todas las Bibliotecas</t>
  </si>
  <si>
    <t>Compuesta por los diferentes libros, monografías, ensayos, antologías informes, investigaciones manuales, y todos aquellos que apoyen los programas de enseñanza aprendizaje. Además, todos aquellos materiales bibliográficos que sean de interés académico y general.</t>
  </si>
  <si>
    <t>Todas las Bibliotecas - Incluyen todas las Facultades</t>
  </si>
  <si>
    <t>Colección de referencia</t>
  </si>
  <si>
    <t>Constituida por las obras de información que, por sus objetivos, características y contenido, permiten obtener información de manera ágil y rápida, tales como: Enciclopedias, Diccionarios, Guías, Anuarios, Atlas, Bibliografías, Manuales y Compendios.</t>
  </si>
  <si>
    <t>Colección de reserva</t>
  </si>
  <si>
    <t xml:space="preserve">Conformada por los ejemplares seleccionados de la colección general, que por su alto nivel de rotación requieren un tiempo de préstamo especial,  a fin de garantizar la disponibilidad de la información para el usuario
</t>
  </si>
  <si>
    <t>Los materiales de los formatos: Casetes de audio, Casetes de video, Diapositivas, Discos de acetato, Discos compactos, Juegos, Pruebas de psicología, Mapas (no publicados en formato de libro), Microfichas (reproducción de las tesis), Planos, Rompecabezas, Videodiscos., Blu-ray y videojuegos</t>
  </si>
  <si>
    <t>Colección hemerográfica (Publicaciones periódicas - Seriadas)</t>
  </si>
  <si>
    <t>Bibliotecas: Ingeniería, Paiba, Asab, Posgrados, Vivero.</t>
  </si>
  <si>
    <t>Revistas, periódicos, boletines, publicaciones anuales (informes, anuarios, directorios, etc.), memorias de sociedades, actas de congresos periódicos, transacciones.</t>
  </si>
  <si>
    <t>Trabajos de grado (Impreso)</t>
  </si>
  <si>
    <t>Biblioteca Heliodoro Sanchéz Paez - Sede Porvenir</t>
  </si>
  <si>
    <t>Incluye los trabajos presentados como requisito de grado de los estudiantes de los programas académicos del nivel pregrado, maestría y doctorado de la Universidad. Esta colección se encuentra en varios formatos, los ejemplares físicos (impreso,  digital)</t>
  </si>
  <si>
    <t>Tesis y Disertaciones  - Trabajos de grado (digital)- RIUD</t>
  </si>
  <si>
    <t>Digital Repositorio Institucional</t>
  </si>
  <si>
    <t>Colección de carácter académico con reconocimiento nacional o internacional, de los resultados de procesos de investigación, docencia o extensión,  virtual o electrónica.</t>
  </si>
  <si>
    <t>Todas las Bibliotecas - Digital</t>
  </si>
  <si>
    <t>Producción Académica</t>
  </si>
  <si>
    <t>Colección de carácter académico con reconocimiento nacional o internacional, de los resultados de procesos de investigación, docencia o extensión,Diversidad de libros, monografías, realizados por los Docentes , Investigados de la Universidad Distrital</t>
  </si>
  <si>
    <t>Archivo Sonoro Antonio Cuellar</t>
  </si>
  <si>
    <t>Centro de Documentación de Artes</t>
  </si>
  <si>
    <t>Coleccion Antanas Mockus</t>
  </si>
  <si>
    <t>Biblioteca Ramón D´Luyz Nieto - Sede Aduanilla de Paiba</t>
  </si>
  <si>
    <t>Coleccion Corporación Nacional de Investigación y Fomento Forestal</t>
  </si>
  <si>
    <t>Facultad Medio Ambiente y Recursos Naturales</t>
  </si>
  <si>
    <t>Coleccion de literatura</t>
  </si>
  <si>
    <t>Bases de datos suscritas</t>
  </si>
  <si>
    <t>En los recursos electrónicos cuenta con libros, publicaciones seriadas, material audiovisual, memoria institucional</t>
  </si>
  <si>
    <t xml:space="preserve">Bases de datos en acceso abierto </t>
  </si>
  <si>
    <t>Otros recursos bibliográficos Propios</t>
  </si>
  <si>
    <t>Repositorio RIUD, Catalogo en línea, Libguides, Descubridor, Herbario, Revistas Institucionales, Repositorio de datos REDI</t>
  </si>
  <si>
    <t>Colección digital Libros Electrónicos en Línea</t>
  </si>
  <si>
    <t>Todas las Bibliotecas - Biblioteca Digital</t>
  </si>
  <si>
    <t>Colección de libro electrónico a perpetuidad es la versión digitalizada de un libro que se publica justamente en la world wide web o en cualquier otro tipo de formato electrónico. Vale mencionar que también se lo puede denominar como libro digital, ciberlibro, e-book, ecolibro y asimismo se denomina como libro electrónico al dispositivo que se emplea para leer este tipo de libros.</t>
  </si>
  <si>
    <t>Colecciones especiales patrimoniales - Repositorio Institucional (digital)</t>
  </si>
  <si>
    <t>Producción Editorial (digital)</t>
  </si>
  <si>
    <t>Colecciones científicas (digital)</t>
  </si>
  <si>
    <t>Colección de caracter científico de la Universidad Distrital que alberga recursos bibliográficos creados apartir de procesos de investigación y que son patrimonino natural de la nación.</t>
  </si>
  <si>
    <t>TOTAL</t>
  </si>
  <si>
    <t>Colección Bibliográfica en títulos Sistema de información bibliográfico SIB</t>
  </si>
  <si>
    <t>BIBLIOTECAS (UBICACIÓN)</t>
  </si>
  <si>
    <t>FACULTAD DE CIENCIAS Y EDUCACIÓN</t>
  </si>
  <si>
    <t>FACULTAD DE MATEMATICAS Y NATURALES</t>
  </si>
  <si>
    <t>PAIBA RAMON DLUYZ NIETO</t>
  </si>
  <si>
    <t>CENT. DOC. SOCIALES</t>
  </si>
  <si>
    <t>MACARENA B</t>
  </si>
  <si>
    <t>MACARENA A</t>
  </si>
  <si>
    <t>POSTGRADOS EN EDUCACION</t>
  </si>
  <si>
    <t>INSTITUTO DE LENGUAS DE LA UD</t>
  </si>
  <si>
    <t>Coleccion general</t>
  </si>
  <si>
    <t>Coleccion de audioviduales, CD, Diapositivas, videos, etc</t>
  </si>
  <si>
    <t>Hemeroteca</t>
  </si>
  <si>
    <t> </t>
  </si>
  <si>
    <t>Coleccion de trabajos de grado</t>
  </si>
  <si>
    <t>Producción academica</t>
  </si>
  <si>
    <t xml:space="preserve">PART % COLECCIÓN </t>
  </si>
  <si>
    <t>Nota: La variación en la Colección Trabajos de grado Digital Posgrados y Vivero corresponde a la reubicación de proyectos curriculares, entre sedes. La variación de la colección de referencia y reserva es la reubicación de ejemplares en la colección general.</t>
  </si>
  <si>
    <t>TOTAL CATEGORÍAS</t>
  </si>
  <si>
    <t>TOTAL RECURSOS</t>
  </si>
  <si>
    <t>TOTAL RECURSOS SUSCRITOS</t>
  </si>
  <si>
    <t>TOTAL RECURSOS ACCESO ABIERTO</t>
  </si>
  <si>
    <t>Descripción (Incluya las características de los recursos)</t>
  </si>
  <si>
    <t>Biblioteca es la Dependencia encargada de Administrar las Bases de datos solicitadas por la Comunidad Académica y realizar la suscripción. Plataforma BDIGITAL</t>
  </si>
  <si>
    <t>https://bibliotecas.udistrital.edu.co/ud/bdigital2/subjects/index.php</t>
  </si>
  <si>
    <t xml:space="preserve">Otros recursos bibliográficos definidos por la institución </t>
  </si>
  <si>
    <t xml:space="preserve">Repositorio Insitucional RIUD </t>
  </si>
  <si>
    <t>Aplica para toda la Comunidad Académica en el Campus o fuera de él. Acceso por medio de la Plataforma Biblioteca Bdigital https://udistrital.edu.co/servicios/biblioteca/</t>
  </si>
  <si>
    <t>Repositorio Institucional de la Universidad Distrital Francisco Jose de Caldas. es una herramienta donde se depositan los objetos digitales que corresponden a la producción intelectual de la Universidad para proteger, preservar, y difundir.</t>
  </si>
  <si>
    <t>Biblioteca es la Dependencia encargada de Administrar el Repositorio Institucional de la Unviersidad Distrital Francisco José de Caldas</t>
  </si>
  <si>
    <t>https://repository.udistrital.edu.co/home</t>
  </si>
  <si>
    <t>http://biblioteca.udistrital.edu.co/F?RN=927836072</t>
  </si>
  <si>
    <t>Biblioteca Digital - BDIGITAL</t>
  </si>
  <si>
    <t>Aplica para toda la Comunidad Académica en el Campus o fuera de él. Acceso por medio de la Plataforma Biblioteca Digital - Bdigital</t>
  </si>
  <si>
    <t>Biblioteca Digital definida, administrada por el Sistema de Biblioteca, alojada en el Portal Bdigital, el cual  permitió ordena los recursos electrónicos (bases de datos) en un solo lugar, a fin que el Usuario realice las búsquedas de acuerdo con sus necesidades de información tanto a Recursos Propios, Contratados, recursos en acceso abierto, igualmente se potencia el Uso de los Gestores Bibliográficos por parte de los Usuarios, como herramientas que le ayudaran a organizar la diversa información encontrada y recuperada desde los distintos recursos y/o sitios en la Internet.</t>
  </si>
  <si>
    <t>Revistas Cientificas Udistrital - OJS</t>
  </si>
  <si>
    <t xml:space="preserve">Aplica para toda la Comunidad Académica en el Campus o fuera de él. Acceso por medio de la Biblioteca Digital - Bdigital </t>
  </si>
  <si>
    <t>Portal de revistas cientificas y académicas de Acceso abierto de la Universidad Distrital</t>
  </si>
  <si>
    <t>Oficina de investigaciones ODI es la encargada de administratar el portal OJS revistas científicas</t>
  </si>
  <si>
    <t>https://revistas.udistrital.edu.co/</t>
  </si>
  <si>
    <t>Herbario Virtual</t>
  </si>
  <si>
    <t>El herbario Forestal UDBC es una Unidad Académica de la Facultad del Medio Ambiente y recursos Naturales que realiza actividades de investigación, docencia y extensión relacionadas con la flora colombiana, con especial énfasis en las especies arbóeras</t>
  </si>
  <si>
    <t>Oficina del Herbario Forestal es la encargada de administratar el portal Herbario Forestal desde la Facultad de Medio Ambiente y Recursos Naturales. El acceso se da desde el RIUD Colección científica.</t>
  </si>
  <si>
    <t>http://hdl.handle.net/11349/42615</t>
  </si>
  <si>
    <t>REDI Repositorio de Datos de Investigación Universidad Distrital Francisco José de Caldas</t>
  </si>
  <si>
    <t> es una plataforma en línea que permite a los usuarios almacenar, compartir, citar, explorar y analizar datos de investigación. Esta plataforma está diseñada no solo para almacenar datos, sino también para proporcionar herramientas que facilitan la colaboración entre investigadores y la visibilidad de sus trabajos. Es ampliamente utilizado por universidades, centros de investigación y otras instituciones académicas a nivel mundial.</t>
  </si>
  <si>
    <t>Biblioteca es la Dependencia encargada de Administrar el Repositorio de datos Institucional de la Univiersidad Distrital Francisco José de Caldas</t>
  </si>
  <si>
    <t>https://bibliotecas.udistrital.edu.co/repositorio/index.html</t>
  </si>
  <si>
    <t>X</t>
  </si>
  <si>
    <t>x</t>
  </si>
  <si>
    <t>UNIDAD DE BIBLIOTECA</t>
  </si>
  <si>
    <t>Contenido</t>
  </si>
  <si>
    <t>RECURSOS BIBLIOGRÁFICOS DIGITALES</t>
  </si>
  <si>
    <t>Títulos Colección Bibliográfica sistema de información bibliográfico SIB</t>
  </si>
  <si>
    <t>Títulos colección digital</t>
  </si>
  <si>
    <t>Consulta BDIGITAL en:</t>
  </si>
  <si>
    <t>Consulta estadísticas ELOGIM:</t>
  </si>
  <si>
    <t>https://udistrital.elogim.com/</t>
  </si>
  <si>
    <t>https://research.ebsco.com/c/2gsfcu/search/results?autocorrect=y&amp;q=ingenieria</t>
  </si>
  <si>
    <t>Consulta catalogo en línea en:</t>
  </si>
  <si>
    <t>Consulta RIUD en:</t>
  </si>
  <si>
    <t>Accesos. Bdigital</t>
  </si>
  <si>
    <t>Suscrito</t>
  </si>
  <si>
    <t>Acceso Abierto</t>
  </si>
  <si>
    <t xml:space="preserve">    Biblioteca digital -BDIGITAL</t>
  </si>
  <si>
    <t>Nombre</t>
  </si>
  <si>
    <t>RECURSO</t>
  </si>
  <si>
    <t>RECURSOS</t>
  </si>
  <si>
    <t>CONSORTIA</t>
  </si>
  <si>
    <t>SCIENCE DIRECT (Elsevier)</t>
  </si>
  <si>
    <t>SCOPUS (Elsevier) (**Usos)</t>
  </si>
  <si>
    <t>OXFORD UNIVERSTY</t>
  </si>
  <si>
    <t>TAYLOR &amp; FRANCIS GROUP</t>
  </si>
  <si>
    <t>SPRINGER LINK</t>
  </si>
  <si>
    <t>SPRINGER EBOOKS (*descargas)</t>
  </si>
  <si>
    <t>SPRINGER NATURE (descargas)</t>
  </si>
  <si>
    <t>SAGE JOURNALS</t>
  </si>
  <si>
    <t>SAGE KNOWLEDGE</t>
  </si>
  <si>
    <t>SAGE Ebooks</t>
  </si>
  <si>
    <t>PASA LA PAGINA</t>
  </si>
  <si>
    <t>NEW BANKS</t>
  </si>
  <si>
    <t>PUBLICIENCIA</t>
  </si>
  <si>
    <t>ACM</t>
  </si>
  <si>
    <t>ENVIRONMENTAL</t>
  </si>
  <si>
    <t>FORESTRY</t>
  </si>
  <si>
    <t>INFOLINK</t>
  </si>
  <si>
    <t>NAXOS (**usos)</t>
  </si>
  <si>
    <t>Naxos Music Library</t>
  </si>
  <si>
    <t>Naxos Sheet Music</t>
  </si>
  <si>
    <t>E-Global Services</t>
  </si>
  <si>
    <t>AMBIENTALEX</t>
  </si>
  <si>
    <t>ICONTEC</t>
  </si>
  <si>
    <t>E-NORMAS</t>
  </si>
  <si>
    <t>PROQUEST</t>
  </si>
  <si>
    <t>ERIC PLUS</t>
  </si>
  <si>
    <t>EDUCATION COLLECTION</t>
  </si>
  <si>
    <t>DOT LIB</t>
  </si>
  <si>
    <t>SPRINGER</t>
  </si>
  <si>
    <t>JSTOR</t>
  </si>
  <si>
    <t>ITMS GROUP</t>
  </si>
  <si>
    <t>SCIENCE MAGAZINE</t>
  </si>
  <si>
    <t>IOP</t>
  </si>
  <si>
    <t xml:space="preserve">Iop Science </t>
  </si>
  <si>
    <t>PEARSON</t>
  </si>
  <si>
    <t>BIBLIOTECA VIRTUAL PEARSON</t>
  </si>
  <si>
    <t>MAGISTERIO</t>
  </si>
  <si>
    <t xml:space="preserve">BIBLIOTECA VIRTUAL MAGISTERIO  </t>
  </si>
  <si>
    <t>CENGAGE</t>
  </si>
  <si>
    <t>ACADEMIC ONE FILE</t>
  </si>
  <si>
    <t>INFORME ACADEMICO</t>
  </si>
  <si>
    <t>BRITANNICA</t>
  </si>
  <si>
    <t>Britannica Image Quest</t>
  </si>
  <si>
    <t xml:space="preserve">Britannica Academic </t>
  </si>
  <si>
    <t>Britannica Moderna</t>
  </si>
  <si>
    <t>Digitalia</t>
  </si>
  <si>
    <t>Digitalia - Digitalia Hispanica</t>
  </si>
  <si>
    <t>Thomson Reuters</t>
  </si>
  <si>
    <t>Web of Science</t>
  </si>
  <si>
    <t>IEEE</t>
  </si>
  <si>
    <t>Academic Search Complete</t>
  </si>
  <si>
    <t>Business Source Complete</t>
  </si>
  <si>
    <t xml:space="preserve">Fuente Académica Premier </t>
  </si>
  <si>
    <t>Environment Complete</t>
  </si>
  <si>
    <t>SPORTDISCUSS With Full Text</t>
  </si>
  <si>
    <t>International Bibliography of Theatre &amp; Dance with Full Text</t>
  </si>
  <si>
    <t>ART SOURCE</t>
  </si>
  <si>
    <t>MUSIC INDEX</t>
  </si>
  <si>
    <t>Engineering Source</t>
  </si>
  <si>
    <t>APPLIED SCIENCE AND TECHNOLOGY SOURCE</t>
  </si>
  <si>
    <t>SCIENCE FULL TEXT</t>
  </si>
  <si>
    <t>EDUCATION SOURCE</t>
  </si>
  <si>
    <t>Green file</t>
  </si>
  <si>
    <t>RILM</t>
  </si>
  <si>
    <t>BIOLOGY ABSTRACTS</t>
  </si>
  <si>
    <t>History of Science, Technology and Medicine</t>
  </si>
  <si>
    <t>eBook Academic Collection</t>
  </si>
  <si>
    <t>Humanities Interna-tional Complete-Humanidades</t>
  </si>
  <si>
    <t>MasterFILE</t>
  </si>
  <si>
    <t>Newspaper Source</t>
  </si>
  <si>
    <t>Regional Businees News</t>
  </si>
  <si>
    <t>MC GRAW HILL</t>
  </si>
  <si>
    <t>McGraw-Hill Interamericana</t>
  </si>
  <si>
    <t>ALFAOMEGA</t>
  </si>
  <si>
    <t>alfaomega Icloud - Alpha Editorial Cloud</t>
  </si>
  <si>
    <t>ELSEVIER</t>
  </si>
  <si>
    <t>REAXYS</t>
  </si>
  <si>
    <t>USA LIBROS</t>
  </si>
  <si>
    <t>Ebooks digitalia</t>
  </si>
  <si>
    <t>Libros leídos</t>
  </si>
  <si>
    <t xml:space="preserve">Ejournals </t>
  </si>
  <si>
    <t>Libros prestados</t>
  </si>
  <si>
    <t>Ejournals leídos</t>
  </si>
  <si>
    <t>Documentales</t>
  </si>
  <si>
    <t>Films</t>
  </si>
  <si>
    <t>EBOOKS 7/24</t>
  </si>
  <si>
    <t>Cengage 61</t>
  </si>
  <si>
    <t>Diaz de Santos 32</t>
  </si>
  <si>
    <t>Ediciones de la U 123</t>
  </si>
  <si>
    <t>IC Editorial 53</t>
  </si>
  <si>
    <t>Pearson Educación 141</t>
  </si>
  <si>
    <t>Editorial Brujas</t>
  </si>
  <si>
    <t>Narcea</t>
  </si>
  <si>
    <t>Paraninfo</t>
  </si>
  <si>
    <t>ECOE</t>
  </si>
  <si>
    <t>Manual Moderno</t>
  </si>
  <si>
    <t>Siglo del Hombre 70</t>
  </si>
  <si>
    <t>ZENTRALBLATT</t>
  </si>
  <si>
    <t>zbMATH</t>
  </si>
  <si>
    <t>EDITORIAL MEDICA PANAMERICANA</t>
  </si>
  <si>
    <t>Eureka</t>
  </si>
  <si>
    <t>Digitalia Publishing</t>
  </si>
  <si>
    <t>Ebooks Consultados</t>
  </si>
  <si>
    <t>Libros leídos (**usos)</t>
  </si>
  <si>
    <t>Libros prestados (***descargas)</t>
  </si>
  <si>
    <t>Ejournals Consultados</t>
  </si>
  <si>
    <t>Films consultados</t>
  </si>
  <si>
    <t>Films visionados (**usos)</t>
  </si>
  <si>
    <t xml:space="preserve">Documentales mas consultados </t>
  </si>
  <si>
    <t xml:space="preserve">Documentales mas visionados </t>
  </si>
  <si>
    <t>Recurso adquirido por suscripción
2019</t>
  </si>
  <si>
    <t>Recurso adquirido por suscripción
2020</t>
  </si>
  <si>
    <t>Recurso adquirido por suscripción
2021</t>
  </si>
  <si>
    <t>Recurso adquirido por suscripción
2022</t>
  </si>
  <si>
    <t>Recurso adquirido por suscripción
2023</t>
  </si>
  <si>
    <t>Recursos Educativos Abiertos</t>
  </si>
  <si>
    <t>Colecciones especiales patrimoniales (digital)</t>
  </si>
  <si>
    <t>Trabajos de grado (digital)- RIUD</t>
  </si>
  <si>
    <t>Tesis y Disertaciones  (digital)- RIUD</t>
  </si>
  <si>
    <t>(Factor 4 Característica 24)</t>
  </si>
  <si>
    <t xml:space="preserve">USOS DE LOS SERVICIOS CRAI+ DESGLOSADOS </t>
  </si>
  <si>
    <t>Consulta en portal biblioteca:</t>
  </si>
  <si>
    <t>https://bibliotecas.udistrital.edu.co/</t>
  </si>
  <si>
    <t>SERVICIOS CRAI+</t>
  </si>
  <si>
    <t>% PARTICIPACIÓN</t>
  </si>
  <si>
    <r>
      <t>Servicios CRAI+1:</t>
    </r>
    <r>
      <rPr>
        <sz val="10"/>
        <color rgb="FF000000"/>
        <rFont val="Arial Narrow"/>
        <family val="2"/>
      </rPr>
      <t xml:space="preserve"> Servicio de información y acogida de la Universidad</t>
    </r>
  </si>
  <si>
    <r>
      <t>Servicios CRAI+ 2.</t>
    </r>
    <r>
      <rPr>
        <sz val="10"/>
        <color rgb="FF000000"/>
        <rFont val="Arial Narrow"/>
        <family val="2"/>
      </rPr>
      <t xml:space="preserve"> Servicios fundamentales de Biblioteca</t>
    </r>
  </si>
  <si>
    <r>
      <t>Servicios CRAI+3.</t>
    </r>
    <r>
      <rPr>
        <sz val="10"/>
        <color rgb="FF000000"/>
        <rFont val="Arial Narrow"/>
        <family val="2"/>
      </rPr>
      <t xml:space="preserve"> Servicios Tic´s,</t>
    </r>
  </si>
  <si>
    <r>
      <t>Servicios CRAI+4</t>
    </r>
    <r>
      <rPr>
        <sz val="10"/>
        <color rgb="FF000000"/>
        <rFont val="Arial Narrow"/>
        <family val="2"/>
      </rPr>
      <t>. Servicios de apoyo en idiomas</t>
    </r>
  </si>
  <si>
    <r>
      <t>Servicios CRAI+5.</t>
    </r>
    <r>
      <rPr>
        <sz val="10"/>
        <color rgb="FF000000"/>
        <rFont val="Arial Narrow"/>
        <family val="2"/>
      </rPr>
      <t xml:space="preserve"> Servicios de apoyo a los retos profesionales</t>
    </r>
  </si>
  <si>
    <r>
      <t>Servicios CRAI+6</t>
    </r>
    <r>
      <rPr>
        <sz val="10"/>
        <color rgb="FF000000"/>
        <rFont val="Arial Narrow"/>
        <family val="2"/>
      </rPr>
      <t xml:space="preserve"> Servicios y recursos 24/7</t>
    </r>
  </si>
  <si>
    <r>
      <t>Servicios CRAI+7.</t>
    </r>
    <r>
      <rPr>
        <sz val="10"/>
        <color rgb="FF000000"/>
        <rFont val="Arial Narrow"/>
        <family val="2"/>
      </rPr>
      <t xml:space="preserve"> Servicios de ideación, creación, e innovación</t>
    </r>
  </si>
  <si>
    <r>
      <t>Servicios CRAI+8.</t>
    </r>
    <r>
      <rPr>
        <sz val="10"/>
        <color rgb="FF000000"/>
        <rFont val="Arial Narrow"/>
        <family val="2"/>
      </rPr>
      <t xml:space="preserve"> Servicios de creación y elaboración de contenido multimedia</t>
    </r>
  </si>
  <si>
    <r>
      <t>Servicios CRAI+9.</t>
    </r>
    <r>
      <rPr>
        <sz val="10"/>
        <color rgb="FF000000"/>
        <rFont val="Arial Narrow"/>
        <family val="2"/>
      </rPr>
      <t xml:space="preserve"> Gestión Cultural y proyección social</t>
    </r>
  </si>
  <si>
    <r>
      <t>Servicios CRAI+11.</t>
    </r>
    <r>
      <rPr>
        <sz val="10"/>
        <color rgb="FF000000"/>
        <rFont val="Arial Narrow"/>
        <family val="2"/>
      </rPr>
      <t xml:space="preserve"> Desarrollo de competencias académicas</t>
    </r>
  </si>
  <si>
    <r>
      <t>Servicios CRAI+12</t>
    </r>
    <r>
      <rPr>
        <sz val="10"/>
        <color rgb="FF000000"/>
        <rFont val="Arial Narrow"/>
        <family val="2"/>
      </rPr>
      <t>. Desarrollo de competencias de investigación,</t>
    </r>
  </si>
  <si>
    <t>LINEA CRAI</t>
  </si>
  <si>
    <t>LINEA CRAI+</t>
  </si>
  <si>
    <t>SERVICIOS</t>
  </si>
  <si>
    <t>DESCRIPCIÓN</t>
  </si>
  <si>
    <t>AÑO DE IMPLEMENTACIÓN</t>
  </si>
  <si>
    <t>PRESENCIAL</t>
  </si>
  <si>
    <t>LINEA</t>
  </si>
  <si>
    <t>ESTADO SERVICIO</t>
  </si>
  <si>
    <t>Línea CRAI+1: Servicio de información y acogida de la Universidad</t>
  </si>
  <si>
    <t>Servicios de información y acogida de la Universidad</t>
  </si>
  <si>
    <t>¡Conoce tu U! Servicio FAQs</t>
  </si>
  <si>
    <t>Servicios que orientan a la comunidad universitaria sobre el quehacer, la vida universitaria, educativa y académica. Así mismo integra a la comunidad universitaria a las actividades de la ciudad.</t>
  </si>
  <si>
    <t>Disponible</t>
  </si>
  <si>
    <t>¡Conoce tu U! Servicio Inducciones</t>
  </si>
  <si>
    <t>¿Sabías qué?</t>
  </si>
  <si>
    <t>¡Enterate hoy!</t>
  </si>
  <si>
    <t>¡A parchar en la ciudad!</t>
  </si>
  <si>
    <t>Línea CRAI 2. Servicios fundamentales de Biblioteca</t>
  </si>
  <si>
    <t xml:space="preserve">Préstamo de colecciones </t>
  </si>
  <si>
    <t>Préstamo en Sala</t>
  </si>
  <si>
    <t>Servicios bibliotecarios básicos orientados a dar acceso a la información básica o especializada para toda la comunidad universitaria.</t>
  </si>
  <si>
    <t>Préstamo Externo</t>
  </si>
  <si>
    <t>Servicio Préstamo Interbibliotecario (PIB)</t>
  </si>
  <si>
    <t xml:space="preserve">                            -  </t>
  </si>
  <si>
    <t>Servicio Alianza Interbibliotecaria</t>
  </si>
  <si>
    <t>Cartas de presentación</t>
  </si>
  <si>
    <t xml:space="preserve"> x </t>
  </si>
  <si>
    <t>Reubicada</t>
  </si>
  <si>
    <t>Reubicado</t>
  </si>
  <si>
    <t>Servicio Obtención de documentos</t>
  </si>
  <si>
    <t xml:space="preserve"> 2009
 2020 </t>
  </si>
  <si>
    <t>Servicio Bibliografías</t>
  </si>
  <si>
    <t>Servicios Administrativos</t>
  </si>
  <si>
    <t>Multas y Paz y Salvos bloqueos/descloqueos/</t>
  </si>
  <si>
    <t>Multas y Paz y Salvos aplazamiento, cancelación y retiro</t>
  </si>
  <si>
    <t>Paz y salvos grados</t>
  </si>
  <si>
    <t>Biblioteca Inclusiva</t>
  </si>
  <si>
    <t xml:space="preserve">Proyectar y transformar las Bibliotecas de la Universidad Distrital en escenarios capaces de ofrecer  servicios a plenitud para las comunidades minoritarias con necesidades especiales en contextos en los que sea posible y pertinente. </t>
  </si>
  <si>
    <t xml:space="preserve">                    -  </t>
  </si>
  <si>
    <t>Línea 3. Servicios Tic´s</t>
  </si>
  <si>
    <t>Servicios préstamo de equipos - Apoyo académico</t>
  </si>
  <si>
    <t>Préstamo PC Portátiles</t>
  </si>
  <si>
    <t xml:space="preserve">Servicios que dan soporte presencial y/o virtual en herramientas y/o tecnologías para toda la comunidad universitaria.
</t>
  </si>
  <si>
    <t>Préstamo   videoteca -sonoteca</t>
  </si>
  <si>
    <t xml:space="preserve"> - </t>
  </si>
  <si>
    <t>Préstamo   tablets</t>
  </si>
  <si>
    <t>Préstamo   multimedia (Televisores, carteleras)</t>
  </si>
  <si>
    <t>Préstamo casilleros</t>
  </si>
  <si>
    <t>Préstamo de Espacios</t>
  </si>
  <si>
    <t>Servicios Tics</t>
  </si>
  <si>
    <t>Mantenimientos preventivos y correctivos</t>
  </si>
  <si>
    <t>Soporte al parque tecnológico del Sistema de Bibliotecas</t>
  </si>
  <si>
    <t>Sistematización e innovación tecnológica</t>
  </si>
  <si>
    <t>Seguridad - backups</t>
  </si>
  <si>
    <t>Línea 4. Servicios de apoyo en idiomas</t>
  </si>
  <si>
    <t>Laboratorio Plurilingüismo</t>
  </si>
  <si>
    <t>Cine Foro</t>
  </si>
  <si>
    <t>Servicios que permiten fortalecer o complementar los procesos de aprendizaje de forma autónoma en otros idiomas a toda la comunidad universitaria.</t>
  </si>
  <si>
    <t>Encuentro</t>
  </si>
  <si>
    <t>Talleres</t>
  </si>
  <si>
    <t>Formación de usuarios</t>
  </si>
  <si>
    <t>Club Plurilingüismo</t>
  </si>
  <si>
    <t>Club Plurilingüismo (sala)</t>
  </si>
  <si>
    <t xml:space="preserve">Línea 5. Servicios de apoyo a los retos profesionales </t>
  </si>
  <si>
    <t xml:space="preserve"> Servicios de apoyo a los retos profesionales</t>
  </si>
  <si>
    <t>Servicios conformados por asesorías, talleres, orientaciones o cualquier actividad que faciliten el desarrollo de habilidades y competencias para los profesionales de nuestra comunidad universitaria. </t>
  </si>
  <si>
    <t>Asesorías-Alianzas</t>
  </si>
  <si>
    <t>Línea 6 Servicios y recursos 24/7</t>
  </si>
  <si>
    <t>Servicios 24/7</t>
  </si>
  <si>
    <t>Accesos Recursos electrónicos (Bdigital)</t>
  </si>
  <si>
    <t>BDIGITAL -Recursos electrónicos http://bdigital.udistrital.edu.co
Sitio el cual permitió ordena los recursos electrónicos (bases de datos) en un solo lugar, a fin que el Usuario realice las búsquedas de acuerdo con sus necesidades de información diigital  tanto a Recursos Propios, suscritos,  como Open Access.</t>
  </si>
  <si>
    <t>Consultas catalogo en línea</t>
  </si>
  <si>
    <t>OPAC Catalogo en Línea http://biblioteca.udistrital.edu.co: Es una herramienta que permite la consulta y visualización de los registros bibliográficos; el usuario tiene la posibilidad de recuperar información sobre un tema, autor o colección específica. También, permite conocer en qué Biblioteca se encuentra el documento que se requiere y si está disponible para su consulta</t>
  </si>
  <si>
    <t>Descubridor</t>
  </si>
  <si>
    <t>Servicio de Descubrimiento INDEX-K http://index-k.udistrital.edu.co
Servicio que recoge en un solo índice bibliográfico el Catalogo Bibliográfico de la Universidad, el repositorio Institucional, los Recursos Electrónicos comerciales contratados por la Universidad, Catalogo Bibliográficos de otras Instituciones Nacionales e Internacionales y Recursos de Acceso Abierto (OpenAccess).</t>
  </si>
  <si>
    <t>Repositorio Institucional RIUD</t>
  </si>
  <si>
    <t xml:space="preserve">Sistema de Información que reúne, preserva, divulga y da acceso a la producción académica e investigativa de la comunidad universitaria.
El repositorio digital institucional es creado mantenido y autorizado por el Sistema de Bibliotecas con el fin de recoger los contenidos digitales generados en la actividad de los miembros de la institución, en este caso trabajos de grado, tesis, disertaciones, investigaciones y producción académica GIB-PR-007, Registro y Entrega de Trabajos de Grado en el Repositorio Institucional, RIUD  </t>
  </si>
  <si>
    <t xml:space="preserve"> 2015
 2020 Actualizada versión </t>
  </si>
  <si>
    <t>Renovaciones en Línea</t>
  </si>
  <si>
    <t>Servicios que garantizan el acceso, uso, consulta y disponibilidad, de manera continua, presencial o virtual de los recursos del Sistema de Bibliotecas para la comunidad universitaria.</t>
  </si>
  <si>
    <t>Línea 7. Servicios de ideación, creación, e innovación</t>
  </si>
  <si>
    <t>Servicios de ideación, creación e innovación</t>
  </si>
  <si>
    <t>Talleres (usuarios)</t>
  </si>
  <si>
    <t> Servicios orientados a facilitar herramientas y recursos que permitan la ideación, creación e innovación de nuestra comunidad.</t>
  </si>
  <si>
    <t>Laboratorios (Salas de innovación)</t>
  </si>
  <si>
    <t>Línea 8. Servicios de creación y elaboración de contenido multimedia</t>
  </si>
  <si>
    <t>Asesoramiento creativo ydesarrollo de proyectos</t>
  </si>
  <si>
    <t>servicios orientados a gestionar formaciones y asesorías para fortalecer habilidades y destrezas en el uso de herramientas web, plataformas educativas digitales, laboratorios de autoaprendizajes que faciliten el proceso de diseño y la visibilidad de contenidos multimedia como apoyo a la gestión de actividades académicas o investigativas.</t>
  </si>
  <si>
    <t>Reubico</t>
  </si>
  <si>
    <t>Creación de material docente</t>
  </si>
  <si>
    <t xml:space="preserve">Laboratorio de autoaprendizaje </t>
  </si>
  <si>
    <t>Línea 9. Gestión Cultural y Proyección Social</t>
  </si>
  <si>
    <t>Laboratorios de investigación de creación</t>
  </si>
  <si>
    <t>Taller (asistentes)</t>
  </si>
  <si>
    <t>Servicios y proyectos orientados a establecer espacios culturales y de proyección social que fomenten el arte y la sensibilidad humana como eje articulador de los saberes, escenarios de reflexión, experimentación, construcción de pensamiento, inclusión y apropiación de la vida contribuyendo al desarrollo de la formación integral de la comunidad.</t>
  </si>
  <si>
    <t xml:space="preserve"> 2017
 2020 </t>
  </si>
  <si>
    <t xml:space="preserve">Proyectos expositivos </t>
  </si>
  <si>
    <t>Exposiciones (asistentes)</t>
  </si>
  <si>
    <t xml:space="preserve"> 2014
 2020 </t>
  </si>
  <si>
    <t>Reflexión y construcción de pensamiento</t>
  </si>
  <si>
    <t>Promoción De Lectura (asistentes)</t>
  </si>
  <si>
    <t>Visitas Guiadas (asistentes)</t>
  </si>
  <si>
    <t xml:space="preserve"> 2015
 2020 </t>
  </si>
  <si>
    <t>Conversatorios (asistentes)</t>
  </si>
  <si>
    <t>Cine Foro (asistentes)</t>
  </si>
  <si>
    <t>Representaciones Teatrales (asistentes)</t>
  </si>
  <si>
    <t>Conciertos (asistentes)</t>
  </si>
  <si>
    <t>Línea 11. Desarrollo de competencias académicas</t>
  </si>
  <si>
    <t>Cursos y Talleres que apoyen los procesos formativos</t>
  </si>
  <si>
    <t>Servicios orientados a fortalecer los procesos de enseñanza y aprendizaje duraderos para la Comunidad Universitaria.</t>
  </si>
  <si>
    <t>Material de autoformación</t>
  </si>
  <si>
    <t>Línea 12. Desarrollo de competencias de investigación</t>
  </si>
  <si>
    <t>Servicio Apoyo a la Investigación</t>
  </si>
  <si>
    <t>Servicios orientados a visibilizar, posicionar e impactar las publicaciones científicas, académicas y la institución contribuyendo en la función general de la Universidad de la investigación</t>
  </si>
  <si>
    <t>Gestión de publicaciones científicas</t>
  </si>
  <si>
    <t>Servicios de autoaprendizaje - guías</t>
  </si>
  <si>
    <t xml:space="preserve"> TOTAL USUARIOS </t>
  </si>
  <si>
    <t xml:space="preserve"> TOTAL SERVICIOS </t>
  </si>
  <si>
    <t>ESTADISTICAS GENERALES (Factor 4 Característica 24)</t>
  </si>
  <si>
    <t>SERVICIOS CRAI+2 ALIANZAS INTERBIBLIOTECARIAS</t>
  </si>
  <si>
    <t>Consulta alianzas:</t>
  </si>
  <si>
    <t>https://bibliotecas.udistrital.edu.co/prestamo_interbibliotecario</t>
  </si>
  <si>
    <t>Para los años 2020 y 2021 se ve afectados los convenios por la no presencialidad a causa de emergencia sanitaria Covid19</t>
  </si>
  <si>
    <t>No.</t>
  </si>
  <si>
    <t>INSTITUCIONES CON ALIANZA INTERBIBLIOTECARIA</t>
  </si>
  <si>
    <t>Archivo General De La Nación</t>
  </si>
  <si>
    <t>Biblioteca Agropecuaria De Colombia - Corpoica</t>
  </si>
  <si>
    <t>Biblioteca Especializada En Historia Política De Colombia - Fundación Gilberto Álzate Avendaño</t>
  </si>
  <si>
    <t>Ceipa Business School</t>
  </si>
  <si>
    <t>Centro De Estudios Fiscales - Contraloría General De La República</t>
  </si>
  <si>
    <t>Corporación Autónoma Regional De Cundinamarca Car</t>
  </si>
  <si>
    <t>Corporación Escuela De Artes Y Letras</t>
  </si>
  <si>
    <t>Corporación Tecnológica De Bogotá</t>
  </si>
  <si>
    <t>Corporación Unificada Nacional De Educación Superior - Cun</t>
  </si>
  <si>
    <t>Corporación Universitaria Minuto De Dios</t>
  </si>
  <si>
    <t>Corporación Universitaria Unitec</t>
  </si>
  <si>
    <t>Departamento Administrativo De La Defensoría Del Espacio Público</t>
  </si>
  <si>
    <t>Escuela Colombiana De Rehabilitación-Institución Universitaria</t>
  </si>
  <si>
    <t>Escuela De Ingeniería Del Ejército</t>
  </si>
  <si>
    <t>Escuela De Posgrados De La Fuerza Aérea</t>
  </si>
  <si>
    <t>Escuela De Posgrados De Policía "Miguel Antonio Lleras Pizarro"</t>
  </si>
  <si>
    <t>Escuela Superior De Administración Pública - Esap</t>
  </si>
  <si>
    <t>Fundación Cidca</t>
  </si>
  <si>
    <t>Fundación De Educación Superior San José</t>
  </si>
  <si>
    <t>Fundación San Mateo</t>
  </si>
  <si>
    <t>Fundación Universitaria Agraria De Colombia - Uniagraria</t>
  </si>
  <si>
    <t>Fundación Universitaria Del Área Andina</t>
  </si>
  <si>
    <t>Fundación Universitaria Konrad Lorenz</t>
  </si>
  <si>
    <t>Fundación Universitaria Los Libertadores</t>
  </si>
  <si>
    <t>Fundación Universitaria Luis Amigo</t>
  </si>
  <si>
    <t>Fundación Universitaria Para El Desarrollo Humano "Uninpahu"</t>
  </si>
  <si>
    <t>Fundalectura</t>
  </si>
  <si>
    <t>Instituto Caro Y Cuervo</t>
  </si>
  <si>
    <t>Instituto Colombiano De Antropología E Historia Icanh</t>
  </si>
  <si>
    <t>Instituto De Cultura Brasil Colombia Ibraco</t>
  </si>
  <si>
    <t>Instituto De Desarrollo Urbano</t>
  </si>
  <si>
    <t>Instituto Nacional De Seguros</t>
  </si>
  <si>
    <t>Policía Nacional</t>
  </si>
  <si>
    <t>Politécnico Icaft</t>
  </si>
  <si>
    <t>Secretaria Distrital De Ambiente</t>
  </si>
  <si>
    <t>Sena Regional D.C. Centro De Formación De Talento Humano En Salud</t>
  </si>
  <si>
    <t>Unimonserrate</t>
  </si>
  <si>
    <t>Unipanamericana</t>
  </si>
  <si>
    <t>Universidad Autónoma De Colombia</t>
  </si>
  <si>
    <t>Universidad Antonio Nariño - Circunvalar</t>
  </si>
  <si>
    <t>Universidad Católica De Colombia</t>
  </si>
  <si>
    <t>Universidad Central</t>
  </si>
  <si>
    <t>Universidad Colegio Mayor De Cundinamarca</t>
  </si>
  <si>
    <t>Universidad Cooperativa De Colombia</t>
  </si>
  <si>
    <t>Universidad De América</t>
  </si>
  <si>
    <t>Universidad De Caldas</t>
  </si>
  <si>
    <t>Universidad De Cartagena</t>
  </si>
  <si>
    <t>Universidad De La Sabana</t>
  </si>
  <si>
    <t>Universidad De La Salle</t>
  </si>
  <si>
    <t>Universidad De Los Andes</t>
  </si>
  <si>
    <t>Universidad De Medellín</t>
  </si>
  <si>
    <t>Universidad De San Buenaventura Bogotá</t>
  </si>
  <si>
    <t>Universidad Del Bosque</t>
  </si>
  <si>
    <t>Universidad Del Norte</t>
  </si>
  <si>
    <t>Universidad Del Rosario</t>
  </si>
  <si>
    <t>Universidad Ean</t>
  </si>
  <si>
    <t>Universidad Ecci</t>
  </si>
  <si>
    <t>Universidad Externado De Colombia</t>
  </si>
  <si>
    <t>Universidad Incca De Colombia</t>
  </si>
  <si>
    <t>Universidad Javeriana</t>
  </si>
  <si>
    <t>Universidad La Gran Colombia</t>
  </si>
  <si>
    <t>Universidad Libre</t>
  </si>
  <si>
    <t>Universidad Manuel Beltrán</t>
  </si>
  <si>
    <t>Universidad Militar Nueva Granada</t>
  </si>
  <si>
    <t>Universidad Nacional De Colombia</t>
  </si>
  <si>
    <t>Universidad Pedagógica Nacional De Colombia</t>
  </si>
  <si>
    <t>Universidad Piloto De Colombia</t>
  </si>
  <si>
    <t>Universidad Pontificia Bolivariana</t>
  </si>
  <si>
    <t>Universidad San Buenaventura - Cali</t>
  </si>
  <si>
    <t>Universidad Santo Tomás</t>
  </si>
  <si>
    <t xml:space="preserve">Universidad Simón Bolívar </t>
  </si>
  <si>
    <t>Universidad Uniagustiniana</t>
  </si>
  <si>
    <t>Escuela Colombiana de Ingeniería Julio Garavito</t>
  </si>
  <si>
    <t>Federación Nacional de Cultivadores de Palma de Aceite- Fedepalma</t>
  </si>
  <si>
    <t>Fundación Universidad de América</t>
  </si>
  <si>
    <t>Institución Universitaria Latina</t>
  </si>
  <si>
    <t>Instituto de Hidrología, Meteorología y Estudios Ambientales – IDEAM</t>
  </si>
  <si>
    <t>Instituto Geográfico Agustín Codazzi – IGAC</t>
  </si>
  <si>
    <t>Ministerio Del Minas</t>
  </si>
  <si>
    <t>Universidad del Tolima</t>
  </si>
  <si>
    <t>Universidad Iberomaericana</t>
  </si>
  <si>
    <t>Universidad Sergio Arboleda</t>
  </si>
  <si>
    <t>Corporación colombiana de investigación agropecuaria AGROSAVIA</t>
  </si>
  <si>
    <t>TOTAL CONVENIOS</t>
  </si>
  <si>
    <t xml:space="preserve">SERVICIOS CRAI+6: CONSULTA ACCESO A RECURSOS ELECTRONICOS - BASES DE DATOS. (Adquiridos por suscripcción) BIBLIOTECA DIGITAL BDIGITAL 2018 -2024 </t>
  </si>
  <si>
    <t xml:space="preserve">Datos: Datos de plataformas de bases de datos suscritas. Para el 2019 datos de herramienta inteligenica de negocios Infointelligen 2019. 30 de diciembre 2024. 2024 los datos son consultas y descargas.  </t>
  </si>
  <si>
    <t>El aumento en las consultas correspoden a todos los recursos electrónicos que se encuentran el el Ezproxy, no solo bases de datos</t>
  </si>
  <si>
    <t>Nota: Para la vigencia 2020, no se puede actualizar esta información especifica ya que el Sistema de Bibliotecas no cuenta con la herramienta inteligencia de negocios para  obtener los datos. Solo se cuenta con estadisticas generales.</t>
  </si>
  <si>
    <t>ESTADISTICAS POR PROYECTO CURRICULAR (Factor 4 Característica 24)</t>
  </si>
  <si>
    <t>SERVICIOS CRAI+6: CONSULTAS COLECCIONES REPOSITORIO INSTITUCIONAL RIUD 2020 -2024</t>
  </si>
  <si>
    <t>Consulta estadísticas RIUD:</t>
  </si>
  <si>
    <t>https://repository.udistrital.edu.co/page/gtm</t>
  </si>
  <si>
    <t>Información General Consutas RIUD</t>
  </si>
  <si>
    <t>TIPO</t>
  </si>
  <si>
    <t>Usuarios</t>
  </si>
  <si>
    <t>Descargas</t>
  </si>
  <si>
    <t>Interaciones - Sesiones</t>
  </si>
  <si>
    <t>Consultas</t>
  </si>
  <si>
    <r>
      <t>* El reporte fue extraído a partir de la implementación de estadísticas por GTM (Google Tag Manager) a mediados de 2020, debido a que nos permite identificar y catalogar los datos que contiene Google Analtytics, de forma más fácil.
Antes de estas fechas se cuenta con la información de forma generalizadas (de todo el sistema) y no de forma puntual (por comunidad, colección, etc.), debido a que el sistema de Analytics lo maneja de esa forma y en el periodo 2019 no se estaba implementado el modulo GTM.</t>
    </r>
    <r>
      <rPr>
        <u/>
        <sz val="10"/>
        <color rgb="FF000000"/>
        <rFont val="Arial Narrow"/>
        <family val="2"/>
      </rPr>
      <t xml:space="preserve"> https://repository.udistrital.edu.co/page/statistics
</t>
    </r>
  </si>
  <si>
    <t>REPOSITORIO INSTITUCIONAL RIUD - CONSULTAS GENERALES -COLECCIONES DIGITALES UNIVERSIDAD DISTRITAL</t>
  </si>
  <si>
    <t>DATOS GENERALES TODAS LAS FACULTADES</t>
  </si>
  <si>
    <t>CONSULTAS GENERALES -COLECCIONES DIGITALES</t>
  </si>
  <si>
    <t>Producción Editorial</t>
  </si>
  <si>
    <t>Trabajos de grado Pregrado y Especializaciones</t>
  </si>
  <si>
    <t>Tesis y disertaciones maestrias y doctorados</t>
  </si>
  <si>
    <t>Colecciones Especiales y Patrimoniales</t>
  </si>
  <si>
    <t>Colecciones Científicas</t>
  </si>
  <si>
    <t xml:space="preserve">SERVICIO CRAI+11 DESARROLLO DE COMPETENCIAS ACADÉMICAS - PLAN DE FORMACIÓN BIBLIOTECA </t>
  </si>
  <si>
    <t>Consulta servicio:</t>
  </si>
  <si>
    <t>https://bibliotecas.udistrital.edu.co/formacion</t>
  </si>
  <si>
    <t xml:space="preserve">Plan de Formación Biblioteca </t>
  </si>
  <si>
    <t>Talleres de formación</t>
  </si>
  <si>
    <t>Uso y Apropiación de los Servicios y Recursos Electrónicos de la Biblioteca</t>
  </si>
  <si>
    <t>Uso de Bases de Datos de Publicaciones de Alto Factor de Impacto</t>
  </si>
  <si>
    <t>Uso y Apropiación de los Gestores de Referencias Bibliográficas</t>
  </si>
  <si>
    <t>Uso y Aplicación Normas APA Séptima edición - Formato y Libros</t>
  </si>
  <si>
    <t>Uso y apropiación Repositorio RIUD - Revisores</t>
  </si>
  <si>
    <t>Talleres Herramientas web</t>
  </si>
  <si>
    <t>Diseño y Herramientas para realizar Infografías</t>
  </si>
  <si>
    <t>Diseño y presentación de posters científicos efectivos</t>
  </si>
  <si>
    <t>Creación de comic e historietas imágenes fijas</t>
  </si>
  <si>
    <t xml:space="preserve">Organizadores gráficos </t>
  </si>
  <si>
    <t>Talleres herramientas especializadas</t>
  </si>
  <si>
    <t>Análisis bibliométrico de la vigilancia tecnológica con herramienta de software para construir y visualizar redes...</t>
  </si>
  <si>
    <t>La transición hacia la ciencia abierta: ¿ estamos preparados ?</t>
  </si>
  <si>
    <t>Uso de Herramientas para el Seguimiento, Análisis y Visualización de la Investigación</t>
  </si>
  <si>
    <t>Otros talleres</t>
  </si>
  <si>
    <t>Ruta de la Empleabilidad UD</t>
  </si>
  <si>
    <t xml:space="preserve">II Intercambio de saberes y experiencias para el mejoramiento del que hacer del profesional en información </t>
  </si>
  <si>
    <t>Ir a la fecha que requiera información. Dar clic</t>
  </si>
  <si>
    <t>SERVICIO CRAI+10: COLECCIONES BIBLIOGRÁFICAS IMPRESAS  BIBLIOTECA (En ejemplares)</t>
  </si>
  <si>
    <t>SERVICIOS CRAI+6: COLECCIÓN DIGITAL INSTITUCIONAL REPOSITORIO INSTITUCIONAL RIUD (Accesos)</t>
  </si>
  <si>
    <t>FACULTADES</t>
  </si>
  <si>
    <t>2018</t>
  </si>
  <si>
    <t>2019</t>
  </si>
  <si>
    <t>2020</t>
  </si>
  <si>
    <t>2021</t>
  </si>
  <si>
    <t>2022</t>
  </si>
  <si>
    <t>*2023</t>
  </si>
  <si>
    <t>PROYECTOS CURRICULARES</t>
  </si>
  <si>
    <t>FACULTAD</t>
  </si>
  <si>
    <t>BASE DE DATOS CONSULTADA</t>
  </si>
  <si>
    <t>INFRAESTRUCTURA FÍSICA BIBLIOTECAS</t>
  </si>
  <si>
    <t>SEDE</t>
  </si>
  <si>
    <t>BIBLIOTECAS</t>
  </si>
  <si>
    <t>DIRECCIÓN</t>
  </si>
  <si>
    <t>Año que entró en funcionamiento</t>
  </si>
  <si>
    <t>2020 Total Área Mts2</t>
  </si>
  <si>
    <t>2022 Total Área Mts2</t>
  </si>
  <si>
    <t>2023 Total Área Mts2</t>
  </si>
  <si>
    <t>2024 Total Área Mts2</t>
  </si>
  <si>
    <t>Facultad Medio Ambiente y Recursos Naturales - Porvenir</t>
  </si>
  <si>
    <t>Biblioeca Heliodoro Sánchez Páez</t>
  </si>
  <si>
    <t>Calle 52 Sur # 88b-37</t>
  </si>
  <si>
    <t>2018 Creación Nueva</t>
  </si>
  <si>
    <t>Facultad de Tecnológica - Ensueño</t>
  </si>
  <si>
    <t>Biblioteca Ricardo Piraján Cantillo -Edificio Lectus</t>
  </si>
  <si>
    <t>Calle 68D Bis A Sur # 49F-70 Candelaria La Nueva IV</t>
  </si>
  <si>
    <t>2010 - Nueva 2023
2021 Edificio Ensueño (1300Mt2 aprox)</t>
  </si>
  <si>
    <t>Aduanilla de Paiba</t>
  </si>
  <si>
    <t>Biblioteca Ramón Eduardo D’Luyz Nieto</t>
  </si>
  <si>
    <t>Carrera 13 # 31 – 75</t>
  </si>
  <si>
    <t>2013 Creación Nueva</t>
  </si>
  <si>
    <t>Facultad Ciencias y Educación - Macarena A</t>
  </si>
  <si>
    <t xml:space="preserve">Biblioteca Comandante Camilo Torres Restrepo </t>
  </si>
  <si>
    <t>Carrera 3 # 26A – 40</t>
  </si>
  <si>
    <t>Creación
 2013 Remodelada</t>
  </si>
  <si>
    <t>Facultad Medio Ambiente y Recursos Naturales - Vivero</t>
  </si>
  <si>
    <t>Biblioteca Hipólito Camargo</t>
  </si>
  <si>
    <t>Carrera 5 Este # 15-82</t>
  </si>
  <si>
    <t>Remodelada 2012</t>
  </si>
  <si>
    <t xml:space="preserve">Facultad de Ingeniería - </t>
  </si>
  <si>
    <t xml:space="preserve">Biblioteca Vytautas Gabriunas </t>
  </si>
  <si>
    <t>Carrera 7 # 40-53 Edificio Sabio Caldas</t>
  </si>
  <si>
    <t>2010 - Remodelada</t>
  </si>
  <si>
    <t>Facultad de Artes - Sede ASAB</t>
  </si>
  <si>
    <t>BIblioteca Antonio Nariño</t>
  </si>
  <si>
    <t>Carrera 13 # 14-69</t>
  </si>
  <si>
    <t>Creación año 2005 - 2012- Remodelada
 2018- Remodelada</t>
  </si>
  <si>
    <t>Facultad Ciencias y Educación - Macarena B</t>
  </si>
  <si>
    <t>Biblioteca Jairo Aníbal Niño</t>
  </si>
  <si>
    <t>Carrera 4 # 26B – 54</t>
  </si>
  <si>
    <t>Centro de Documentación Ciencias Sociales - CDSO</t>
  </si>
  <si>
    <t>1996 creación
 2013 Remodelada</t>
  </si>
  <si>
    <t>Centro de Documentación de las Artes "Gabriel Esquinas"</t>
  </si>
  <si>
    <t>Facultad Ciencias y Educación - Posgrados</t>
  </si>
  <si>
    <t>Biblioteca Posgrados</t>
  </si>
  <si>
    <t>Carrera 6 #10-72, Bogotá - La Candelaria</t>
  </si>
  <si>
    <t>Creación 1994 traslado sede posgrados año 2005. Traslado 2023</t>
  </si>
  <si>
    <t>SALAS DE LECTURA</t>
  </si>
  <si>
    <t>PUESTOS DE LECTURA</t>
  </si>
  <si>
    <t>COMPUTADORES FUNCIONARIOS (puestos de trabajo)</t>
  </si>
  <si>
    <t>COMPUTADORES CONSULTA CATALOGO</t>
  </si>
  <si>
    <t>COMPUTADORES PRESTAMO-USUARIOS</t>
  </si>
  <si>
    <t xml:space="preserve">PORTATILES </t>
  </si>
  <si>
    <t>TABLETS</t>
  </si>
  <si>
    <t>CARTELERAS DIGITALES</t>
  </si>
  <si>
    <t>TV</t>
  </si>
  <si>
    <t>AUDIFONOS</t>
  </si>
  <si>
    <t>VIDEO JUEGOS</t>
  </si>
  <si>
    <t xml:space="preserve">SALAS / ESPACIOS </t>
  </si>
  <si>
    <t>Comandante Camilo Torres Restrepo - Sede Macarena A-</t>
  </si>
  <si>
    <t>Jairo Aníbal Niño -Sede Macarena B</t>
  </si>
  <si>
    <t>Ramón Eduardo D’Luyz Nieto . Sede Aduanilla de Paiba</t>
  </si>
  <si>
    <t>Vytautas Gabriunas -Facultad Ingeniería</t>
  </si>
  <si>
    <t>Hipólito Camargo -Sede Medio Ambiente Vivero-</t>
  </si>
  <si>
    <t xml:space="preserve">Heliodoro Sánchez Páez - Sede Porvenir </t>
  </si>
  <si>
    <t>Ensueño - Facultad Tecnológica-</t>
  </si>
  <si>
    <t>ASAB - Antonio Nariño</t>
  </si>
  <si>
    <t>CDOSO - Centro de documentación de sociales</t>
  </si>
  <si>
    <t>CDARTES - Centro de documentación de Artes</t>
  </si>
  <si>
    <t>Posgrados</t>
  </si>
  <si>
    <t>Proyección</t>
  </si>
  <si>
    <t>SALA DE LECTURA</t>
  </si>
  <si>
    <t>AUDITORIOS</t>
  </si>
  <si>
    <t>TEATRO - AUDITORIO</t>
  </si>
  <si>
    <t>SALA GRUPAL - SALA DE REUNIONES</t>
  </si>
  <si>
    <t>SALA DE EXPOSICIÓN ARTE</t>
  </si>
  <si>
    <t>SALA MULTIFUNCIONAL</t>
  </si>
  <si>
    <t xml:space="preserve">SALAS DE INFORMATICA - </t>
  </si>
  <si>
    <t>SALAS MULTIMEDIA</t>
  </si>
  <si>
    <t>SALA MAKERSPACE</t>
  </si>
  <si>
    <t>MEDIATECA SONOTECA - VIDEOTECA -MEDIALAB</t>
  </si>
  <si>
    <t>SALA DE CAPACITACIÓN</t>
  </si>
  <si>
    <t xml:space="preserve">COWORKING / SALA DE INNOVACION </t>
  </si>
  <si>
    <t>CLUB BILINGÜE</t>
  </si>
  <si>
    <t xml:space="preserve">FABLAB </t>
  </si>
  <si>
    <t xml:space="preserve">CAFÉ LIBRO </t>
  </si>
  <si>
    <t>SALONES</t>
  </si>
  <si>
    <t>SALA BIBLIOTECA INCLUSIÓN</t>
  </si>
  <si>
    <t>Ambientalex</t>
  </si>
  <si>
    <t>Ebook-724</t>
  </si>
  <si>
    <t>EBSCO</t>
  </si>
  <si>
    <t>Oxford University</t>
  </si>
  <si>
    <t>Science Direct</t>
  </si>
  <si>
    <t>Scopus</t>
  </si>
  <si>
    <t>Springer Link</t>
  </si>
  <si>
    <t>Taylor&amp;francys</t>
  </si>
  <si>
    <t>Sage Journals</t>
  </si>
  <si>
    <t>Sage Knowledge</t>
  </si>
  <si>
    <t>Springer Nature</t>
  </si>
  <si>
    <t>FACULTAD DE INGENIERIA</t>
  </si>
  <si>
    <t>INGENIERÍA</t>
  </si>
  <si>
    <t>FACULTAD TECNOLOGICA</t>
  </si>
  <si>
    <t>ARTES</t>
  </si>
  <si>
    <t>FACULTAD MEDIO AMBIENTE Y RECURSOS NATURALES</t>
  </si>
  <si>
    <t>TECNOLOGICA</t>
  </si>
  <si>
    <t>ACADEMIA SUPERIOR DE ARTES</t>
  </si>
  <si>
    <t>CENT. DOC. DE LAS ARTES ASAB</t>
  </si>
  <si>
    <t>VIVERO</t>
  </si>
  <si>
    <t>PORVENIR</t>
  </si>
  <si>
    <t>HERBARIO FORESTAL</t>
  </si>
  <si>
    <t>Ieee Xplore</t>
  </si>
  <si>
    <t>Mathscinet</t>
  </si>
  <si>
    <t xml:space="preserve">Datos propios del Sistema de Bibliotecas. 30 de mayo del  2025. </t>
  </si>
  <si>
    <t xml:space="preserve">¡Conoce tu U! Servicio Chat </t>
  </si>
  <si>
    <t>Talleres-creación de contenido</t>
  </si>
  <si>
    <t>Recursos 24/7</t>
  </si>
  <si>
    <t>Formación de usuarios (solicitudes)</t>
  </si>
  <si>
    <t>Talleres (Solicitudes)</t>
  </si>
  <si>
    <t>Formación - Apoyo al aprendizaje (solicitudes)</t>
  </si>
  <si>
    <t>Asesoría en Normalización de perfiles investigador</t>
  </si>
  <si>
    <t>Asesoría divulgación productos académicos y científicos</t>
  </si>
  <si>
    <t>Asesoría en Normas APA para trabajos de grado</t>
  </si>
  <si>
    <t>Asesoría apoyo a la investigación</t>
  </si>
  <si>
    <t>Turnitin Check Servicio de Revisión de Trabajos Académico</t>
  </si>
  <si>
    <t>Asesoría Especializada</t>
  </si>
  <si>
    <t>Colección multimedia (Videos, DVD,CD)</t>
  </si>
  <si>
    <t>Los datos de la colección por año son consolidados en el tiempo.
En la vigencia 2025 por actualización en sistema de informción bibliográfico las colecciones y alineados con las políticas de gestión de colecciones se actualiza: Colección literatura, colección Antana Mockus, Coleccion Corporación Nacional de Investigación y Fomento Forestalcolección referencia, colección de reserva, colección partituras. los ejemplares se trasladaron a colección general. Por tanto, los nombres de dichas colecciones no estaran más disponibles.</t>
  </si>
  <si>
    <t>Fuente: SIB 30/05/2025. Los títulos son acumulados por vigencia</t>
  </si>
  <si>
    <t>SERVICIOS CRAI+2: PRESTAMOS RECURSOS BIBLIOGRÁFICOS (impresos y digitales) BIBLIOTECA POR FACULTAD, POR PROYECTO CURRICULAR 2018 - 2025</t>
  </si>
  <si>
    <t>NUMERO DE ESTUDIANTES QUE CONSULTARON LIBROS, BDIGITAL POR FACULTAD - POR PROYECTO CURRICULAR  EN EL SISTEMA DE BIBLIOTECAS 2018 -2025</t>
  </si>
  <si>
    <t>NUMERO DE ESTUDIANTES QUE  SOLICITARON PRESTAMO BIBLIOGRÁFICOS, PRÉSTAMOS TECNOLOGIA Y CONSULTAS BDIGITAL POR FACULTAD, POR PROYECTO CURRICULAR  2018 -2025 (Computadores, libros, casilleros, bases de datos entre otros)</t>
  </si>
  <si>
    <t>SERVICIOS CRAI+2: PRESTAMOS RECURSOS BIBLIOGRÁFICOS (impresos y digitales) BIBLIOTECA POR FACULTAD, POR PROYECTO CURRICULAR 2018 -2025</t>
  </si>
  <si>
    <t>SERVICIOS CRAI+3: PRESTAMOS RECURSOS TECNOLÓGICO (computadores, tablet, audifonos, videoteca, otros) BIBLIOTECA POR FACULTAD, POR PROYECTO CURRICULAR 2014 -2025</t>
  </si>
  <si>
    <t>Buscador - Descubridor - EDS</t>
  </si>
  <si>
    <t>Catalogo en línea_ LOCATE</t>
  </si>
  <si>
    <t xml:space="preserve">Aplica para toda la Comunidad Académica en el Campus o fuera de él. Acceso por medio de la Plataforma Biblioteca OPAC </t>
  </si>
  <si>
    <t>Biblioteca es la dependencia encargada de administrar el catalogo en línea LOCATE</t>
  </si>
  <si>
    <t xml:space="preserve">Es una plataforma de búsqueda y descubrimiento que permite a los usuarios encontrar recursos de información de la biblioteca, incluyendo bases de datos, libros electrónicos y revistas, a través de un único cuadro de búsqueda. 
</t>
  </si>
  <si>
    <t>Catalogo en línea Sistema de Biblioteca donde se consulta todos los recursos impresos disponibles en la diferentes biblioteca. "Locate" se refiere a la solución de catálogo de acceso público en línea.</t>
  </si>
  <si>
    <t>https://udistrital.locate.ebsco.com/search</t>
  </si>
  <si>
    <t>Biblioteca es la dependencia encargada de administrar el descubridor-EDS</t>
  </si>
  <si>
    <t>Recurso adquirido por suscripción 2018</t>
  </si>
  <si>
    <t>Recurso adquirido por suscripción
2024</t>
  </si>
  <si>
    <t>Recurso adquirido por suscripción
2025</t>
  </si>
  <si>
    <t>Iop Science Journal</t>
  </si>
  <si>
    <t>Iop Science Book</t>
  </si>
  <si>
    <t>InCites</t>
  </si>
  <si>
    <t>EBSCO HOST(**usos)</t>
  </si>
  <si>
    <t>Emerald</t>
  </si>
  <si>
    <t>BIOONE</t>
  </si>
  <si>
    <t>MATHSCINET</t>
  </si>
  <si>
    <t>O´REALLY</t>
  </si>
  <si>
    <t>CAS</t>
  </si>
  <si>
    <t>VIRTUAL PRO</t>
  </si>
  <si>
    <t>2025*consultas</t>
  </si>
  <si>
    <t>PASA LA PAGINA*usos</t>
  </si>
  <si>
    <t>EBSCO HOST (**usos)</t>
  </si>
  <si>
    <t>COLECCIÓN DIGITAL PATRIMONIAL - REPOSITORIO INSTITUCIONAL RIUD 2018-2025</t>
  </si>
  <si>
    <t>SERVICIOS CRAI+6: CONSULTAS COLECCIÓN DIGITAL INSTITUCIONAL ACCESOS REPOSITORIO INSTITUCIONAL RIUD 2020 -2025</t>
  </si>
  <si>
    <t>Centro De Investigación Y Educación Popular / Programa Por La Paz - Cinep</t>
  </si>
  <si>
    <t>Fundación Universitaria Cervantina De San Agustín - Unicerventina</t>
  </si>
  <si>
    <t>Ministerio Del Medio Ambiente vivienda y desarrollo territorial</t>
  </si>
  <si>
    <t>Universidad Jorge Tadeo Lozano</t>
  </si>
  <si>
    <t>Uniempresarial Fundacion Universitaria Empresarial De La Camara De Comercio De Bogota</t>
  </si>
  <si>
    <t>Biblioteca Luis Angel Arango</t>
  </si>
  <si>
    <t>Corporación Educativa Indoamericana</t>
  </si>
  <si>
    <t>Corporacion Universitaria Iberoamericana</t>
  </si>
  <si>
    <t>Fundacion Universitaria Colombo Germana</t>
  </si>
  <si>
    <t>Fundacion Universitaria Juan N Corpas</t>
  </si>
  <si>
    <t>Fundación Universitaria Sanitas</t>
  </si>
  <si>
    <t>Jardin Botanico de Bogotá José Celestino Mutis</t>
  </si>
  <si>
    <t>Sena Centro De Gestión De Mercados, Logística Y Tecnologías De La Información</t>
  </si>
  <si>
    <t>Universidad Nacional Abierta Y A Distancia Unad</t>
  </si>
  <si>
    <t>Universitaria Politécnico Grancolombiano</t>
  </si>
  <si>
    <t>Artesanías de Colombia</t>
  </si>
  <si>
    <t>Fundación Universitaria San Martín</t>
  </si>
  <si>
    <t>Corporación Universitaria Taller 5</t>
  </si>
  <si>
    <t>Escuela de Ingenieros Militares</t>
  </si>
  <si>
    <t>Escuela de Suboficiales de la Fuerza Aéreoespacial</t>
  </si>
  <si>
    <t>Universidad De La Costa CUC</t>
  </si>
  <si>
    <t>Instituto Distrital de Patrimonio Cultural</t>
  </si>
  <si>
    <t>SERVICIOS CRAI+11 DESARROLLO DE COMPETENCIAS ACADÉMICAS PLAN DE FORMACIÓN  BIBLIOTECA 2023-2025</t>
  </si>
  <si>
    <t>SERVICIOS CRAI+10: RECURSOS ADQUIRIDOS_SUSCRIPCIÓN BASES DE DATOS  POR PROYECTO CURRICULAR Y DISPONIBLES EN LA BIBLIOTECA</t>
  </si>
  <si>
    <t>Base de datos</t>
  </si>
  <si>
    <t xml:space="preserve">Datos propios del Sistema de Biblioteca. Repositorio Institucional RIUD. Para la vigencia 2025 los datos nos e encuentran disponibles por colección a causa de migración. </t>
  </si>
  <si>
    <t>SERVICIOS CRAI+6: COLECCIONES DIGITALS BDIGITAL - CONSULTA ACCESO A RECURSOS ELECTRONICOS - BASES DE DATOS BDIGITAL BIBLIOTECA POR FACULTAD  POR PROYECTO CURRICULAR 2018 -2025</t>
  </si>
  <si>
    <t xml:space="preserve"> CUADRO MAESTRO ESTADÍSTICO GENERAL X FACULTAD X PROYECTO CURRICULAR 2018-2025</t>
  </si>
  <si>
    <t xml:space="preserve">Acceso por suscripción (47)
</t>
  </si>
  <si>
    <t>Acceso abierto (40)
Gestores Bibliográficos (2)
Guías (1)
Herramientas de investigación (4)
Términos (1)</t>
  </si>
  <si>
    <t>Academic Search Complete (EBSCO)</t>
  </si>
  <si>
    <t>Applied Science &amp; Technology Full Text (H.W. Wilson) (EBSCO)</t>
  </si>
  <si>
    <t>Banco de Imágenes de Bogotá</t>
  </si>
  <si>
    <t>Biblioteca Digital Mundial</t>
  </si>
  <si>
    <t>BioOne </t>
  </si>
  <si>
    <t>Celsius</t>
  </si>
  <si>
    <t>CINEP</t>
  </si>
  <si>
    <t>CLACSO</t>
  </si>
  <si>
    <t>Dialnet</t>
  </si>
  <si>
    <t>Digitalia Films Library</t>
  </si>
  <si>
    <t>Digitalia Hispanica</t>
  </si>
  <si>
    <t>DOAJ</t>
  </si>
  <si>
    <t>E-books 7/24</t>
  </si>
  <si>
    <t>E-collection (icontec)</t>
  </si>
  <si>
    <t>E-Revistas</t>
  </si>
  <si>
    <t>EBook Collection (EBSCOhost)</t>
  </si>
  <si>
    <t>Emerald Insight</t>
  </si>
  <si>
    <t>Encyclopedia Britanica</t>
  </si>
  <si>
    <t>Environment Complete (EBSCO)</t>
  </si>
  <si>
    <t>ERIC</t>
  </si>
  <si>
    <t>F1000Investigación</t>
  </si>
  <si>
    <t>agris fao</t>
  </si>
  <si>
    <t>Fuente Académica Plus (EBSCO)</t>
  </si>
  <si>
    <t>Highwire</t>
  </si>
  <si>
    <t>Latindex</t>
  </si>
  <si>
    <t>MasterFILE Elite (EBSCO)</t>
  </si>
  <si>
    <t>MasterFILE Reference eBook Collection (EBSCO)</t>
  </si>
  <si>
    <t>Mendeley</t>
  </si>
  <si>
    <t>MIAR</t>
  </si>
  <si>
    <t>Nature</t>
  </si>
  <si>
    <t>Newspaper Source (EBSCO)</t>
  </si>
  <si>
    <t>Oxford Learner´s Dictionaries</t>
  </si>
  <si>
    <t>Oxford University Press</t>
  </si>
  <si>
    <t>Pasa la página</t>
  </si>
  <si>
    <t>Plants of the World Online</t>
  </si>
  <si>
    <t>Pub-med</t>
  </si>
  <si>
    <t>Publindex</t>
  </si>
  <si>
    <t>Real Academia Española</t>
  </si>
  <si>
    <t>Reaxys</t>
  </si>
  <si>
    <t>Redalyc</t>
  </si>
  <si>
    <t>REDIB (Red Iberoamericana de Innovación y Conocimiento Científico)</t>
  </si>
  <si>
    <t>Regional Business News (EBSCO)</t>
  </si>
  <si>
    <t>Revistas UNAM</t>
  </si>
  <si>
    <t>Revistas Universidad Distrital</t>
  </si>
  <si>
    <t>SAGE Books</t>
  </si>
  <si>
    <t>SAGE Publishing</t>
  </si>
  <si>
    <t>SCIELO</t>
  </si>
  <si>
    <t>Scimago Institutions Rankin</t>
  </si>
  <si>
    <t>SIDALC (Servicios de Información Agropecuaria en las Américas)</t>
  </si>
  <si>
    <t>SJR (Scimago Journal Ranking)</t>
  </si>
  <si>
    <t>Springer Books</t>
  </si>
  <si>
    <t>Taylor &amp; Francis</t>
  </si>
  <si>
    <t>VirtualPro</t>
  </si>
  <si>
    <t>Web Of Science</t>
  </si>
  <si>
    <t>Zotero</t>
  </si>
  <si>
    <t xml:space="preserve">x </t>
  </si>
  <si>
    <t>Domina las normas APA: tu guía completa para citar y referenciar con excelencia</t>
  </si>
  <si>
    <t>Potenciando la investigación con IA: estrategias de búsqueda y recuperación de información</t>
  </si>
  <si>
    <t>Publica tu trabajo de grado en el RIUD: taller paso a paso</t>
  </si>
  <si>
    <t>Presentaciones interactivas: captura la atención y potencia tu mensaje</t>
  </si>
  <si>
    <t>Gamificación: innovando la educación en el aula</t>
  </si>
  <si>
    <t>Diseño de podcast: crea, relata y comunica con propósito</t>
  </si>
  <si>
    <t xml:space="preserve">Creación y edición de video </t>
  </si>
  <si>
    <t>Actualiza tu huella en la ciencia: taller de firma y optimización del perfil del investigador</t>
  </si>
  <si>
    <t>Impacta tu investigación: taller de publicación en revistas top</t>
  </si>
  <si>
    <t>Acceso y ciencia abierta: impulsando la sociedad del conocimiento</t>
  </si>
  <si>
    <t>Conectando con la ciencia: uso de revistas de alto Impacto en tu investigacion</t>
  </si>
  <si>
    <t>Redes bibliométricas: estrategias para la toma de decisiones en investigación y publicación</t>
  </si>
  <si>
    <t>Conexión estrategica</t>
  </si>
  <si>
    <t>PROYECTO CURRICULAR</t>
  </si>
  <si>
    <t>2025 Total Área Mts2</t>
  </si>
  <si>
    <t>Alpha Editorial Cloud</t>
  </si>
  <si>
    <t>Guías de Autoaprendizaje (visualizaciones)</t>
  </si>
  <si>
    <t>Asesorías firma Científica</t>
  </si>
  <si>
    <t>Informes bibliometricos</t>
  </si>
  <si>
    <t xml:space="preserve">Datos propios del Sistema de Bibliotecas. 30 de julio del  2025. </t>
  </si>
  <si>
    <t>Datos propios Sistema de Biblioteca. 30 Julio 2025</t>
  </si>
  <si>
    <r>
      <t xml:space="preserve">* </t>
    </r>
    <r>
      <rPr>
        <b/>
        <sz val="10"/>
        <color rgb="FF000000"/>
        <rFont val="Arial Narrow"/>
        <family val="2"/>
      </rPr>
      <t xml:space="preserve">Fuente: </t>
    </r>
    <r>
      <rPr>
        <sz val="10"/>
        <color rgb="FF000000"/>
        <rFont val="Arial Narrow"/>
        <family val="2"/>
      </rPr>
      <t xml:space="preserve">Datos del Sistema de Biblioteca ARC - SIB. </t>
    </r>
    <r>
      <rPr>
        <b/>
        <sz val="10"/>
        <color rgb="FF000000"/>
        <rFont val="Arial Narrow"/>
        <family val="2"/>
      </rPr>
      <t>Fecha de reporte: 30/07/2025</t>
    </r>
    <r>
      <rPr>
        <sz val="10"/>
        <color rgb="FF000000"/>
        <rFont val="Arial Narrow"/>
        <family val="2"/>
      </rPr>
      <t>. Las Colecciones de material bibliográfico en el Sistema de Biblioteca estan catalogadas por Area de conocimiento (000 Temas generales, 100 Filosofía, 200 religión, 300 Ciencias sociales, 400 Lingüística, 600 ciencias aplicadas, 700 Artes, 800 Literatura, 900 Historia y geografía). Las colecciones de referencia y reserva disminuyen por ser reubicadas en  colección general 2022.</t>
    </r>
  </si>
  <si>
    <r>
      <t xml:space="preserve">* </t>
    </r>
    <r>
      <rPr>
        <b/>
        <sz val="10"/>
        <color rgb="FF000000"/>
        <rFont val="Arial Narrow"/>
        <family val="2"/>
      </rPr>
      <t>Fuente:</t>
    </r>
    <r>
      <rPr>
        <sz val="10"/>
        <color rgb="FF000000"/>
        <rFont val="Arial Narrow"/>
        <family val="2"/>
      </rPr>
      <t xml:space="preserve"> Datos del Sistema de Biblioteca ARC - SIB. </t>
    </r>
    <r>
      <rPr>
        <b/>
        <sz val="10"/>
        <color rgb="FF000000"/>
        <rFont val="Arial Narrow"/>
        <family val="2"/>
      </rPr>
      <t>Fecha de reporte</t>
    </r>
    <r>
      <rPr>
        <sz val="10"/>
        <color rgb="FF000000"/>
        <rFont val="Arial Narrow"/>
        <family val="2"/>
      </rPr>
      <t>: 30/07/2025 Las Colecciones de material bibliográfico en el Sistema de Biblioteca estan catalogadas por Área de conocimiento (000 Temas generales, 100 Filosofía, 200 religión, 300 Ciencias sociales, 400 Lingüística, 600 ciencias aplicadas, 700 Artes, 800 Literatura, 900 Historia y geografía). Esta información se consulta en OPAC - Catalogo en Línea - RIUD Repositorio Institucional - BDIGITAL Bases de datos.
* Para el 2025 la colección de trabajos de grado impreso se reubico en Biblioteca Porvenir y Biblioteca Aduanilla de Paiba y no se encuentra disponible en SIB por proyecto de preservación.
En la vigencia 2025 por actualización en sistema de informción bibliográfico las colecciones y alineados con las políticas de gestión de colecciones se actualiza: Colección literatura, colección Antana Mockus, Coleccion Corporación Nacional de Investigación y Fomento Forestalcolección referencia, colección de reserva, colección partituras. los ejemplares se trasladaron a colección general. Por tanto, los nombres de dichas colecciones no estaran más disponibles.</t>
    </r>
  </si>
  <si>
    <r>
      <t>Fuente:</t>
    </r>
    <r>
      <rPr>
        <sz val="9"/>
        <color rgb="FF000000"/>
        <rFont val="Arial Narrow"/>
        <family val="2"/>
      </rPr>
      <t xml:space="preserve">Datos propios Sistema de Bibliotecas. </t>
    </r>
    <r>
      <rPr>
        <b/>
        <sz val="9"/>
        <color rgb="FF000000"/>
        <rFont val="Arial Narrow"/>
        <family val="2"/>
      </rPr>
      <t>Fecha de reporte</t>
    </r>
    <r>
      <rPr>
        <sz val="9"/>
        <color rgb="FF000000"/>
        <rFont val="Arial Narrow"/>
        <family val="2"/>
      </rPr>
      <t>: 30 de julio de 2025. La variación de las Bases de datos suscritas corresponde a la asignación de presupuesto anual y a la variación de la TRM.</t>
    </r>
  </si>
  <si>
    <t xml:space="preserve">Datos propios del Sistema de Biblioteca. Fecha 30 de julio 2025. Datos de plataformas de bases de datos suscritas. Para el 2019 datos de herramienta inteligenica de negocios Infointelligen 2019. 30 de mayo 2025. 
Apartir del año 2024 los datos son consultas y descargas.  </t>
  </si>
  <si>
    <t>ProQuest</t>
  </si>
  <si>
    <t>IOP SCIENCE</t>
  </si>
  <si>
    <t>AGRIS</t>
  </si>
  <si>
    <t>Datos propios de biblioteca. Corte 30/7/2025. En la vigencia 2022 la Biblioteca Administración Deportiva fue cerrada por condiciones de infraestructura de la Universidad Distrital Francisco Jose de Caldas
En la vigencia 2023 la Biblioteca Posgrados fue reubicada de lugar por tanto la disminución en metros cuadrados.</t>
  </si>
  <si>
    <t>FACULTAD INGENIERIA</t>
  </si>
  <si>
    <t>MAE. EN CIENCIAS DE LA INF. Y LAS COMUNICACIONES ENFASIS EN GEOMATICA</t>
  </si>
  <si>
    <t>MAE. EN CIENCIAS DE LA INF. Y LAS COMUNICACIONES ENFASIS EN ING. SOFT</t>
  </si>
  <si>
    <t>MAE. EN CIENCIAS DE LA INF. Y LAS COMUNICACIONES ENFASIS EN SIS. INFOR</t>
  </si>
  <si>
    <t>MAE. EN CIENCIAS DE LA INF. Y LAS COMUNICACIONES ENFASIS EN TELEINF.</t>
  </si>
  <si>
    <t>MAESTRÍA EN CIENCIAS DE LA INFORMACIÓN Y LAS COMUNICACIONES</t>
  </si>
  <si>
    <t>MAESTRIA EN CIENCIAS DE LA INFORMACIÓN Y LAS COMUNICACIONES</t>
  </si>
  <si>
    <t xml:space="preserve">- </t>
  </si>
  <si>
    <t>MAE EN CIENCIAS DE LA INF Y LAS COMUNICACIONES ENFASIS EN GEOMATICA</t>
  </si>
  <si>
    <t>DIGITALIA FILM LIBRARY</t>
  </si>
  <si>
    <t>Doi System</t>
  </si>
  <si>
    <t>EIVillage</t>
  </si>
  <si>
    <t>Embase</t>
  </si>
  <si>
    <t>Google</t>
  </si>
  <si>
    <t>-hide Gale/Infotrac/PowerSearch Databases</t>
  </si>
  <si>
    <t>Iop Science</t>
  </si>
  <si>
    <t>Nueva Biblioteca Digital Pearson</t>
  </si>
  <si>
    <t>Proquest</t>
  </si>
  <si>
    <t>Science Magazine</t>
  </si>
  <si>
    <t>ZENTRALBLATT (zbMATH)</t>
  </si>
  <si>
    <t>MAE EN CIENCIAS DE LA INF Y LAS COMUNICACIONES ENFASIS EN ING SOFT</t>
  </si>
  <si>
    <t>Acm Digital Library</t>
  </si>
  <si>
    <t>Google Scholar</t>
  </si>
  <si>
    <t>Mendeley -Gestor Bibliografico</t>
  </si>
  <si>
    <t>MAE EN CIENCIAS DE LA INF Y LAS COMUNICACIONES ENFASIS EN SIS INFOR</t>
  </si>
  <si>
    <t>arXiv Cornell University Library</t>
  </si>
  <si>
    <t>Britannica Academic</t>
  </si>
  <si>
    <t>E-Journal Unam</t>
  </si>
  <si>
    <t>EndNote -Gestor Bibliografico</t>
  </si>
  <si>
    <t>RefWorks - Gestor Bibliografico</t>
  </si>
  <si>
    <t>Web of Knowledge - Thomson Reuter</t>
  </si>
  <si>
    <t>RIUD - Repositorio Institucional UDFJC</t>
  </si>
  <si>
    <t>SCIELO - SCIENTIFIC ELECTRONIC LIBRARY ONLINE</t>
  </si>
  <si>
    <t>Booklick</t>
  </si>
  <si>
    <t>WEB OF SCIENCE</t>
  </si>
  <si>
    <t>e-colletion</t>
  </si>
  <si>
    <t>O´Reilly</t>
  </si>
  <si>
    <t>MAE EN CIENCIAS DE LA INF Y LAS COMUNICACIONES ENFASIS EN EN TELEINF</t>
  </si>
  <si>
    <t>SERVICIOS CRAI+6: CONSULTA ACCESO A RECURSOS ELECTRONICOS - BASES DE DATOS BDIGITAL BIBLIOTECA POR FACULTAD  POR PROYECTO CURRICULAR 2018 -2025-1</t>
  </si>
  <si>
    <t>Maestría en Ciencias de la Información y las Comunicaciones</t>
  </si>
  <si>
    <t>MAESTRIA EN CIENCIAS DE LA INFORMACION Y LAS COMUNICACIONES</t>
  </si>
  <si>
    <t>Art &amp; Architecture Source (EBSCO)</t>
  </si>
  <si>
    <t>ArXiv</t>
  </si>
  <si>
    <t>Biblioteca Jurídica Virtual – ASTREA</t>
  </si>
  <si>
    <t>Business Source Complete (EBSCO)</t>
  </si>
  <si>
    <t xml:space="preserve">	CAS SciFinder Discovery Platform</t>
  </si>
  <si>
    <t>Education Source (EBSCO)</t>
  </si>
  <si>
    <t>El Cofre</t>
  </si>
  <si>
    <t>Eprints In Library And Information Science</t>
  </si>
  <si>
    <t>EUREKA</t>
  </si>
  <si>
    <t>Freebooks4doctors</t>
  </si>
  <si>
    <t>GreenFILE (EBSCO)</t>
  </si>
  <si>
    <t>Herbario Forestal UDBC</t>
  </si>
  <si>
    <t>History of Science, Technology and Medicine (EBSCO)</t>
  </si>
  <si>
    <t>International Bibliography of Theatre &amp; Dance with Full Text (EBSCO)</t>
  </si>
  <si>
    <t>IOP Science</t>
  </si>
  <si>
    <t>IPNI</t>
  </si>
  <si>
    <t>Jstor OS</t>
  </si>
  <si>
    <t>Library, Information Science &amp; Technology Abstracts (EBSCO)</t>
  </si>
  <si>
    <t>Naxos Music Jazz</t>
  </si>
  <si>
    <t>O'Reilly</t>
  </si>
  <si>
    <t>SPORTDiscus with Full Text (EBSCO)</t>
  </si>
  <si>
    <t>Viref - Biblioteca Virtual de Educación Física</t>
  </si>
  <si>
    <t>Maestría en Ciencias de la Información y las Comunicaciones SNIES - 116070</t>
  </si>
  <si>
    <t xml:space="preserve"> Maestría en Ciencias de la Información y las Comunicaciones SNIES - 17528</t>
  </si>
  <si>
    <t>Facultad de Ingeniería</t>
  </si>
  <si>
    <t>Maestría en Ciencias de la Información y las Comunicaciones SNIES - 17528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</si>
</sst>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1" formatCode="_-* #,##0_-;\-* #,##0_-;_-* &quot;-&quot;_-;_-@_-"/>
    <numFmt numFmtId="43" formatCode="_-* #,##0.00_-;\-* #,##0.00_-;_-* &quot;-&quot;??_-;_-@_-"/>
    <numFmt numFmtId="164" formatCode="_(* #,##0_);_(* \(#,##0\);_(* &quot;-&quot;_);_(@_)"/>
    <numFmt numFmtId="165" formatCode="#,##0;[Red]#,##0"/>
    <numFmt numFmtId="166" formatCode="_(* #,##0_);_(* \(#,##0\);_(* &quot;-&quot;??_);_(@_)"/>
    <numFmt numFmtId="167" formatCode="_-* #,##0_-;\-* #,##0_-;_-* &quot;-&quot;??_-;_-@_-"/>
  </numFmts>
  <fonts count="60"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Narrow"/>
      <family val="2"/>
    </font>
    <font>
      <b/>
      <sz val="10"/>
      <color theme="1"/>
      <name val="Arial Narrow"/>
      <family val="2"/>
    </font>
    <font>
      <sz val="10"/>
      <color rgb="FF000000"/>
      <name val="Arial Narrow"/>
      <family val="2"/>
    </font>
    <font>
      <b/>
      <sz val="9"/>
      <color theme="1"/>
      <name val="Arial Narrow"/>
      <family val="2"/>
    </font>
    <font>
      <sz val="9"/>
      <color theme="1"/>
      <name val="Arial Narrow"/>
      <family val="2"/>
    </font>
    <font>
      <sz val="9"/>
      <color rgb="FF000000"/>
      <name val="Arial Narrow"/>
      <family val="2"/>
    </font>
    <font>
      <sz val="9"/>
      <name val="Arial Narrow"/>
      <family val="2"/>
    </font>
    <font>
      <u/>
      <sz val="11"/>
      <color theme="10"/>
      <name val="Calibri"/>
      <family val="2"/>
      <scheme val="minor"/>
    </font>
    <font>
      <b/>
      <sz val="10"/>
      <color rgb="FF000000"/>
      <name val="Arial Narrow"/>
      <family val="2"/>
    </font>
    <font>
      <sz val="11"/>
      <color theme="1"/>
      <name val="Calibri"/>
      <family val="2"/>
      <scheme val="minor"/>
    </font>
    <font>
      <sz val="10"/>
      <name val="Arial Narrow"/>
      <family val="2"/>
    </font>
    <font>
      <b/>
      <sz val="9"/>
      <color rgb="FF000000"/>
      <name val="Arial Narrow"/>
      <family val="2"/>
    </font>
    <font>
      <u/>
      <sz val="10"/>
      <color theme="10"/>
      <name val="Arial Narrow"/>
      <family val="2"/>
    </font>
    <font>
      <u/>
      <sz val="9"/>
      <color theme="10"/>
      <name val="Arial Narrow"/>
      <family val="2"/>
    </font>
    <font>
      <u/>
      <sz val="9"/>
      <name val="Arial Narrow"/>
      <family val="2"/>
    </font>
    <font>
      <sz val="10"/>
      <color rgb="FF980000"/>
      <name val="Arial Narrow"/>
      <family val="2"/>
    </font>
    <font>
      <sz val="11"/>
      <color theme="1"/>
      <name val="Calibri"/>
      <family val="2"/>
      <scheme val="minor"/>
    </font>
    <font>
      <u/>
      <sz val="10"/>
      <color rgb="FF000000"/>
      <name val="Arial Narrow"/>
      <family val="2"/>
    </font>
    <font>
      <b/>
      <sz val="14"/>
      <color theme="1"/>
      <name val="Arial Narrow"/>
      <family val="2"/>
    </font>
    <font>
      <sz val="14"/>
      <color theme="1"/>
      <name val="Arial Narrow"/>
      <family val="2"/>
    </font>
    <font>
      <b/>
      <sz val="8"/>
      <color theme="1"/>
      <name val="Arial Narrow"/>
      <family val="2"/>
    </font>
    <font>
      <b/>
      <sz val="11"/>
      <color theme="1"/>
      <name val="Arial Narrow"/>
      <family val="2"/>
    </font>
    <font>
      <sz val="11"/>
      <color theme="1"/>
      <name val="Calibri"/>
      <family val="2"/>
    </font>
    <font>
      <b/>
      <sz val="11"/>
      <color theme="1"/>
      <name val="Calibri"/>
      <family val="2"/>
    </font>
    <font>
      <sz val="11"/>
      <color rgb="FF000000"/>
      <name val="Calibri"/>
      <family val="2"/>
    </font>
    <font>
      <b/>
      <sz val="10"/>
      <name val="Arial"/>
      <family val="2"/>
    </font>
    <font>
      <sz val="10"/>
      <color theme="0"/>
      <name val="Arial"/>
      <family val="2"/>
    </font>
    <font>
      <sz val="10"/>
      <color rgb="FF000000"/>
      <name val="Calibri"/>
      <family val="2"/>
    </font>
    <font>
      <sz val="10"/>
      <color rgb="FF000000"/>
      <name val="Arial"/>
      <family val="2"/>
    </font>
    <font>
      <sz val="8"/>
      <color rgb="FF000000"/>
      <name val="Arial"/>
      <family val="2"/>
    </font>
    <font>
      <b/>
      <sz val="10"/>
      <color rgb="FF000000"/>
      <name val="Arial"/>
      <family val="2"/>
    </font>
    <font>
      <sz val="9"/>
      <color rgb="FF000000"/>
      <name val="Arial"/>
      <family val="2"/>
    </font>
    <font>
      <sz val="8"/>
      <color rgb="FF000000"/>
      <name val="Calibri"/>
      <family val="2"/>
      <scheme val="minor"/>
    </font>
    <font>
      <b/>
      <sz val="11"/>
      <color rgb="FF000000"/>
      <name val="Calibri"/>
      <family val="2"/>
    </font>
    <font>
      <b/>
      <sz val="11"/>
      <name val="Calibri"/>
      <family val="2"/>
    </font>
    <font>
      <b/>
      <sz val="10"/>
      <color theme="0"/>
      <name val="Arial"/>
      <family val="2"/>
    </font>
    <font>
      <b/>
      <sz val="9"/>
      <name val="Arial"/>
      <family val="2"/>
    </font>
    <font>
      <b/>
      <sz val="9"/>
      <color rgb="FF000000"/>
      <name val="Arial"/>
      <family val="2"/>
    </font>
    <font>
      <sz val="11"/>
      <color rgb="FF000000"/>
      <name val="Arial"/>
      <family val="2"/>
    </font>
    <font>
      <sz val="12"/>
      <color theme="0"/>
      <name val="Arial"/>
      <family val="2"/>
    </font>
    <font>
      <b/>
      <sz val="12"/>
      <color theme="0"/>
      <name val="Arial"/>
      <family val="2"/>
    </font>
    <font>
      <sz val="8"/>
      <name val="Arial Narrow"/>
      <family val="2"/>
    </font>
    <font>
      <sz val="11"/>
      <color theme="1"/>
      <name val="Calibri"/>
      <scheme val="minor"/>
    </font>
    <font>
      <sz val="11"/>
      <color rgb="FF242424"/>
      <name val="Calibri"/>
      <family val="2"/>
      <scheme val="minor"/>
    </font>
    <font>
      <sz val="10"/>
      <color rgb="FF333333"/>
      <name val="Arial"/>
      <family val="2"/>
    </font>
    <font>
      <sz val="8"/>
      <color theme="1"/>
      <name val="Arial Narrow"/>
      <family val="2"/>
    </font>
    <font>
      <sz val="8"/>
      <color rgb="FF000000"/>
      <name val="Arial Narrow"/>
      <family val="2"/>
    </font>
    <font>
      <b/>
      <sz val="8"/>
      <color rgb="FF000000"/>
      <name val="Arial Narrow"/>
      <family val="2"/>
    </font>
    <font>
      <sz val="8"/>
      <color rgb="FF980000"/>
      <name val="Arial Narrow"/>
      <family val="2"/>
    </font>
    <font>
      <sz val="8"/>
      <color rgb="FF242424"/>
      <name val="Calibri"/>
      <family val="2"/>
      <scheme val="minor"/>
    </font>
    <font>
      <sz val="11"/>
      <color rgb="FF000000"/>
      <name val="Calibri"/>
      <scheme val="minor"/>
    </font>
    <font>
      <sz val="11"/>
      <color rgb="FF000000"/>
      <name val="Arial Narrow"/>
      <family val="2"/>
    </font>
    <font>
      <sz val="11"/>
      <name val="Calibri"/>
      <family val="2"/>
    </font>
    <font>
      <sz val="11"/>
      <color rgb="FF000000"/>
      <name val="Calibri"/>
      <family val="2"/>
      <scheme val="minor"/>
    </font>
    <font>
      <b/>
      <sz val="10"/>
      <color theme="1"/>
      <name val="Calibri"/>
      <family val="2"/>
      <scheme val="minor"/>
    </font>
    <font>
      <sz val="10"/>
      <color theme="1"/>
      <name val="Calibri"/>
      <family val="2"/>
      <scheme val="minor"/>
    </font>
  </fonts>
  <fills count="40">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D8D8D8"/>
        <bgColor rgb="FFD8D8D8"/>
      </patternFill>
    </fill>
    <fill>
      <patternFill patternType="solid">
        <fgColor rgb="FFFFFFFF"/>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4.9989318521683403E-2"/>
        <bgColor rgb="FFDBE5F1"/>
      </patternFill>
    </fill>
    <fill>
      <patternFill patternType="solid">
        <fgColor theme="0" tint="-0.14999847407452621"/>
        <bgColor rgb="FFDBE5F1"/>
      </patternFill>
    </fill>
    <fill>
      <patternFill patternType="solid">
        <fgColor theme="0" tint="-4.9989318521683403E-2"/>
        <bgColor rgb="FFD8D8D8"/>
      </patternFill>
    </fill>
    <fill>
      <patternFill patternType="solid">
        <fgColor theme="0" tint="-4.9989318521683403E-2"/>
        <bgColor rgb="FFB8CCE4"/>
      </patternFill>
    </fill>
    <fill>
      <patternFill patternType="solid">
        <fgColor theme="0" tint="-4.9989318521683403E-2"/>
        <bgColor rgb="FFFFFFFF"/>
      </patternFill>
    </fill>
    <fill>
      <patternFill patternType="solid">
        <fgColor theme="0"/>
        <bgColor rgb="FFFFFFFF"/>
      </patternFill>
    </fill>
    <fill>
      <patternFill patternType="solid">
        <fgColor theme="0"/>
        <bgColor rgb="FFB8CCE4"/>
      </patternFill>
    </fill>
    <fill>
      <patternFill patternType="solid">
        <fgColor theme="9" tint="0.59999389629810485"/>
        <bgColor indexed="64"/>
      </patternFill>
    </fill>
    <fill>
      <patternFill patternType="solid">
        <fgColor theme="0" tint="-4.9989318521683403E-2"/>
        <bgColor rgb="FF000000"/>
      </patternFill>
    </fill>
    <fill>
      <patternFill patternType="solid">
        <fgColor rgb="FFD9D9D9"/>
        <bgColor rgb="FF000000"/>
      </patternFill>
    </fill>
    <fill>
      <patternFill patternType="solid">
        <fgColor rgb="FFFFFFFF"/>
        <bgColor rgb="FF000000"/>
      </patternFill>
    </fill>
    <fill>
      <patternFill patternType="solid">
        <fgColor rgb="FFF2F2F2"/>
        <bgColor rgb="FFDBE5F1"/>
      </patternFill>
    </fill>
    <fill>
      <patternFill patternType="solid">
        <fgColor rgb="FFFFFFFF"/>
        <bgColor rgb="FFDBE5F1"/>
      </patternFill>
    </fill>
    <fill>
      <patternFill patternType="solid">
        <fgColor rgb="FFD9D9D9"/>
        <bgColor rgb="FFD8D8D8"/>
      </patternFill>
    </fill>
    <fill>
      <patternFill patternType="solid">
        <fgColor rgb="FFFCE4D6"/>
        <bgColor rgb="FF000000"/>
      </patternFill>
    </fill>
    <fill>
      <patternFill patternType="solid">
        <fgColor theme="0" tint="-0.14999847407452621"/>
        <bgColor theme="4" tint="0.79998168889431442"/>
      </patternFill>
    </fill>
    <fill>
      <patternFill patternType="solid">
        <fgColor theme="9" tint="0.79998168889431442"/>
        <bgColor theme="0"/>
      </patternFill>
    </fill>
    <fill>
      <patternFill patternType="solid">
        <fgColor theme="9" tint="0.79998168889431442"/>
        <bgColor rgb="FFFFFFFF"/>
      </patternFill>
    </fill>
    <fill>
      <patternFill patternType="solid">
        <fgColor rgb="FFF2F2F2"/>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CCCCCC"/>
        <bgColor rgb="FFCCCCCC"/>
      </patternFill>
    </fill>
    <fill>
      <patternFill patternType="solid">
        <fgColor rgb="FFC00000"/>
        <bgColor indexed="64"/>
      </patternFill>
    </fill>
    <fill>
      <patternFill patternType="solid">
        <fgColor rgb="FFFFF2CC"/>
        <bgColor indexed="64"/>
      </patternFill>
    </fill>
    <fill>
      <patternFill patternType="solid">
        <fgColor theme="0" tint="-0.14999847407452621"/>
        <bgColor theme="0"/>
      </patternFill>
    </fill>
    <fill>
      <patternFill patternType="solid">
        <fgColor rgb="FFFFFF00"/>
        <bgColor indexed="64"/>
      </patternFill>
    </fill>
    <fill>
      <patternFill patternType="solid">
        <fgColor theme="0"/>
        <bgColor rgb="FFDBE5F1"/>
      </patternFill>
    </fill>
    <fill>
      <patternFill patternType="solid">
        <fgColor rgb="FFF9F9F9"/>
        <bgColor indexed="64"/>
      </patternFill>
    </fill>
    <fill>
      <patternFill patternType="solid">
        <fgColor rgb="FFFFFF00"/>
        <bgColor rgb="FFDBE5F1"/>
      </patternFill>
    </fill>
    <fill>
      <patternFill patternType="solid">
        <fgColor rgb="FFFFFF00"/>
        <bgColor rgb="FF000000"/>
      </patternFill>
    </fill>
    <fill>
      <patternFill patternType="solid">
        <fgColor theme="0"/>
        <bgColor rgb="FF000000"/>
      </patternFill>
    </fill>
  </fills>
  <borders count="28">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right style="thin">
        <color rgb="FF000000"/>
      </right>
      <top style="thin">
        <color rgb="FF000000"/>
      </top>
      <bottom/>
      <diagonal/>
    </border>
    <border>
      <left style="thin">
        <color rgb="FF000000"/>
      </left>
      <right style="thin">
        <color rgb="FF000000"/>
      </right>
      <top style="thin">
        <color indexed="64"/>
      </top>
      <bottom/>
      <diagonal/>
    </border>
    <border>
      <left/>
      <right style="thin">
        <color rgb="FF000000"/>
      </right>
      <top/>
      <bottom style="thin">
        <color rgb="FF000000"/>
      </bottom>
      <diagonal/>
    </border>
    <border>
      <left/>
      <right style="thin">
        <color indexed="64"/>
      </right>
      <top/>
      <bottom style="thin">
        <color indexed="64"/>
      </bottom>
      <diagonal/>
    </border>
    <border>
      <left/>
      <right/>
      <top/>
      <bottom style="thin">
        <color indexed="64"/>
      </bottom>
      <diagonal/>
    </border>
    <border>
      <left style="thin">
        <color rgb="FF000000"/>
      </left>
      <right style="thin">
        <color rgb="FF000000"/>
      </right>
      <top/>
      <bottom style="thin">
        <color indexed="64"/>
      </bottom>
      <diagonal/>
    </border>
  </borders>
  <cellStyleXfs count="16">
    <xf numFmtId="0" fontId="0" fillId="0" borderId="0"/>
    <xf numFmtId="0" fontId="11" fillId="0" borderId="0" applyNumberFormat="0" applyFill="0" applyBorder="0" applyAlignment="0" applyProtection="0"/>
    <xf numFmtId="0" fontId="3" fillId="0" borderId="8"/>
    <xf numFmtId="0" fontId="11" fillId="0" borderId="8" applyNumberFormat="0" applyFill="0" applyBorder="0" applyAlignment="0" applyProtection="0"/>
    <xf numFmtId="0" fontId="13" fillId="0" borderId="8"/>
    <xf numFmtId="0" fontId="20" fillId="0" borderId="8"/>
    <xf numFmtId="0" fontId="2" fillId="0" borderId="8"/>
    <xf numFmtId="0" fontId="11" fillId="0" borderId="8" applyNumberFormat="0" applyFill="0" applyBorder="0" applyAlignment="0" applyProtection="0"/>
    <xf numFmtId="43" fontId="2" fillId="0" borderId="8" applyFont="0" applyFill="0" applyBorder="0" applyAlignment="0" applyProtection="0"/>
    <xf numFmtId="41" fontId="2" fillId="0" borderId="8" applyFont="0" applyFill="0" applyBorder="0" applyAlignment="0" applyProtection="0"/>
    <xf numFmtId="9" fontId="2" fillId="0" borderId="8" applyFont="0" applyFill="0" applyBorder="0" applyAlignment="0" applyProtection="0"/>
    <xf numFmtId="0" fontId="20" fillId="0" borderId="8"/>
    <xf numFmtId="41" fontId="20" fillId="0" borderId="8" applyFont="0" applyFill="0" applyBorder="0" applyAlignment="0" applyProtection="0"/>
    <xf numFmtId="0" fontId="1" fillId="0" borderId="8"/>
    <xf numFmtId="43" fontId="46" fillId="0" borderId="0" applyFont="0" applyFill="0" applyBorder="0" applyAlignment="0" applyProtection="0"/>
    <xf numFmtId="41" fontId="46" fillId="0" borderId="0" applyFont="0" applyFill="0" applyBorder="0" applyAlignment="0" applyProtection="0"/>
  </cellStyleXfs>
  <cellXfs count="836">
    <xf numFmtId="0" fontId="0" fillId="0" borderId="0" xfId="0"/>
    <xf numFmtId="0" fontId="4" fillId="0" borderId="0" xfId="0" applyFont="1"/>
    <xf numFmtId="49" fontId="4" fillId="0" borderId="0" xfId="0" applyNumberFormat="1" applyFont="1" applyAlignment="1">
      <alignment vertical="center" wrapText="1"/>
    </xf>
    <xf numFmtId="49" fontId="4" fillId="0" borderId="0" xfId="0" applyNumberFormat="1" applyFont="1" applyAlignment="1">
      <alignment horizontal="left" vertical="center" wrapText="1"/>
    </xf>
    <xf numFmtId="0" fontId="5" fillId="0" borderId="8" xfId="0" applyFont="1" applyBorder="1" applyAlignment="1">
      <alignment horizontal="center" vertical="center" wrapText="1"/>
    </xf>
    <xf numFmtId="164" fontId="4" fillId="0" borderId="8" xfId="0" applyNumberFormat="1" applyFont="1" applyBorder="1" applyAlignment="1">
      <alignment vertical="center" wrapText="1"/>
    </xf>
    <xf numFmtId="164" fontId="4" fillId="3" borderId="8" xfId="0" applyNumberFormat="1" applyFont="1" applyFill="1" applyBorder="1" applyAlignment="1">
      <alignment vertical="center"/>
    </xf>
    <xf numFmtId="0" fontId="4" fillId="3" borderId="8" xfId="0" applyFont="1" applyFill="1" applyBorder="1" applyAlignment="1">
      <alignment horizontal="right" vertical="center" wrapText="1"/>
    </xf>
    <xf numFmtId="0" fontId="4" fillId="0" borderId="8" xfId="0" applyFont="1" applyBorder="1" applyAlignment="1">
      <alignment horizontal="right" vertical="center" wrapText="1"/>
    </xf>
    <xf numFmtId="0" fontId="4" fillId="2" borderId="8" xfId="0" applyFont="1" applyFill="1" applyBorder="1"/>
    <xf numFmtId="0" fontId="5" fillId="2" borderId="8" xfId="0" applyFont="1" applyFill="1" applyBorder="1" applyAlignment="1">
      <alignment horizontal="left"/>
    </xf>
    <xf numFmtId="3" fontId="5" fillId="3" borderId="8" xfId="0" applyNumberFormat="1" applyFont="1" applyFill="1" applyBorder="1" applyAlignment="1">
      <alignment horizontal="center" vertical="center"/>
    </xf>
    <xf numFmtId="0" fontId="4" fillId="0" borderId="8" xfId="0" applyFont="1" applyBorder="1"/>
    <xf numFmtId="0" fontId="4" fillId="0" borderId="6" xfId="0" applyFont="1" applyBorder="1" applyAlignment="1">
      <alignment horizontal="left" vertical="center" wrapText="1"/>
    </xf>
    <xf numFmtId="165" fontId="5" fillId="6" borderId="6" xfId="0" applyNumberFormat="1" applyFont="1" applyFill="1" applyBorder="1" applyAlignment="1">
      <alignment vertical="center" wrapText="1"/>
    </xf>
    <xf numFmtId="0" fontId="5" fillId="0" borderId="12" xfId="0" applyFont="1" applyBorder="1" applyAlignment="1">
      <alignment horizontal="center" vertical="center" wrapText="1"/>
    </xf>
    <xf numFmtId="0" fontId="4" fillId="0" borderId="12" xfId="0" applyFont="1" applyBorder="1" applyAlignment="1">
      <alignment horizontal="left" vertical="center" wrapText="1"/>
    </xf>
    <xf numFmtId="164" fontId="4" fillId="0" borderId="12" xfId="0" applyNumberFormat="1" applyFont="1" applyBorder="1" applyAlignment="1">
      <alignment horizontal="center" vertical="center" wrapText="1"/>
    </xf>
    <xf numFmtId="0" fontId="6" fillId="0" borderId="12" xfId="0" applyFont="1" applyBorder="1" applyAlignment="1">
      <alignment horizontal="left" vertical="center" wrapText="1"/>
    </xf>
    <xf numFmtId="164" fontId="4" fillId="3" borderId="12" xfId="0" applyNumberFormat="1" applyFont="1" applyFill="1" applyBorder="1" applyAlignment="1">
      <alignment horizontal="center" vertical="center"/>
    </xf>
    <xf numFmtId="0" fontId="4" fillId="0" borderId="12" xfId="0" applyFont="1" applyBorder="1" applyAlignment="1">
      <alignment vertical="center" wrapText="1"/>
    </xf>
    <xf numFmtId="0" fontId="4" fillId="2" borderId="12" xfId="0" applyFont="1" applyFill="1" applyBorder="1" applyAlignment="1">
      <alignment horizontal="left" vertical="center" wrapText="1"/>
    </xf>
    <xf numFmtId="165" fontId="5" fillId="6" borderId="12" xfId="0" applyNumberFormat="1" applyFont="1" applyFill="1" applyBorder="1" applyAlignment="1">
      <alignment vertical="center" wrapText="1"/>
    </xf>
    <xf numFmtId="0" fontId="4" fillId="2" borderId="14" xfId="0" applyFont="1" applyFill="1" applyBorder="1" applyAlignment="1">
      <alignment horizontal="left" vertical="center" wrapText="1"/>
    </xf>
    <xf numFmtId="0" fontId="7" fillId="2" borderId="8" xfId="0" applyFont="1" applyFill="1" applyBorder="1" applyAlignment="1">
      <alignment horizontal="left" vertical="top" wrapText="1"/>
    </xf>
    <xf numFmtId="3" fontId="8" fillId="7" borderId="3" xfId="0" applyNumberFormat="1" applyFont="1" applyFill="1" applyBorder="1" applyAlignment="1">
      <alignment horizontal="center" vertical="top"/>
    </xf>
    <xf numFmtId="0" fontId="9" fillId="0" borderId="2" xfId="0" applyFont="1" applyFill="1" applyBorder="1" applyAlignment="1">
      <alignment vertical="top" wrapText="1"/>
    </xf>
    <xf numFmtId="0" fontId="4" fillId="0" borderId="0" xfId="0" applyFont="1" applyAlignment="1">
      <alignment horizontal="center" vertical="center" wrapText="1"/>
    </xf>
    <xf numFmtId="0" fontId="4" fillId="0" borderId="0" xfId="0" applyFont="1" applyAlignment="1">
      <alignment horizontal="left"/>
    </xf>
    <xf numFmtId="0" fontId="5" fillId="0" borderId="0" xfId="0" applyFont="1" applyAlignment="1"/>
    <xf numFmtId="0" fontId="5" fillId="0" borderId="0" xfId="0" applyFont="1" applyAlignment="1">
      <alignment horizontal="center"/>
    </xf>
    <xf numFmtId="0" fontId="4" fillId="0" borderId="0" xfId="0" applyFont="1" applyAlignment="1"/>
    <xf numFmtId="0" fontId="5" fillId="9" borderId="12" xfId="0" applyFont="1" applyFill="1" applyBorder="1" applyAlignment="1">
      <alignment horizontal="center" vertical="center" wrapText="1"/>
    </xf>
    <xf numFmtId="0" fontId="5" fillId="9" borderId="12" xfId="0" applyFont="1" applyFill="1" applyBorder="1" applyAlignment="1">
      <alignment horizontal="left" vertical="center" wrapText="1"/>
    </xf>
    <xf numFmtId="0" fontId="5" fillId="9" borderId="6" xfId="0" applyFont="1" applyFill="1" applyBorder="1" applyAlignment="1">
      <alignment horizontal="left" vertical="center" wrapText="1"/>
    </xf>
    <xf numFmtId="3" fontId="4" fillId="0" borderId="12" xfId="0" applyNumberFormat="1" applyFont="1" applyBorder="1" applyAlignment="1">
      <alignment horizontal="center" vertical="center"/>
    </xf>
    <xf numFmtId="0" fontId="4" fillId="0" borderId="12" xfId="0" applyFont="1" applyBorder="1"/>
    <xf numFmtId="3" fontId="4" fillId="0" borderId="8" xfId="0" applyNumberFormat="1" applyFont="1" applyBorder="1" applyAlignment="1">
      <alignment vertical="center"/>
    </xf>
    <xf numFmtId="165" fontId="14" fillId="0" borderId="8" xfId="0" applyNumberFormat="1" applyFont="1" applyBorder="1"/>
    <xf numFmtId="0" fontId="5" fillId="4" borderId="2" xfId="0" applyFont="1" applyFill="1" applyBorder="1" applyAlignment="1">
      <alignment horizontal="center" vertical="center"/>
    </xf>
    <xf numFmtId="0" fontId="5" fillId="6" borderId="2" xfId="0" applyFont="1" applyFill="1" applyBorder="1" applyAlignment="1">
      <alignment horizontal="center" vertical="center"/>
    </xf>
    <xf numFmtId="0" fontId="4" fillId="4" borderId="2" xfId="0" applyFont="1" applyFill="1" applyBorder="1" applyAlignment="1">
      <alignment wrapText="1"/>
    </xf>
    <xf numFmtId="0" fontId="14" fillId="0" borderId="3" xfId="0" applyFont="1" applyBorder="1" applyAlignment="1">
      <alignment vertical="center" wrapText="1"/>
    </xf>
    <xf numFmtId="3" fontId="6" fillId="0" borderId="3" xfId="0" applyNumberFormat="1" applyFont="1" applyBorder="1" applyAlignment="1">
      <alignment horizontal="center" vertical="center"/>
    </xf>
    <xf numFmtId="3" fontId="6" fillId="5" borderId="3" xfId="0" applyNumberFormat="1" applyFont="1" applyFill="1" applyBorder="1" applyAlignment="1">
      <alignment horizontal="center" vertical="center"/>
    </xf>
    <xf numFmtId="3" fontId="6" fillId="7" borderId="3" xfId="0" applyNumberFormat="1" applyFont="1" applyFill="1" applyBorder="1" applyAlignment="1">
      <alignment horizontal="center" vertical="center"/>
    </xf>
    <xf numFmtId="0" fontId="14" fillId="0" borderId="12" xfId="0" applyFont="1" applyBorder="1" applyAlignment="1">
      <alignment vertical="center"/>
    </xf>
    <xf numFmtId="3" fontId="6" fillId="0" borderId="12" xfId="0" applyNumberFormat="1" applyFont="1" applyBorder="1" applyAlignment="1">
      <alignment horizontal="center" vertical="center"/>
    </xf>
    <xf numFmtId="3" fontId="6" fillId="7" borderId="12" xfId="0" applyNumberFormat="1" applyFont="1" applyFill="1" applyBorder="1" applyAlignment="1">
      <alignment horizontal="center" vertical="center"/>
    </xf>
    <xf numFmtId="0" fontId="7" fillId="9" borderId="9" xfId="0" applyFont="1" applyFill="1" applyBorder="1" applyAlignment="1">
      <alignment vertical="center" wrapText="1"/>
    </xf>
    <xf numFmtId="3" fontId="12" fillId="8" borderId="17" xfId="0" applyNumberFormat="1" applyFont="1" applyFill="1" applyBorder="1" applyAlignment="1">
      <alignment horizontal="center" vertical="center"/>
    </xf>
    <xf numFmtId="0" fontId="5" fillId="11" borderId="14" xfId="0" applyFont="1" applyFill="1" applyBorder="1"/>
    <xf numFmtId="3" fontId="5" fillId="8" borderId="12" xfId="0" applyNumberFormat="1" applyFont="1" applyFill="1" applyBorder="1" applyAlignment="1">
      <alignment horizontal="center"/>
    </xf>
    <xf numFmtId="0" fontId="5" fillId="11" borderId="10" xfId="0" applyFont="1" applyFill="1" applyBorder="1"/>
    <xf numFmtId="10" fontId="5" fillId="8" borderId="12" xfId="0" applyNumberFormat="1" applyFont="1" applyFill="1" applyBorder="1" applyAlignment="1">
      <alignment horizontal="center"/>
    </xf>
    <xf numFmtId="0" fontId="4" fillId="0" borderId="0" xfId="0" applyFont="1" applyAlignment="1">
      <alignment horizontal="right" vertical="center"/>
    </xf>
    <xf numFmtId="0" fontId="16" fillId="0" borderId="8" xfId="3" applyFont="1" applyAlignment="1">
      <alignment vertical="center"/>
    </xf>
    <xf numFmtId="0" fontId="4" fillId="0" borderId="0" xfId="0" applyFont="1" applyAlignment="1">
      <alignment horizontal="right"/>
    </xf>
    <xf numFmtId="3" fontId="14" fillId="0" borderId="17" xfId="0" applyNumberFormat="1" applyFont="1" applyBorder="1"/>
    <xf numFmtId="0" fontId="15" fillId="8" borderId="2" xfId="0" applyFont="1" applyFill="1" applyBorder="1" applyAlignment="1">
      <alignment horizontal="center" vertical="top" wrapText="1"/>
    </xf>
    <xf numFmtId="0" fontId="8" fillId="0" borderId="0" xfId="0" applyFont="1"/>
    <xf numFmtId="49" fontId="8" fillId="0" borderId="0" xfId="0" applyNumberFormat="1" applyFont="1" applyAlignment="1">
      <alignment vertical="top" wrapText="1"/>
    </xf>
    <xf numFmtId="49" fontId="8" fillId="0" borderId="0" xfId="0" applyNumberFormat="1" applyFont="1" applyAlignment="1">
      <alignment horizontal="left" vertical="top" wrapText="1"/>
    </xf>
    <xf numFmtId="0" fontId="8" fillId="0" borderId="0" xfId="0" applyFont="1" applyAlignment="1">
      <alignment vertical="top"/>
    </xf>
    <xf numFmtId="49" fontId="8" fillId="0" borderId="0" xfId="0" applyNumberFormat="1" applyFont="1" applyAlignment="1">
      <alignment vertical="center" wrapText="1"/>
    </xf>
    <xf numFmtId="0" fontId="8" fillId="0" borderId="0" xfId="0" applyFont="1" applyAlignment="1">
      <alignment vertical="center" wrapText="1"/>
    </xf>
    <xf numFmtId="0" fontId="8" fillId="0" borderId="0" xfId="0" applyFont="1" applyAlignment="1">
      <alignment horizontal="right" vertical="center"/>
    </xf>
    <xf numFmtId="0" fontId="17" fillId="0" borderId="8" xfId="3" applyFont="1" applyAlignment="1">
      <alignment vertical="center"/>
    </xf>
    <xf numFmtId="0" fontId="7" fillId="0" borderId="0" xfId="0" applyFont="1" applyAlignment="1">
      <alignment horizontal="center" vertical="top"/>
    </xf>
    <xf numFmtId="0" fontId="8" fillId="0" borderId="0" xfId="0" applyFont="1" applyAlignment="1">
      <alignment horizontal="right"/>
    </xf>
    <xf numFmtId="0" fontId="9" fillId="2" borderId="8" xfId="0" applyFont="1" applyFill="1" applyBorder="1" applyAlignment="1">
      <alignment horizontal="left" vertical="top"/>
    </xf>
    <xf numFmtId="0" fontId="8" fillId="0" borderId="0" xfId="0" applyFont="1" applyAlignment="1">
      <alignment horizontal="left" vertical="top"/>
    </xf>
    <xf numFmtId="0" fontId="8" fillId="2" borderId="8" xfId="0" applyFont="1" applyFill="1" applyBorder="1"/>
    <xf numFmtId="0" fontId="8" fillId="2" borderId="8" xfId="0" applyFont="1" applyFill="1" applyBorder="1" applyAlignment="1">
      <alignment vertical="top"/>
    </xf>
    <xf numFmtId="0" fontId="8" fillId="0" borderId="3" xfId="0" applyFont="1" applyBorder="1" applyAlignment="1">
      <alignment horizontal="left" vertical="top" wrapText="1"/>
    </xf>
    <xf numFmtId="0" fontId="8" fillId="0" borderId="8" xfId="0" applyFont="1" applyBorder="1"/>
    <xf numFmtId="0" fontId="15" fillId="0" borderId="8" xfId="0" applyFont="1" applyBorder="1" applyAlignment="1">
      <alignment vertical="top"/>
    </xf>
    <xf numFmtId="0" fontId="8" fillId="0" borderId="8" xfId="0" applyFont="1" applyBorder="1" applyAlignment="1">
      <alignment vertical="top"/>
    </xf>
    <xf numFmtId="0" fontId="8" fillId="0" borderId="8" xfId="0" applyFont="1" applyBorder="1" applyAlignment="1">
      <alignment horizontal="left" vertical="top"/>
    </xf>
    <xf numFmtId="0" fontId="7" fillId="12" borderId="12" xfId="0" applyFont="1" applyFill="1" applyBorder="1" applyAlignment="1">
      <alignment horizontal="left" vertical="top" wrapText="1"/>
    </xf>
    <xf numFmtId="0" fontId="7" fillId="15" borderId="8" xfId="0" applyFont="1" applyFill="1" applyBorder="1" applyAlignment="1">
      <alignment horizontal="left" vertical="top" wrapText="1"/>
    </xf>
    <xf numFmtId="0" fontId="9" fillId="0" borderId="7" xfId="0" applyFont="1" applyFill="1" applyBorder="1" applyAlignment="1">
      <alignment vertical="top" wrapText="1"/>
    </xf>
    <xf numFmtId="3" fontId="15" fillId="7" borderId="3" xfId="0" applyNumberFormat="1" applyFont="1" applyFill="1" applyBorder="1" applyAlignment="1">
      <alignment horizontal="center" vertical="top" wrapText="1"/>
    </xf>
    <xf numFmtId="0" fontId="9" fillId="0" borderId="12" xfId="0" applyFont="1" applyFill="1" applyBorder="1" applyAlignment="1">
      <alignment horizontal="left" vertical="top" wrapText="1"/>
    </xf>
    <xf numFmtId="0" fontId="18" fillId="0" borderId="12" xfId="1" applyFont="1" applyFill="1" applyBorder="1" applyAlignment="1">
      <alignment vertical="top" wrapText="1"/>
    </xf>
    <xf numFmtId="0" fontId="10" fillId="0" borderId="12" xfId="0" applyFont="1" applyFill="1" applyBorder="1" applyAlignment="1">
      <alignment horizontal="left" vertical="top" wrapText="1"/>
    </xf>
    <xf numFmtId="0" fontId="8" fillId="0" borderId="12" xfId="0" applyFont="1" applyBorder="1" applyAlignment="1">
      <alignment horizontal="center" vertical="center"/>
    </xf>
    <xf numFmtId="0" fontId="10" fillId="0" borderId="12" xfId="0" applyFont="1" applyFill="1" applyBorder="1" applyAlignment="1">
      <alignment vertical="top" wrapText="1"/>
    </xf>
    <xf numFmtId="0" fontId="9" fillId="0" borderId="12" xfId="0" applyFont="1" applyFill="1" applyBorder="1" applyAlignment="1">
      <alignment vertical="top" wrapText="1"/>
    </xf>
    <xf numFmtId="0" fontId="8" fillId="0" borderId="17" xfId="0" applyFont="1" applyBorder="1" applyAlignment="1">
      <alignment horizontal="center" vertical="center"/>
    </xf>
    <xf numFmtId="0" fontId="15" fillId="7" borderId="3" xfId="0" applyFont="1" applyFill="1" applyBorder="1" applyAlignment="1">
      <alignment horizontal="center" vertical="top" wrapText="1"/>
    </xf>
    <xf numFmtId="0" fontId="8" fillId="0" borderId="5" xfId="0" applyFont="1" applyBorder="1" applyAlignment="1">
      <alignment horizontal="left" vertical="top" wrapText="1"/>
    </xf>
    <xf numFmtId="3" fontId="8" fillId="7" borderId="10" xfId="0" applyNumberFormat="1" applyFont="1" applyFill="1" applyBorder="1" applyAlignment="1">
      <alignment horizontal="center" vertical="top"/>
    </xf>
    <xf numFmtId="0" fontId="9" fillId="0" borderId="17" xfId="0" applyFont="1" applyFill="1" applyBorder="1" applyAlignment="1">
      <alignment vertical="top" wrapText="1"/>
    </xf>
    <xf numFmtId="0" fontId="10" fillId="0" borderId="17" xfId="0" applyFont="1" applyFill="1" applyBorder="1" applyAlignment="1">
      <alignment vertical="top" wrapText="1"/>
    </xf>
    <xf numFmtId="0" fontId="18" fillId="0" borderId="17" xfId="1" applyFont="1" applyFill="1" applyBorder="1" applyAlignment="1">
      <alignment vertical="top" wrapText="1"/>
    </xf>
    <xf numFmtId="0" fontId="5" fillId="3" borderId="8" xfId="0" applyFont="1" applyFill="1" applyBorder="1" applyAlignment="1">
      <alignment horizontal="center" vertical="center" wrapText="1"/>
    </xf>
    <xf numFmtId="0" fontId="5" fillId="3" borderId="8" xfId="0" applyFont="1" applyFill="1" applyBorder="1" applyAlignment="1">
      <alignment horizontal="left" vertical="center" wrapText="1"/>
    </xf>
    <xf numFmtId="3" fontId="5" fillId="3" borderId="8" xfId="0" applyNumberFormat="1" applyFont="1" applyFill="1" applyBorder="1" applyAlignment="1">
      <alignment horizontal="left" vertical="center" wrapText="1"/>
    </xf>
    <xf numFmtId="0" fontId="5" fillId="3" borderId="8" xfId="0" applyFont="1" applyFill="1" applyBorder="1" applyAlignment="1">
      <alignment vertical="center" wrapText="1"/>
    </xf>
    <xf numFmtId="0" fontId="14" fillId="5" borderId="2" xfId="0" applyFont="1" applyFill="1" applyBorder="1" applyAlignment="1">
      <alignment horizontal="left" vertical="center" wrapText="1"/>
    </xf>
    <xf numFmtId="3" fontId="4" fillId="7" borderId="12" xfId="0" applyNumberFormat="1" applyFont="1" applyFill="1" applyBorder="1" applyAlignment="1">
      <alignment horizontal="left" vertical="center"/>
    </xf>
    <xf numFmtId="0" fontId="14" fillId="5" borderId="2" xfId="0" applyFont="1" applyFill="1" applyBorder="1" applyAlignment="1">
      <alignment wrapText="1"/>
    </xf>
    <xf numFmtId="0" fontId="14" fillId="5" borderId="2" xfId="0" applyFont="1" applyFill="1" applyBorder="1" applyAlignment="1">
      <alignment vertical="center" wrapText="1"/>
    </xf>
    <xf numFmtId="0" fontId="14" fillId="5" borderId="2" xfId="0" applyFont="1" applyFill="1" applyBorder="1"/>
    <xf numFmtId="0" fontId="14" fillId="5" borderId="5" xfId="0" applyFont="1" applyFill="1" applyBorder="1"/>
    <xf numFmtId="0" fontId="4" fillId="0" borderId="7" xfId="0" applyFont="1" applyBorder="1" applyAlignment="1">
      <alignment horizontal="left" vertical="center"/>
    </xf>
    <xf numFmtId="0" fontId="14" fillId="5" borderId="2" xfId="0" applyFont="1" applyFill="1" applyBorder="1" applyAlignment="1">
      <alignment horizontal="left"/>
    </xf>
    <xf numFmtId="0" fontId="14" fillId="0" borderId="2" xfId="0" applyFont="1" applyBorder="1" applyAlignment="1">
      <alignment horizontal="left" vertical="center" wrapText="1"/>
    </xf>
    <xf numFmtId="0" fontId="14" fillId="3" borderId="2" xfId="0" applyFont="1" applyFill="1" applyBorder="1" applyAlignment="1">
      <alignment horizontal="left" vertical="center" wrapText="1"/>
    </xf>
    <xf numFmtId="0" fontId="6" fillId="0" borderId="7" xfId="0" applyFont="1" applyBorder="1" applyAlignment="1">
      <alignment horizontal="left"/>
    </xf>
    <xf numFmtId="0" fontId="14" fillId="0" borderId="5" xfId="0" applyFont="1" applyBorder="1"/>
    <xf numFmtId="0" fontId="4" fillId="2" borderId="7" xfId="0" applyFont="1" applyFill="1" applyBorder="1" applyAlignment="1">
      <alignment horizontal="left" vertical="center"/>
    </xf>
    <xf numFmtId="0" fontId="14" fillId="0" borderId="2" xfId="0" applyFont="1" applyBorder="1"/>
    <xf numFmtId="0" fontId="14" fillId="0" borderId="9" xfId="0" applyFont="1" applyBorder="1" applyAlignment="1">
      <alignment horizontal="left"/>
    </xf>
    <xf numFmtId="0" fontId="14" fillId="0" borderId="3" xfId="0" applyFont="1" applyBorder="1"/>
    <xf numFmtId="0" fontId="14" fillId="0" borderId="9" xfId="0" applyFont="1" applyBorder="1" applyAlignment="1">
      <alignment horizontal="left" wrapText="1"/>
    </xf>
    <xf numFmtId="166" fontId="4" fillId="0" borderId="7" xfId="0" applyNumberFormat="1" applyFont="1" applyBorder="1" applyAlignment="1">
      <alignment horizontal="center" vertical="center" wrapText="1"/>
    </xf>
    <xf numFmtId="166" fontId="6" fillId="0" borderId="7" xfId="0" applyNumberFormat="1" applyFont="1" applyBorder="1" applyAlignment="1">
      <alignment horizontal="center" vertical="center"/>
    </xf>
    <xf numFmtId="166" fontId="6" fillId="2" borderId="2" xfId="0" applyNumberFormat="1" applyFont="1" applyFill="1" applyBorder="1" applyAlignment="1">
      <alignment horizontal="center" vertical="center"/>
    </xf>
    <xf numFmtId="3" fontId="4" fillId="3" borderId="7" xfId="0" applyNumberFormat="1" applyFont="1" applyFill="1" applyBorder="1" applyAlignment="1">
      <alignment horizontal="center" vertical="center"/>
    </xf>
    <xf numFmtId="3" fontId="4" fillId="3" borderId="12" xfId="0" applyNumberFormat="1" applyFont="1" applyFill="1" applyBorder="1" applyAlignment="1">
      <alignment horizontal="center" vertical="center"/>
    </xf>
    <xf numFmtId="3" fontId="4" fillId="7" borderId="12" xfId="0" applyNumberFormat="1" applyFont="1" applyFill="1" applyBorder="1" applyAlignment="1">
      <alignment horizontal="center" vertical="center"/>
    </xf>
    <xf numFmtId="0" fontId="4" fillId="0" borderId="10" xfId="0" applyFont="1" applyBorder="1" applyAlignment="1">
      <alignment horizontal="center" vertical="center" wrapText="1"/>
    </xf>
    <xf numFmtId="166" fontId="4" fillId="0" borderId="2" xfId="0" applyNumberFormat="1" applyFont="1" applyBorder="1" applyAlignment="1">
      <alignment horizontal="center" vertical="center"/>
    </xf>
    <xf numFmtId="0" fontId="4" fillId="3" borderId="10" xfId="0" applyFont="1" applyFill="1" applyBorder="1" applyAlignment="1">
      <alignment horizontal="center" vertical="center" wrapText="1"/>
    </xf>
    <xf numFmtId="166" fontId="4" fillId="3" borderId="2" xfId="0" applyNumberFormat="1" applyFont="1" applyFill="1" applyBorder="1" applyAlignment="1">
      <alignment horizontal="center" vertical="center"/>
    </xf>
    <xf numFmtId="0" fontId="4" fillId="3" borderId="1" xfId="0" applyFont="1" applyFill="1" applyBorder="1" applyAlignment="1">
      <alignment horizontal="center" vertical="center" wrapText="1"/>
    </xf>
    <xf numFmtId="166" fontId="4" fillId="3" borderId="7" xfId="0" applyNumberFormat="1" applyFont="1" applyFill="1" applyBorder="1" applyAlignment="1">
      <alignment horizontal="center" vertical="center"/>
    </xf>
    <xf numFmtId="166" fontId="4" fillId="2" borderId="1" xfId="0" applyNumberFormat="1" applyFont="1" applyFill="1" applyBorder="1" applyAlignment="1">
      <alignment horizontal="center" vertical="center"/>
    </xf>
    <xf numFmtId="166" fontId="6" fillId="2" borderId="7" xfId="0" applyNumberFormat="1" applyFont="1" applyFill="1" applyBorder="1" applyAlignment="1">
      <alignment horizontal="center" vertical="center"/>
    </xf>
    <xf numFmtId="166" fontId="6" fillId="2" borderId="10" xfId="0" applyNumberFormat="1" applyFont="1" applyFill="1" applyBorder="1" applyAlignment="1">
      <alignment horizontal="center" vertical="center"/>
    </xf>
    <xf numFmtId="166" fontId="6" fillId="2" borderId="5" xfId="0" applyNumberFormat="1" applyFont="1" applyFill="1" applyBorder="1" applyAlignment="1">
      <alignment horizontal="center" vertical="center"/>
    </xf>
    <xf numFmtId="166" fontId="4" fillId="2" borderId="2" xfId="0" applyNumberFormat="1" applyFont="1" applyFill="1" applyBorder="1" applyAlignment="1">
      <alignment horizontal="center" vertical="center"/>
    </xf>
    <xf numFmtId="166" fontId="4" fillId="0" borderId="2" xfId="0" applyNumberFormat="1" applyFont="1" applyBorder="1" applyAlignment="1">
      <alignment horizontal="center" vertical="center" wrapText="1"/>
    </xf>
    <xf numFmtId="0" fontId="4" fillId="0" borderId="2" xfId="0" applyFont="1" applyBorder="1" applyAlignment="1">
      <alignment horizontal="center" vertical="center"/>
    </xf>
    <xf numFmtId="0" fontId="4" fillId="2" borderId="2" xfId="0" applyFont="1" applyFill="1" applyBorder="1" applyAlignment="1">
      <alignment horizontal="center" vertical="center"/>
    </xf>
    <xf numFmtId="166" fontId="4" fillId="2" borderId="7" xfId="0" applyNumberFormat="1" applyFont="1" applyFill="1" applyBorder="1" applyAlignment="1">
      <alignment horizontal="center" vertical="center" wrapText="1"/>
    </xf>
    <xf numFmtId="3" fontId="4" fillId="2" borderId="7" xfId="0" applyNumberFormat="1" applyFont="1" applyFill="1" applyBorder="1" applyAlignment="1">
      <alignment horizontal="center" vertical="center"/>
    </xf>
    <xf numFmtId="166" fontId="4" fillId="0" borderId="9" xfId="0" applyNumberFormat="1" applyFont="1" applyBorder="1" applyAlignment="1">
      <alignment horizontal="center" vertical="center" wrapText="1"/>
    </xf>
    <xf numFmtId="166" fontId="4" fillId="0" borderId="3" xfId="0" applyNumberFormat="1" applyFont="1" applyBorder="1" applyAlignment="1">
      <alignment horizontal="center" vertical="center"/>
    </xf>
    <xf numFmtId="3" fontId="19" fillId="3" borderId="7" xfId="0" applyNumberFormat="1" applyFont="1" applyFill="1" applyBorder="1" applyAlignment="1">
      <alignment horizontal="center" vertical="center"/>
    </xf>
    <xf numFmtId="166" fontId="6" fillId="2" borderId="6" xfId="0" applyNumberFormat="1" applyFont="1" applyFill="1" applyBorder="1" applyAlignment="1">
      <alignment horizontal="center" vertical="center"/>
    </xf>
    <xf numFmtId="166" fontId="4" fillId="0" borderId="10" xfId="0" applyNumberFormat="1" applyFont="1" applyBorder="1" applyAlignment="1">
      <alignment horizontal="center" vertical="center" wrapText="1"/>
    </xf>
    <xf numFmtId="166" fontId="4" fillId="3" borderId="3" xfId="0" applyNumberFormat="1" applyFont="1" applyFill="1" applyBorder="1" applyAlignment="1">
      <alignment horizontal="center" vertical="center"/>
    </xf>
    <xf numFmtId="3" fontId="4" fillId="3" borderId="9" xfId="0" applyNumberFormat="1" applyFont="1" applyFill="1" applyBorder="1" applyAlignment="1">
      <alignment horizontal="center" vertical="center"/>
    </xf>
    <xf numFmtId="3" fontId="4" fillId="3" borderId="16" xfId="0" applyNumberFormat="1" applyFont="1" applyFill="1" applyBorder="1" applyAlignment="1">
      <alignment horizontal="center" vertical="center"/>
    </xf>
    <xf numFmtId="3" fontId="4" fillId="7" borderId="20" xfId="0" applyNumberFormat="1" applyFont="1" applyFill="1" applyBorder="1" applyAlignment="1">
      <alignment horizontal="center" vertical="center"/>
    </xf>
    <xf numFmtId="3" fontId="4" fillId="7" borderId="14" xfId="0" applyNumberFormat="1" applyFont="1" applyFill="1" applyBorder="1" applyAlignment="1">
      <alignment horizontal="center" vertical="center"/>
    </xf>
    <xf numFmtId="0" fontId="5" fillId="10" borderId="2" xfId="0" applyFont="1" applyFill="1" applyBorder="1" applyAlignment="1">
      <alignment horizontal="left" vertical="center"/>
    </xf>
    <xf numFmtId="0" fontId="5" fillId="10" borderId="2" xfId="0" applyFont="1" applyFill="1" applyBorder="1" applyAlignment="1">
      <alignment horizontal="center" vertical="center"/>
    </xf>
    <xf numFmtId="1" fontId="5" fillId="10" borderId="2" xfId="0" applyNumberFormat="1" applyFont="1" applyFill="1" applyBorder="1" applyAlignment="1">
      <alignment horizontal="center" vertical="center" wrapText="1"/>
    </xf>
    <xf numFmtId="0" fontId="4" fillId="0" borderId="16" xfId="0" applyFont="1" applyBorder="1" applyAlignment="1">
      <alignment horizontal="left" vertical="center" wrapText="1"/>
    </xf>
    <xf numFmtId="3" fontId="4" fillId="0" borderId="16" xfId="0" applyNumberFormat="1" applyFont="1" applyBorder="1" applyAlignment="1">
      <alignment horizontal="center" vertical="center"/>
    </xf>
    <xf numFmtId="164" fontId="4" fillId="0" borderId="16" xfId="0" applyNumberFormat="1" applyFont="1" applyBorder="1" applyAlignment="1">
      <alignment horizontal="center" vertical="center" wrapText="1"/>
    </xf>
    <xf numFmtId="0" fontId="4" fillId="0" borderId="22" xfId="0" applyFont="1" applyBorder="1" applyAlignment="1">
      <alignment horizontal="left" vertical="center" wrapText="1"/>
    </xf>
    <xf numFmtId="0" fontId="6" fillId="0" borderId="8" xfId="5" applyFont="1" applyAlignment="1">
      <alignment horizontal="center" vertical="center"/>
    </xf>
    <xf numFmtId="0" fontId="4" fillId="3" borderId="8" xfId="5" applyFont="1" applyFill="1" applyBorder="1" applyAlignment="1">
      <alignment horizontal="center" vertical="center"/>
    </xf>
    <xf numFmtId="0" fontId="4" fillId="3" borderId="8" xfId="5" applyFont="1" applyFill="1" applyBorder="1" applyAlignment="1">
      <alignment horizontal="left" vertical="center"/>
    </xf>
    <xf numFmtId="0" fontId="4" fillId="3" borderId="8" xfId="5" applyFont="1" applyFill="1" applyBorder="1" applyAlignment="1">
      <alignment vertical="top"/>
    </xf>
    <xf numFmtId="0" fontId="4" fillId="0" borderId="8" xfId="5" applyFont="1" applyAlignment="1">
      <alignment horizontal="center" vertical="center"/>
    </xf>
    <xf numFmtId="0" fontId="4" fillId="0" borderId="8" xfId="5" applyFont="1"/>
    <xf numFmtId="0" fontId="4" fillId="0" borderId="8" xfId="5" applyFont="1" applyAlignment="1">
      <alignment horizontal="left" vertical="center"/>
    </xf>
    <xf numFmtId="0" fontId="4" fillId="0" borderId="8" xfId="5" applyFont="1" applyAlignment="1">
      <alignment vertical="center"/>
    </xf>
    <xf numFmtId="0" fontId="4" fillId="0" borderId="8" xfId="5" applyFont="1" applyAlignment="1">
      <alignment horizontal="right" vertical="center"/>
    </xf>
    <xf numFmtId="0" fontId="4" fillId="3" borderId="8" xfId="5" applyFont="1" applyFill="1" applyBorder="1" applyAlignment="1">
      <alignment vertical="center" wrapText="1"/>
    </xf>
    <xf numFmtId="0" fontId="4" fillId="0" borderId="8" xfId="5" applyFont="1" applyAlignment="1">
      <alignment vertical="top"/>
    </xf>
    <xf numFmtId="0" fontId="12" fillId="8" borderId="2" xfId="5" applyFont="1" applyFill="1" applyBorder="1" applyAlignment="1">
      <alignment horizontal="center" vertical="center" wrapText="1"/>
    </xf>
    <xf numFmtId="0" fontId="12" fillId="0" borderId="2" xfId="5" applyFont="1" applyBorder="1" applyAlignment="1">
      <alignment horizontal="left" vertical="center" wrapText="1"/>
    </xf>
    <xf numFmtId="3" fontId="6" fillId="7" borderId="2" xfId="5" applyNumberFormat="1" applyFont="1" applyFill="1" applyBorder="1" applyAlignment="1">
      <alignment horizontal="left" vertical="center" wrapText="1"/>
    </xf>
    <xf numFmtId="3" fontId="6" fillId="7" borderId="2" xfId="5" applyNumberFormat="1" applyFont="1" applyFill="1" applyBorder="1" applyAlignment="1">
      <alignment horizontal="center" vertical="center" wrapText="1"/>
    </xf>
    <xf numFmtId="3" fontId="6" fillId="7" borderId="2" xfId="5" applyNumberFormat="1" applyFont="1" applyFill="1" applyBorder="1" applyAlignment="1">
      <alignment vertical="top" wrapText="1"/>
    </xf>
    <xf numFmtId="3" fontId="6" fillId="7" borderId="7" xfId="5" applyNumberFormat="1" applyFont="1" applyFill="1" applyBorder="1" applyAlignment="1">
      <alignment horizontal="center" vertical="center" wrapText="1"/>
    </xf>
    <xf numFmtId="10" fontId="14" fillId="0" borderId="12" xfId="5" applyNumberFormat="1" applyFont="1" applyBorder="1" applyAlignment="1">
      <alignment horizontal="left" vertical="top"/>
    </xf>
    <xf numFmtId="0" fontId="12" fillId="6" borderId="2" xfId="5" applyFont="1" applyFill="1" applyBorder="1" applyAlignment="1">
      <alignment horizontal="center" vertical="center" wrapText="1"/>
    </xf>
    <xf numFmtId="3" fontId="5" fillId="6" borderId="2" xfId="5" applyNumberFormat="1" applyFont="1" applyFill="1" applyBorder="1" applyAlignment="1">
      <alignment horizontal="left" vertical="center" wrapText="1"/>
    </xf>
    <xf numFmtId="3" fontId="5" fillId="6" borderId="2" xfId="5" applyNumberFormat="1" applyFont="1" applyFill="1" applyBorder="1" applyAlignment="1">
      <alignment horizontal="center" vertical="center" wrapText="1"/>
    </xf>
    <xf numFmtId="3" fontId="5" fillId="6" borderId="2" xfId="5" applyNumberFormat="1" applyFont="1" applyFill="1" applyBorder="1" applyAlignment="1">
      <alignment vertical="top" wrapText="1"/>
    </xf>
    <xf numFmtId="0" fontId="4" fillId="0" borderId="8" xfId="6" applyFont="1"/>
    <xf numFmtId="0" fontId="4" fillId="0" borderId="8" xfId="6" applyFont="1" applyAlignment="1"/>
    <xf numFmtId="0" fontId="4" fillId="0" borderId="8" xfId="6" applyFont="1" applyAlignment="1">
      <alignment wrapText="1"/>
    </xf>
    <xf numFmtId="0" fontId="5" fillId="3" borderId="8" xfId="5" applyFont="1" applyFill="1" applyBorder="1" applyAlignment="1">
      <alignment vertical="center" wrapText="1"/>
    </xf>
    <xf numFmtId="0" fontId="4" fillId="0" borderId="8" xfId="6" applyFont="1" applyAlignment="1">
      <alignment vertical="center"/>
    </xf>
    <xf numFmtId="0" fontId="4" fillId="0" borderId="8" xfId="6" applyFont="1" applyBorder="1" applyAlignment="1">
      <alignment vertical="center"/>
    </xf>
    <xf numFmtId="0" fontId="4" fillId="0" borderId="8" xfId="5" applyFont="1" applyAlignment="1">
      <alignment horizontal="right"/>
    </xf>
    <xf numFmtId="0" fontId="16" fillId="0" borderId="8" xfId="7" applyFont="1" applyBorder="1" applyAlignment="1">
      <alignment vertical="top"/>
    </xf>
    <xf numFmtId="0" fontId="16" fillId="0" borderId="8" xfId="7" applyFont="1" applyBorder="1" applyAlignment="1">
      <alignment horizontal="left" vertical="top"/>
    </xf>
    <xf numFmtId="0" fontId="4" fillId="0" borderId="8" xfId="6" applyFont="1" applyBorder="1"/>
    <xf numFmtId="3" fontId="4" fillId="3" borderId="8" xfId="5" applyNumberFormat="1" applyFont="1" applyFill="1" applyBorder="1" applyAlignment="1">
      <alignment horizontal="left" vertical="center"/>
    </xf>
    <xf numFmtId="0" fontId="5" fillId="3" borderId="8" xfId="5" applyFont="1" applyFill="1" applyBorder="1" applyAlignment="1">
      <alignment horizontal="left" vertical="center" wrapText="1"/>
    </xf>
    <xf numFmtId="3" fontId="5" fillId="3" borderId="8" xfId="5" applyNumberFormat="1" applyFont="1" applyFill="1" applyBorder="1" applyAlignment="1">
      <alignment horizontal="left" vertical="center" wrapText="1"/>
    </xf>
    <xf numFmtId="0" fontId="4" fillId="0" borderId="8" xfId="5" applyFont="1" applyBorder="1" applyAlignment="1">
      <alignment horizontal="center" vertical="center"/>
    </xf>
    <xf numFmtId="43" fontId="4" fillId="0" borderId="8" xfId="5" applyNumberFormat="1" applyFont="1" applyAlignment="1">
      <alignment horizontal="center" vertical="center"/>
    </xf>
    <xf numFmtId="3" fontId="4" fillId="0" borderId="8" xfId="5" applyNumberFormat="1" applyFont="1" applyAlignment="1">
      <alignment horizontal="left" vertical="center"/>
    </xf>
    <xf numFmtId="0" fontId="4" fillId="3" borderId="8" xfId="5" applyFont="1" applyFill="1" applyAlignment="1">
      <alignment horizontal="left" vertical="center"/>
    </xf>
    <xf numFmtId="0" fontId="5" fillId="0" borderId="8" xfId="5" applyFont="1" applyAlignment="1">
      <alignment vertical="center"/>
    </xf>
    <xf numFmtId="0" fontId="5" fillId="8" borderId="12" xfId="5" applyFont="1" applyFill="1" applyBorder="1" applyAlignment="1">
      <alignment horizontal="center" vertical="center"/>
    </xf>
    <xf numFmtId="165" fontId="5" fillId="8" borderId="12" xfId="5" applyNumberFormat="1" applyFont="1" applyFill="1" applyBorder="1" applyAlignment="1">
      <alignment horizontal="center" vertical="center"/>
    </xf>
    <xf numFmtId="0" fontId="5" fillId="8" borderId="12" xfId="5" applyFont="1" applyFill="1" applyBorder="1"/>
    <xf numFmtId="165" fontId="4" fillId="0" borderId="8" xfId="5" applyNumberFormat="1" applyFont="1" applyBorder="1" applyAlignment="1">
      <alignment horizontal="center"/>
    </xf>
    <xf numFmtId="0" fontId="5" fillId="0" borderId="12" xfId="5" applyFont="1" applyBorder="1" applyAlignment="1">
      <alignment horizontal="left" vertical="center"/>
    </xf>
    <xf numFmtId="165" fontId="4" fillId="0" borderId="12" xfId="5" applyNumberFormat="1" applyFont="1" applyBorder="1" applyAlignment="1">
      <alignment horizontal="center" vertical="center"/>
    </xf>
    <xf numFmtId="165" fontId="14" fillId="0" borderId="12" xfId="5" applyNumberFormat="1" applyFont="1" applyBorder="1" applyAlignment="1">
      <alignment horizontal="center" vertical="center"/>
    </xf>
    <xf numFmtId="0" fontId="5" fillId="0" borderId="12" xfId="5" applyFont="1" applyBorder="1" applyAlignment="1">
      <alignment horizontal="left"/>
    </xf>
    <xf numFmtId="165" fontId="4" fillId="0" borderId="12" xfId="5" applyNumberFormat="1" applyFont="1" applyBorder="1" applyAlignment="1">
      <alignment horizontal="center" wrapText="1"/>
    </xf>
    <xf numFmtId="165" fontId="4" fillId="0" borderId="12" xfId="5" applyNumberFormat="1" applyFont="1" applyBorder="1" applyAlignment="1">
      <alignment horizontal="center"/>
    </xf>
    <xf numFmtId="165" fontId="14" fillId="0" borderId="12" xfId="5" applyNumberFormat="1" applyFont="1" applyBorder="1" applyAlignment="1">
      <alignment horizontal="center"/>
    </xf>
    <xf numFmtId="0" fontId="4" fillId="0" borderId="8" xfId="5" applyFont="1" applyAlignment="1">
      <alignment vertical="top" wrapText="1"/>
    </xf>
    <xf numFmtId="0" fontId="12" fillId="11" borderId="12" xfId="5" applyFont="1" applyFill="1" applyBorder="1" applyAlignment="1">
      <alignment horizontal="center" vertical="center" wrapText="1"/>
    </xf>
    <xf numFmtId="0" fontId="6" fillId="7" borderId="12" xfId="5" applyFont="1" applyFill="1" applyBorder="1" applyAlignment="1">
      <alignment wrapText="1"/>
    </xf>
    <xf numFmtId="167" fontId="6" fillId="0" borderId="12" xfId="8" applyNumberFormat="1" applyFont="1" applyBorder="1" applyAlignment="1">
      <alignment horizontal="center" vertical="center" wrapText="1"/>
    </xf>
    <xf numFmtId="167" fontId="14" fillId="0" borderId="12" xfId="8" applyNumberFormat="1" applyFont="1" applyBorder="1" applyAlignment="1">
      <alignment wrapText="1"/>
    </xf>
    <xf numFmtId="167" fontId="4" fillId="0" borderId="12" xfId="8" applyNumberFormat="1" applyFont="1" applyBorder="1" applyAlignment="1">
      <alignment horizontal="center" vertical="center" wrapText="1"/>
    </xf>
    <xf numFmtId="167" fontId="14" fillId="0" borderId="12" xfId="8" applyNumberFormat="1" applyFont="1" applyBorder="1" applyAlignment="1">
      <alignment vertical="center" wrapText="1"/>
    </xf>
    <xf numFmtId="0" fontId="4" fillId="7" borderId="12" xfId="5" applyFont="1" applyFill="1" applyBorder="1" applyAlignment="1">
      <alignment wrapText="1"/>
    </xf>
    <xf numFmtId="167" fontId="4" fillId="0" borderId="12" xfId="8" applyNumberFormat="1" applyFont="1" applyBorder="1" applyAlignment="1">
      <alignment wrapText="1"/>
    </xf>
    <xf numFmtId="0" fontId="4" fillId="0" borderId="12" xfId="5" applyFont="1" applyBorder="1"/>
    <xf numFmtId="0" fontId="12" fillId="4" borderId="12" xfId="5" applyFont="1" applyFill="1" applyBorder="1" applyAlignment="1">
      <alignment horizontal="center" vertical="center" wrapText="1"/>
    </xf>
    <xf numFmtId="167" fontId="12" fillId="4" borderId="12" xfId="5" applyNumberFormat="1" applyFont="1" applyFill="1" applyBorder="1" applyAlignment="1">
      <alignment horizontal="center" vertical="center" wrapText="1"/>
    </xf>
    <xf numFmtId="0" fontId="4" fillId="0" borderId="8" xfId="5" applyFont="1" applyBorder="1" applyAlignment="1">
      <alignment vertical="center" wrapText="1"/>
    </xf>
    <xf numFmtId="0" fontId="5" fillId="0" borderId="8" xfId="5" applyFont="1" applyBorder="1" applyAlignment="1">
      <alignment vertical="center" wrapText="1"/>
    </xf>
    <xf numFmtId="0" fontId="4" fillId="0" borderId="8" xfId="5" applyFont="1" applyAlignment="1"/>
    <xf numFmtId="0" fontId="4" fillId="7" borderId="8" xfId="5" applyFont="1" applyFill="1"/>
    <xf numFmtId="0" fontId="4" fillId="0" borderId="8" xfId="11" applyFont="1"/>
    <xf numFmtId="0" fontId="22" fillId="7" borderId="8" xfId="11" applyFont="1" applyFill="1" applyBorder="1" applyAlignment="1">
      <alignment horizontal="center"/>
    </xf>
    <xf numFmtId="0" fontId="23" fillId="7" borderId="8" xfId="11" applyFont="1" applyFill="1"/>
    <xf numFmtId="0" fontId="4" fillId="7" borderId="8" xfId="11" applyFont="1" applyFill="1"/>
    <xf numFmtId="0" fontId="5" fillId="0" borderId="8" xfId="11" applyFont="1"/>
    <xf numFmtId="1" fontId="4" fillId="0" borderId="8" xfId="12" applyNumberFormat="1" applyFont="1" applyBorder="1"/>
    <xf numFmtId="0" fontId="16" fillId="0" borderId="8" xfId="3" applyFont="1"/>
    <xf numFmtId="0" fontId="5" fillId="10" borderId="2" xfId="0" applyFont="1" applyFill="1" applyBorder="1" applyAlignment="1">
      <alignment horizontal="center" vertical="center" wrapText="1"/>
    </xf>
    <xf numFmtId="166" fontId="5" fillId="10" borderId="2" xfId="0" applyNumberFormat="1" applyFont="1" applyFill="1" applyBorder="1" applyAlignment="1">
      <alignment horizontal="center" vertical="center" wrapText="1"/>
    </xf>
    <xf numFmtId="0" fontId="12" fillId="10" borderId="12" xfId="0" applyFont="1" applyFill="1" applyBorder="1" applyAlignment="1">
      <alignment horizontal="center" vertical="center" wrapText="1"/>
    </xf>
    <xf numFmtId="166" fontId="12" fillId="10" borderId="12" xfId="0" applyNumberFormat="1" applyFont="1" applyFill="1" applyBorder="1" applyAlignment="1">
      <alignment horizontal="center" vertical="center" wrapText="1"/>
    </xf>
    <xf numFmtId="166" fontId="12" fillId="10" borderId="12" xfId="0" applyNumberFormat="1" applyFont="1" applyFill="1" applyBorder="1" applyAlignment="1">
      <alignment horizontal="center" vertical="center"/>
    </xf>
    <xf numFmtId="166" fontId="12" fillId="6" borderId="12" xfId="0" applyNumberFormat="1" applyFont="1" applyFill="1" applyBorder="1" applyAlignment="1">
      <alignment horizontal="center" vertical="center"/>
    </xf>
    <xf numFmtId="166" fontId="12" fillId="6" borderId="12" xfId="0" applyNumberFormat="1" applyFont="1" applyFill="1" applyBorder="1" applyAlignment="1">
      <alignment horizontal="left" vertical="top"/>
    </xf>
    <xf numFmtId="0" fontId="5" fillId="6" borderId="12" xfId="0" applyFont="1" applyFill="1" applyBorder="1" applyAlignment="1">
      <alignment horizontal="center" vertical="center"/>
    </xf>
    <xf numFmtId="0" fontId="5" fillId="27" borderId="12" xfId="0" applyFont="1" applyFill="1" applyBorder="1" applyAlignment="1">
      <alignment horizontal="center" vertical="center" wrapText="1"/>
    </xf>
    <xf numFmtId="0" fontId="5" fillId="27" borderId="12" xfId="0" applyFont="1" applyFill="1" applyBorder="1" applyAlignment="1">
      <alignment vertical="center" wrapText="1"/>
    </xf>
    <xf numFmtId="166" fontId="5" fillId="27" borderId="12" xfId="0" applyNumberFormat="1" applyFont="1" applyFill="1" applyBorder="1" applyAlignment="1">
      <alignment horizontal="center" vertical="center"/>
    </xf>
    <xf numFmtId="166" fontId="5" fillId="27" borderId="12" xfId="0" applyNumberFormat="1" applyFont="1" applyFill="1" applyBorder="1" applyAlignment="1">
      <alignment vertical="center" wrapText="1"/>
    </xf>
    <xf numFmtId="166" fontId="5" fillId="27" borderId="14" xfId="0" applyNumberFormat="1" applyFont="1" applyFill="1" applyBorder="1" applyAlignment="1">
      <alignment horizontal="center" vertical="center"/>
    </xf>
    <xf numFmtId="0" fontId="26" fillId="0" borderId="8" xfId="13" applyFont="1" applyAlignment="1">
      <alignment vertical="center"/>
    </xf>
    <xf numFmtId="0" fontId="27" fillId="0" borderId="8" xfId="13" applyFont="1" applyAlignment="1">
      <alignment vertical="center"/>
    </xf>
    <xf numFmtId="0" fontId="26" fillId="0" borderId="8" xfId="13" applyFont="1" applyAlignment="1">
      <alignment vertical="center" wrapText="1"/>
    </xf>
    <xf numFmtId="0" fontId="28" fillId="0" borderId="8" xfId="13" applyFont="1" applyAlignment="1">
      <alignment vertical="center" wrapText="1"/>
    </xf>
    <xf numFmtId="3" fontId="28" fillId="0" borderId="8" xfId="13" applyNumberFormat="1" applyFont="1" applyAlignment="1">
      <alignment vertical="center" wrapText="1"/>
    </xf>
    <xf numFmtId="0" fontId="29" fillId="29" borderId="12" xfId="13" applyFont="1" applyFill="1" applyBorder="1" applyAlignment="1">
      <alignment horizontal="center" vertical="center" wrapText="1"/>
    </xf>
    <xf numFmtId="0" fontId="30" fillId="7" borderId="8" xfId="13" applyFont="1" applyFill="1" applyAlignment="1">
      <alignment horizontal="center" vertical="center" wrapText="1"/>
    </xf>
    <xf numFmtId="0" fontId="28" fillId="7" borderId="8" xfId="13" applyFont="1" applyFill="1" applyAlignment="1">
      <alignment vertical="center" wrapText="1"/>
    </xf>
    <xf numFmtId="0" fontId="28" fillId="0" borderId="12" xfId="13" applyFont="1" applyBorder="1" applyAlignment="1">
      <alignment vertical="center" wrapText="1"/>
    </xf>
    <xf numFmtId="0" fontId="28" fillId="7" borderId="12" xfId="13" applyFont="1" applyFill="1" applyBorder="1" applyAlignment="1">
      <alignment vertical="center" wrapText="1"/>
    </xf>
    <xf numFmtId="0" fontId="28" fillId="7" borderId="12" xfId="13" applyFont="1" applyFill="1" applyBorder="1" applyAlignment="1">
      <alignment vertical="center"/>
    </xf>
    <xf numFmtId="0" fontId="28" fillId="7" borderId="12" xfId="13" applyFont="1" applyFill="1" applyBorder="1" applyAlignment="1">
      <alignment horizontal="left" vertical="center" wrapText="1"/>
    </xf>
    <xf numFmtId="3" fontId="31" fillId="7" borderId="12" xfId="13" applyNumberFormat="1" applyFont="1" applyFill="1" applyBorder="1" applyAlignment="1">
      <alignment horizontal="center" vertical="center"/>
    </xf>
    <xf numFmtId="3" fontId="32" fillId="7" borderId="12" xfId="13" applyNumberFormat="1" applyFont="1" applyFill="1" applyBorder="1" applyAlignment="1">
      <alignment horizontal="center" vertical="center" wrapText="1"/>
    </xf>
    <xf numFmtId="0" fontId="32" fillId="7" borderId="8" xfId="13" applyFont="1" applyFill="1" applyAlignment="1">
      <alignment vertical="center" wrapText="1"/>
    </xf>
    <xf numFmtId="0" fontId="33" fillId="7" borderId="8" xfId="13" applyFont="1" applyFill="1" applyAlignment="1">
      <alignment vertical="center" wrapText="1"/>
    </xf>
    <xf numFmtId="0" fontId="34" fillId="7" borderId="8" xfId="13" applyFont="1" applyFill="1" applyAlignment="1">
      <alignment horizontal="center" vertical="center" wrapText="1"/>
    </xf>
    <xf numFmtId="165" fontId="31" fillId="7" borderId="8" xfId="13" applyNumberFormat="1" applyFont="1" applyFill="1" applyAlignment="1">
      <alignment vertical="center"/>
    </xf>
    <xf numFmtId="0" fontId="36" fillId="7" borderId="8" xfId="13" applyFont="1" applyFill="1" applyAlignment="1">
      <alignment vertical="center"/>
    </xf>
    <xf numFmtId="0" fontId="28" fillId="0" borderId="12" xfId="13" applyFont="1" applyBorder="1" applyAlignment="1">
      <alignment horizontal="left" vertical="center" wrapText="1"/>
    </xf>
    <xf numFmtId="0" fontId="28" fillId="7" borderId="12" xfId="13" applyFont="1" applyFill="1" applyBorder="1" applyAlignment="1">
      <alignment horizontal="left" vertical="center"/>
    </xf>
    <xf numFmtId="165" fontId="37" fillId="30" borderId="12" xfId="13" applyNumberFormat="1" applyFont="1" applyFill="1" applyBorder="1" applyAlignment="1">
      <alignment horizontal="center" vertical="center"/>
    </xf>
    <xf numFmtId="165" fontId="37" fillId="7" borderId="8" xfId="13" applyNumberFormat="1" applyFont="1" applyFill="1" applyAlignment="1">
      <alignment horizontal="center" vertical="center"/>
    </xf>
    <xf numFmtId="0" fontId="28" fillId="3" borderId="8" xfId="13" applyFont="1" applyFill="1" applyAlignment="1">
      <alignment vertical="center" wrapText="1"/>
    </xf>
    <xf numFmtId="0" fontId="26" fillId="3" borderId="8" xfId="13" applyFont="1" applyFill="1" applyAlignment="1">
      <alignment vertical="center"/>
    </xf>
    <xf numFmtId="0" fontId="39" fillId="31" borderId="2" xfId="13" applyFont="1" applyFill="1" applyBorder="1" applyAlignment="1">
      <alignment horizontal="center" vertical="center" wrapText="1"/>
    </xf>
    <xf numFmtId="0" fontId="39" fillId="31" borderId="7" xfId="13" applyFont="1" applyFill="1" applyBorder="1" applyAlignment="1">
      <alignment horizontal="center" vertical="center" wrapText="1"/>
    </xf>
    <xf numFmtId="0" fontId="39" fillId="7" borderId="8" xfId="13" applyFont="1" applyFill="1" applyAlignment="1">
      <alignment horizontal="center" vertical="center" wrapText="1"/>
    </xf>
    <xf numFmtId="0" fontId="37" fillId="3" borderId="8" xfId="13" applyFont="1" applyFill="1" applyAlignment="1">
      <alignment vertical="center" wrapText="1"/>
    </xf>
    <xf numFmtId="0" fontId="27" fillId="3" borderId="8" xfId="13" applyFont="1" applyFill="1" applyAlignment="1">
      <alignment vertical="center"/>
    </xf>
    <xf numFmtId="0" fontId="28" fillId="0" borderId="2" xfId="13" applyFont="1" applyBorder="1" applyAlignment="1">
      <alignment vertical="center" wrapText="1"/>
    </xf>
    <xf numFmtId="0" fontId="28" fillId="7" borderId="2" xfId="13" applyFont="1" applyFill="1" applyBorder="1" applyAlignment="1">
      <alignment vertical="center" wrapText="1"/>
    </xf>
    <xf numFmtId="0" fontId="32" fillId="7" borderId="2" xfId="13" applyFont="1" applyFill="1" applyBorder="1" applyAlignment="1">
      <alignment horizontal="center" vertical="center" wrapText="1"/>
    </xf>
    <xf numFmtId="0" fontId="32" fillId="14" borderId="2" xfId="13" applyFont="1" applyFill="1" applyBorder="1" applyAlignment="1">
      <alignment horizontal="center" vertical="center" wrapText="1"/>
    </xf>
    <xf numFmtId="0" fontId="33" fillId="7" borderId="2" xfId="13" applyFont="1" applyFill="1" applyBorder="1" applyAlignment="1">
      <alignment horizontal="center" vertical="center" wrapText="1"/>
    </xf>
    <xf numFmtId="0" fontId="32" fillId="0" borderId="2" xfId="13" applyFont="1" applyBorder="1" applyAlignment="1">
      <alignment horizontal="center" vertical="center" wrapText="1"/>
    </xf>
    <xf numFmtId="0" fontId="32" fillId="0" borderId="7" xfId="13" applyFont="1" applyBorder="1" applyAlignment="1">
      <alignment horizontal="center" vertical="center" wrapText="1"/>
    </xf>
    <xf numFmtId="0" fontId="26" fillId="7" borderId="12" xfId="13" applyFont="1" applyFill="1" applyBorder="1" applyAlignment="1">
      <alignment vertical="center" wrapText="1"/>
    </xf>
    <xf numFmtId="0" fontId="28" fillId="0" borderId="2" xfId="13" applyFont="1" applyBorder="1" applyAlignment="1">
      <alignment horizontal="left" vertical="center" wrapText="1"/>
    </xf>
    <xf numFmtId="0" fontId="28" fillId="7" borderId="2" xfId="13" applyFont="1" applyFill="1" applyBorder="1" applyAlignment="1">
      <alignment horizontal="left" vertical="center" wrapText="1"/>
    </xf>
    <xf numFmtId="0" fontId="28" fillId="0" borderId="3" xfId="13" applyFont="1" applyBorder="1" applyAlignment="1">
      <alignment vertical="center" wrapText="1"/>
    </xf>
    <xf numFmtId="0" fontId="28" fillId="7" borderId="3" xfId="13" applyFont="1" applyFill="1" applyBorder="1" applyAlignment="1">
      <alignment vertical="center" wrapText="1"/>
    </xf>
    <xf numFmtId="0" fontId="32" fillId="0" borderId="3" xfId="13" applyFont="1" applyBorder="1" applyAlignment="1">
      <alignment horizontal="center" vertical="center" wrapText="1"/>
    </xf>
    <xf numFmtId="0" fontId="32" fillId="14" borderId="3" xfId="13" applyFont="1" applyFill="1" applyBorder="1" applyAlignment="1">
      <alignment horizontal="center" vertical="center" wrapText="1"/>
    </xf>
    <xf numFmtId="0" fontId="32" fillId="7" borderId="3" xfId="13" applyFont="1" applyFill="1" applyBorder="1" applyAlignment="1">
      <alignment horizontal="center" vertical="center" wrapText="1"/>
    </xf>
    <xf numFmtId="0" fontId="32" fillId="0" borderId="9" xfId="13" applyFont="1" applyBorder="1" applyAlignment="1">
      <alignment horizontal="center" vertical="center" wrapText="1"/>
    </xf>
    <xf numFmtId="0" fontId="26" fillId="7" borderId="16" xfId="13" applyFont="1" applyFill="1" applyBorder="1" applyAlignment="1">
      <alignment vertical="center" wrapText="1"/>
    </xf>
    <xf numFmtId="0" fontId="40" fillId="29" borderId="2" xfId="13" applyFont="1" applyFill="1" applyBorder="1" applyAlignment="1">
      <alignment horizontal="center" vertical="center" wrapText="1"/>
    </xf>
    <xf numFmtId="0" fontId="41" fillId="32" borderId="2" xfId="13" applyFont="1" applyFill="1" applyBorder="1" applyAlignment="1">
      <alignment horizontal="left" vertical="center" wrapText="1"/>
    </xf>
    <xf numFmtId="0" fontId="42" fillId="0" borderId="2" xfId="13" applyFont="1" applyBorder="1" applyAlignment="1">
      <alignment horizontal="center" vertical="center" wrapText="1"/>
    </xf>
    <xf numFmtId="0" fontId="1" fillId="0" borderId="2" xfId="13" applyBorder="1" applyAlignment="1">
      <alignment horizontal="center" vertical="center"/>
    </xf>
    <xf numFmtId="0" fontId="26" fillId="0" borderId="2" xfId="13" applyFont="1" applyBorder="1" applyAlignment="1">
      <alignment horizontal="center" vertical="center"/>
    </xf>
    <xf numFmtId="0" fontId="42" fillId="7" borderId="2" xfId="13" applyFont="1" applyFill="1" applyBorder="1" applyAlignment="1">
      <alignment horizontal="center" vertical="center" wrapText="1"/>
    </xf>
    <xf numFmtId="0" fontId="26" fillId="0" borderId="6" xfId="13" applyFont="1" applyBorder="1" applyAlignment="1">
      <alignment horizontal="center" vertical="center"/>
    </xf>
    <xf numFmtId="0" fontId="42" fillId="5" borderId="2" xfId="13" applyFont="1" applyFill="1" applyBorder="1" applyAlignment="1">
      <alignment horizontal="center" vertical="center" wrapText="1"/>
    </xf>
    <xf numFmtId="0" fontId="43" fillId="31" borderId="2" xfId="13" applyFont="1" applyFill="1" applyBorder="1" applyAlignment="1">
      <alignment horizontal="right" vertical="center" wrapText="1"/>
    </xf>
    <xf numFmtId="0" fontId="44" fillId="31" borderId="2" xfId="13" applyFont="1" applyFill="1" applyBorder="1" applyAlignment="1">
      <alignment horizontal="center" vertical="center" wrapText="1"/>
    </xf>
    <xf numFmtId="166" fontId="12" fillId="6" borderId="12" xfId="0" applyNumberFormat="1" applyFont="1" applyFill="1" applyBorder="1" applyAlignment="1">
      <alignment vertical="center"/>
    </xf>
    <xf numFmtId="0" fontId="5" fillId="0" borderId="0" xfId="0" applyFont="1" applyAlignment="1">
      <alignment horizontal="center" vertical="center" wrapText="1"/>
    </xf>
    <xf numFmtId="0" fontId="4" fillId="0" borderId="0" xfId="0" applyFont="1" applyAlignment="1">
      <alignment horizontal="left" vertical="center" wrapText="1"/>
    </xf>
    <xf numFmtId="0" fontId="4" fillId="0" borderId="0" xfId="0" applyFont="1" applyAlignment="1">
      <alignment horizontal="left"/>
    </xf>
    <xf numFmtId="0" fontId="4" fillId="0" borderId="8" xfId="0" applyFont="1" applyBorder="1" applyAlignment="1">
      <alignment horizontal="left" vertical="center" wrapText="1"/>
    </xf>
    <xf numFmtId="0" fontId="7" fillId="9" borderId="12" xfId="0" applyFont="1" applyFill="1" applyBorder="1" applyAlignment="1">
      <alignment horizontal="center" vertical="center" wrapText="1"/>
    </xf>
    <xf numFmtId="0" fontId="7" fillId="9" borderId="14" xfId="0" applyFont="1" applyFill="1" applyBorder="1" applyAlignment="1">
      <alignment horizontal="center" vertical="center" wrapText="1"/>
    </xf>
    <xf numFmtId="0" fontId="4" fillId="0" borderId="9" xfId="0" applyFont="1" applyBorder="1" applyAlignment="1">
      <alignment horizontal="left" vertical="center"/>
    </xf>
    <xf numFmtId="0" fontId="4" fillId="0" borderId="8" xfId="0" applyFont="1" applyBorder="1" applyAlignment="1">
      <alignment horizontal="center" vertical="center" wrapText="1"/>
    </xf>
    <xf numFmtId="0" fontId="28" fillId="34" borderId="12" xfId="13" applyFont="1" applyFill="1" applyBorder="1" applyAlignment="1">
      <alignment vertical="center" wrapText="1"/>
    </xf>
    <xf numFmtId="0" fontId="28" fillId="34" borderId="12" xfId="13" applyFont="1" applyFill="1" applyBorder="1" applyAlignment="1">
      <alignment horizontal="left" vertical="center" wrapText="1"/>
    </xf>
    <xf numFmtId="3" fontId="31" fillId="34" borderId="12" xfId="13" applyNumberFormat="1" applyFont="1" applyFill="1" applyBorder="1" applyAlignment="1">
      <alignment horizontal="center" vertical="center"/>
    </xf>
    <xf numFmtId="10" fontId="5" fillId="7" borderId="12" xfId="0" applyNumberFormat="1" applyFont="1" applyFill="1" applyBorder="1" applyAlignment="1">
      <alignment horizontal="center"/>
    </xf>
    <xf numFmtId="0" fontId="8" fillId="0" borderId="12" xfId="0" applyFont="1" applyBorder="1" applyAlignment="1">
      <alignment vertical="top"/>
    </xf>
    <xf numFmtId="0" fontId="8" fillId="0" borderId="12" xfId="0" applyFont="1" applyBorder="1" applyAlignment="1">
      <alignment horizontal="left" vertical="top"/>
    </xf>
    <xf numFmtId="0" fontId="8" fillId="0" borderId="12" xfId="0" applyFont="1" applyBorder="1"/>
    <xf numFmtId="167" fontId="4" fillId="0" borderId="13" xfId="14" applyNumberFormat="1" applyFont="1" applyBorder="1" applyAlignment="1">
      <alignment vertical="center" wrapText="1"/>
    </xf>
    <xf numFmtId="0" fontId="4" fillId="7" borderId="8" xfId="5" applyFont="1" applyFill="1" applyAlignment="1">
      <alignment horizontal="center" vertical="center"/>
    </xf>
    <xf numFmtId="0" fontId="4" fillId="7" borderId="8" xfId="5" applyFont="1" applyFill="1" applyAlignment="1">
      <alignment horizontal="left" vertical="center"/>
    </xf>
    <xf numFmtId="0" fontId="4" fillId="7" borderId="8" xfId="5" applyFont="1" applyFill="1" applyAlignment="1">
      <alignment vertical="top"/>
    </xf>
    <xf numFmtId="0" fontId="4" fillId="0" borderId="0" xfId="0" applyFont="1" applyAlignment="1">
      <alignment horizontal="center" vertical="center"/>
    </xf>
    <xf numFmtId="0" fontId="12" fillId="9" borderId="12" xfId="0" applyFont="1" applyFill="1" applyBorder="1" applyAlignment="1">
      <alignment horizontal="left" vertical="center" wrapText="1" readingOrder="1"/>
    </xf>
    <xf numFmtId="0" fontId="6" fillId="2" borderId="5" xfId="0" applyFont="1" applyFill="1" applyBorder="1" applyAlignment="1">
      <alignment horizontal="left" vertical="top"/>
    </xf>
    <xf numFmtId="0" fontId="6" fillId="2" borderId="2" xfId="0" applyFont="1" applyFill="1" applyBorder="1" applyAlignment="1">
      <alignment horizontal="left" vertical="top"/>
    </xf>
    <xf numFmtId="0" fontId="6" fillId="2" borderId="2" xfId="0" applyFont="1" applyFill="1" applyBorder="1" applyAlignment="1">
      <alignment horizontal="left" vertical="top" wrapText="1"/>
    </xf>
    <xf numFmtId="0" fontId="6" fillId="22" borderId="2" xfId="0" applyFont="1" applyFill="1" applyBorder="1" applyAlignment="1">
      <alignment horizontal="left" vertical="center" wrapText="1" readingOrder="1"/>
    </xf>
    <xf numFmtId="0" fontId="6" fillId="22" borderId="2" xfId="0" applyFont="1" applyFill="1" applyBorder="1" applyAlignment="1">
      <alignment horizontal="left" vertical="center" wrapText="1"/>
    </xf>
    <xf numFmtId="0" fontId="12" fillId="4" borderId="2" xfId="0" applyFont="1" applyFill="1" applyBorder="1" applyAlignment="1">
      <alignment horizontal="left" vertical="center" wrapText="1" readingOrder="1"/>
    </xf>
    <xf numFmtId="0" fontId="12" fillId="4" borderId="2" xfId="0" applyFont="1" applyFill="1" applyBorder="1" applyAlignment="1">
      <alignment horizontal="left" vertical="top" wrapText="1" readingOrder="1"/>
    </xf>
    <xf numFmtId="0" fontId="4" fillId="7" borderId="12" xfId="0" applyFont="1" applyFill="1" applyBorder="1" applyAlignment="1">
      <alignment horizontal="left" vertical="center" wrapText="1"/>
    </xf>
    <xf numFmtId="0" fontId="5" fillId="6" borderId="7" xfId="0" applyFont="1" applyFill="1" applyBorder="1" applyAlignment="1">
      <alignment horizontal="center" vertical="center"/>
    </xf>
    <xf numFmtId="3" fontId="6" fillId="7" borderId="9" xfId="0" applyNumberFormat="1" applyFont="1" applyFill="1" applyBorder="1" applyAlignment="1">
      <alignment horizontal="center" vertical="center"/>
    </xf>
    <xf numFmtId="3" fontId="6" fillId="0" borderId="14" xfId="0" applyNumberFormat="1" applyFont="1" applyBorder="1" applyAlignment="1">
      <alignment horizontal="center" vertical="center"/>
    </xf>
    <xf numFmtId="0" fontId="9" fillId="0" borderId="12" xfId="0" applyFont="1" applyBorder="1" applyAlignment="1">
      <alignment horizontal="center" vertical="center"/>
    </xf>
    <xf numFmtId="0" fontId="9" fillId="0" borderId="14" xfId="0" applyFont="1" applyBorder="1" applyAlignment="1">
      <alignment horizontal="center" vertical="center"/>
    </xf>
    <xf numFmtId="0" fontId="9" fillId="0" borderId="12" xfId="0" applyFont="1" applyBorder="1"/>
    <xf numFmtId="0" fontId="9" fillId="0" borderId="17" xfId="0" applyFont="1" applyBorder="1" applyAlignment="1">
      <alignment horizontal="center" vertical="center"/>
    </xf>
    <xf numFmtId="0" fontId="15" fillId="0" borderId="12" xfId="0" applyFont="1" applyBorder="1" applyAlignment="1">
      <alignment horizontal="center" vertical="center"/>
    </xf>
    <xf numFmtId="0" fontId="15" fillId="0" borderId="14" xfId="0" applyFont="1" applyBorder="1" applyAlignment="1">
      <alignment horizontal="center" vertical="center"/>
    </xf>
    <xf numFmtId="0" fontId="15" fillId="0" borderId="2" xfId="0" applyFont="1" applyBorder="1" applyAlignment="1">
      <alignment horizontal="center" vertical="center"/>
    </xf>
    <xf numFmtId="0" fontId="8" fillId="14" borderId="8" xfId="0" applyFont="1" applyFill="1" applyBorder="1"/>
    <xf numFmtId="0" fontId="8" fillId="7" borderId="0" xfId="0" applyFont="1" applyFill="1"/>
    <xf numFmtId="166" fontId="4" fillId="7" borderId="12" xfId="0" applyNumberFormat="1" applyFont="1" applyFill="1" applyBorder="1" applyAlignment="1">
      <alignment horizontal="center" vertical="top" wrapText="1"/>
    </xf>
    <xf numFmtId="1" fontId="5" fillId="10" borderId="7" xfId="0" applyNumberFormat="1" applyFont="1" applyFill="1" applyBorder="1" applyAlignment="1">
      <alignment horizontal="center" vertical="center" wrapText="1"/>
    </xf>
    <xf numFmtId="1" fontId="5" fillId="10" borderId="12" xfId="0" applyNumberFormat="1" applyFont="1" applyFill="1" applyBorder="1" applyAlignment="1">
      <alignment horizontal="center" vertical="center" wrapText="1"/>
    </xf>
    <xf numFmtId="3" fontId="6" fillId="7" borderId="14" xfId="0" applyNumberFormat="1" applyFont="1" applyFill="1" applyBorder="1" applyAlignment="1">
      <alignment horizontal="center" vertical="center"/>
    </xf>
    <xf numFmtId="166" fontId="4" fillId="0" borderId="10" xfId="0" applyNumberFormat="1" applyFont="1" applyBorder="1" applyAlignment="1">
      <alignment horizontal="center" vertical="center"/>
    </xf>
    <xf numFmtId="166" fontId="4" fillId="0" borderId="3" xfId="0" applyNumberFormat="1" applyFont="1" applyBorder="1" applyAlignment="1">
      <alignment vertical="center" wrapText="1"/>
    </xf>
    <xf numFmtId="166" fontId="4" fillId="0" borderId="4" xfId="0" applyNumberFormat="1" applyFont="1" applyBorder="1" applyAlignment="1">
      <alignment vertical="center" wrapText="1"/>
    </xf>
    <xf numFmtId="0" fontId="14" fillId="0" borderId="3" xfId="0" applyFont="1" applyBorder="1" applyAlignment="1">
      <alignment horizontal="left" vertical="center" wrapText="1"/>
    </xf>
    <xf numFmtId="0" fontId="4" fillId="0" borderId="12" xfId="0" applyFont="1" applyBorder="1" applyAlignment="1">
      <alignment horizontal="left" vertical="center"/>
    </xf>
    <xf numFmtId="0" fontId="47" fillId="0" borderId="12" xfId="0" applyFont="1" applyBorder="1"/>
    <xf numFmtId="0" fontId="14" fillId="0" borderId="12" xfId="0" applyFont="1" applyBorder="1" applyAlignment="1">
      <alignment horizontal="center" vertical="top"/>
    </xf>
    <xf numFmtId="166" fontId="4" fillId="0" borderId="12" xfId="0" applyNumberFormat="1" applyFont="1" applyBorder="1" applyAlignment="1">
      <alignment horizontal="center" vertical="top" wrapText="1"/>
    </xf>
    <xf numFmtId="0" fontId="6" fillId="0" borderId="10" xfId="0" applyFont="1" applyBorder="1" applyAlignment="1">
      <alignment horizontal="left"/>
    </xf>
    <xf numFmtId="166" fontId="4" fillId="2" borderId="5" xfId="0" applyNumberFormat="1" applyFont="1" applyFill="1" applyBorder="1" applyAlignment="1">
      <alignment horizontal="center" vertical="center"/>
    </xf>
    <xf numFmtId="3" fontId="4" fillId="3" borderId="10" xfId="0" applyNumberFormat="1" applyFont="1" applyFill="1" applyBorder="1" applyAlignment="1">
      <alignment horizontal="center" vertical="center"/>
    </xf>
    <xf numFmtId="3" fontId="4" fillId="3" borderId="17" xfId="0" applyNumberFormat="1" applyFont="1" applyFill="1" applyBorder="1" applyAlignment="1">
      <alignment horizontal="center" vertical="center"/>
    </xf>
    <xf numFmtId="3" fontId="4" fillId="7" borderId="17" xfId="0" applyNumberFormat="1" applyFont="1" applyFill="1" applyBorder="1" applyAlignment="1">
      <alignment horizontal="center" vertical="center"/>
    </xf>
    <xf numFmtId="3" fontId="4" fillId="7" borderId="21" xfId="0" applyNumberFormat="1" applyFont="1" applyFill="1" applyBorder="1" applyAlignment="1">
      <alignment horizontal="center" vertical="center"/>
    </xf>
    <xf numFmtId="0" fontId="8" fillId="0" borderId="16" xfId="0" applyFont="1" applyBorder="1" applyAlignment="1">
      <alignment horizontal="center" vertical="center"/>
    </xf>
    <xf numFmtId="0" fontId="5" fillId="35" borderId="8" xfId="0" applyFont="1" applyFill="1" applyBorder="1" applyAlignment="1"/>
    <xf numFmtId="166" fontId="5" fillId="27" borderId="14" xfId="0" applyNumberFormat="1" applyFont="1" applyFill="1" applyBorder="1" applyAlignment="1">
      <alignment vertical="center" wrapText="1"/>
    </xf>
    <xf numFmtId="166" fontId="5" fillId="27" borderId="13" xfId="0" applyNumberFormat="1" applyFont="1" applyFill="1" applyBorder="1" applyAlignment="1">
      <alignment vertical="center" wrapText="1"/>
    </xf>
    <xf numFmtId="165" fontId="14" fillId="0" borderId="12" xfId="0" applyNumberFormat="1" applyFont="1" applyBorder="1" applyAlignment="1">
      <alignment horizontal="center" vertical="center"/>
    </xf>
    <xf numFmtId="165" fontId="14" fillId="0" borderId="12" xfId="0" applyNumberFormat="1" applyFont="1" applyBorder="1" applyAlignment="1">
      <alignment horizontal="center"/>
    </xf>
    <xf numFmtId="165" fontId="4" fillId="0" borderId="12" xfId="0" applyNumberFormat="1" applyFont="1" applyBorder="1" applyAlignment="1">
      <alignment horizontal="center" wrapText="1"/>
    </xf>
    <xf numFmtId="0" fontId="5" fillId="9" borderId="12" xfId="2" applyFont="1" applyFill="1" applyBorder="1" applyAlignment="1">
      <alignment horizontal="center" vertical="center" wrapText="1"/>
    </xf>
    <xf numFmtId="0" fontId="5" fillId="9" borderId="12" xfId="2" applyFont="1" applyFill="1" applyBorder="1" applyAlignment="1">
      <alignment vertical="center"/>
    </xf>
    <xf numFmtId="0" fontId="6" fillId="2" borderId="12" xfId="2" applyFont="1" applyFill="1" applyBorder="1" applyAlignment="1">
      <alignment horizontal="center" vertical="center" wrapText="1"/>
    </xf>
    <xf numFmtId="0" fontId="6" fillId="2" borderId="12" xfId="2" applyFont="1" applyFill="1" applyBorder="1" applyAlignment="1">
      <alignment wrapText="1"/>
    </xf>
    <xf numFmtId="0" fontId="6" fillId="0" borderId="12" xfId="2" applyFont="1" applyBorder="1" applyAlignment="1">
      <alignment horizontal="center" vertical="center"/>
    </xf>
    <xf numFmtId="0" fontId="6" fillId="19" borderId="12" xfId="2" applyFont="1" applyFill="1" applyBorder="1" applyAlignment="1">
      <alignment horizontal="center" vertical="center"/>
    </xf>
    <xf numFmtId="0" fontId="48" fillId="5" borderId="12" xfId="0" applyFont="1" applyFill="1" applyBorder="1" applyAlignment="1">
      <alignment vertical="top" wrapText="1" indent="1"/>
    </xf>
    <xf numFmtId="0" fontId="4" fillId="0" borderId="12" xfId="2" applyFont="1" applyBorder="1" applyAlignment="1">
      <alignment vertical="center"/>
    </xf>
    <xf numFmtId="0" fontId="4" fillId="0" borderId="12" xfId="2" applyFont="1" applyBorder="1"/>
    <xf numFmtId="0" fontId="48" fillId="36" borderId="12" xfId="0" applyFont="1" applyFill="1" applyBorder="1" applyAlignment="1">
      <alignment vertical="top" wrapText="1" indent="1"/>
    </xf>
    <xf numFmtId="0" fontId="12" fillId="23" borderId="12" xfId="2" applyFont="1" applyFill="1" applyBorder="1" applyAlignment="1">
      <alignment horizontal="center" vertical="center"/>
    </xf>
    <xf numFmtId="0" fontId="4" fillId="0" borderId="8" xfId="2" applyFont="1"/>
    <xf numFmtId="0" fontId="4" fillId="0" borderId="8" xfId="2" applyFont="1" applyAlignment="1">
      <alignment vertical="center"/>
    </xf>
    <xf numFmtId="0" fontId="4" fillId="0" borderId="12" xfId="2" applyFont="1" applyBorder="1" applyAlignment="1">
      <alignment horizontal="center"/>
    </xf>
    <xf numFmtId="0" fontId="40" fillId="34" borderId="2" xfId="13" applyFont="1" applyFill="1" applyBorder="1" applyAlignment="1">
      <alignment horizontal="center" vertical="center" wrapText="1"/>
    </xf>
    <xf numFmtId="0" fontId="42" fillId="34" borderId="2" xfId="13" applyFont="1" applyFill="1" applyBorder="1" applyAlignment="1">
      <alignment horizontal="center" vertical="center" wrapText="1"/>
    </xf>
    <xf numFmtId="41" fontId="4" fillId="0" borderId="12" xfId="15" applyFont="1" applyBorder="1"/>
    <xf numFmtId="3" fontId="6" fillId="0" borderId="2" xfId="0" applyNumberFormat="1" applyFont="1" applyBorder="1"/>
    <xf numFmtId="0" fontId="4" fillId="0" borderId="17" xfId="0" applyFont="1" applyBorder="1" applyAlignment="1">
      <alignment horizontal="left" vertical="center" wrapText="1"/>
    </xf>
    <xf numFmtId="0" fontId="4" fillId="0" borderId="24" xfId="0" applyFont="1" applyBorder="1" applyAlignment="1">
      <alignment horizontal="left" vertical="center" wrapText="1"/>
    </xf>
    <xf numFmtId="164" fontId="4" fillId="0" borderId="17" xfId="0" applyNumberFormat="1" applyFont="1" applyBorder="1" applyAlignment="1">
      <alignment horizontal="center" vertical="center" wrapText="1"/>
    </xf>
    <xf numFmtId="0" fontId="7" fillId="37" borderId="12" xfId="0" applyFont="1" applyFill="1" applyBorder="1" applyAlignment="1">
      <alignment horizontal="center" vertical="center" wrapText="1"/>
    </xf>
    <xf numFmtId="3" fontId="5" fillId="34" borderId="12" xfId="0" applyNumberFormat="1" applyFont="1" applyFill="1" applyBorder="1" applyAlignment="1">
      <alignment horizontal="center"/>
    </xf>
    <xf numFmtId="0" fontId="8" fillId="7" borderId="8" xfId="0" applyFont="1" applyFill="1" applyBorder="1"/>
    <xf numFmtId="0" fontId="4" fillId="7" borderId="8" xfId="0" applyFont="1" applyFill="1" applyBorder="1" applyAlignment="1">
      <alignment horizontal="center" vertical="center"/>
    </xf>
    <xf numFmtId="0" fontId="6" fillId="22" borderId="3" xfId="0" applyFont="1" applyFill="1" applyBorder="1" applyAlignment="1">
      <alignment horizontal="left" vertical="center" wrapText="1"/>
    </xf>
    <xf numFmtId="0" fontId="6" fillId="22" borderId="4" xfId="0" applyFont="1" applyFill="1" applyBorder="1" applyAlignment="1">
      <alignment horizontal="left" vertical="center" wrapText="1"/>
    </xf>
    <xf numFmtId="0" fontId="6" fillId="22" borderId="5" xfId="0" applyFont="1" applyFill="1" applyBorder="1" applyAlignment="1">
      <alignment horizontal="left" vertical="center" wrapText="1"/>
    </xf>
    <xf numFmtId="0" fontId="6" fillId="2" borderId="5" xfId="0" applyFont="1" applyFill="1" applyBorder="1" applyAlignment="1">
      <alignment horizontal="left" vertical="top" wrapText="1"/>
    </xf>
    <xf numFmtId="0" fontId="0" fillId="0" borderId="12" xfId="0" applyBorder="1"/>
    <xf numFmtId="41" fontId="5" fillId="8" borderId="12" xfId="15" applyFont="1" applyFill="1" applyBorder="1"/>
    <xf numFmtId="0" fontId="4" fillId="8" borderId="12" xfId="0" applyFont="1" applyFill="1" applyBorder="1"/>
    <xf numFmtId="0" fontId="5" fillId="8" borderId="12" xfId="0" applyFont="1" applyFill="1" applyBorder="1" applyAlignment="1">
      <alignment horizontal="center" vertical="center" wrapText="1"/>
    </xf>
    <xf numFmtId="166" fontId="5" fillId="8" borderId="12" xfId="0" applyNumberFormat="1" applyFont="1" applyFill="1" applyBorder="1" applyAlignment="1">
      <alignment horizontal="right" vertical="center"/>
    </xf>
    <xf numFmtId="0" fontId="0" fillId="0" borderId="12" xfId="0" applyNumberFormat="1" applyBorder="1" applyAlignment="1">
      <alignment wrapText="1"/>
    </xf>
    <xf numFmtId="0" fontId="4" fillId="0" borderId="12" xfId="5" applyFont="1" applyBorder="1" applyAlignment="1">
      <alignment wrapText="1"/>
    </xf>
    <xf numFmtId="0" fontId="4" fillId="0" borderId="8" xfId="5" applyFont="1" applyBorder="1"/>
    <xf numFmtId="0" fontId="32" fillId="7" borderId="7" xfId="13" applyFont="1" applyFill="1" applyBorder="1" applyAlignment="1">
      <alignment horizontal="center" vertical="center" wrapText="1"/>
    </xf>
    <xf numFmtId="0" fontId="44" fillId="34" borderId="2" xfId="13" applyFont="1" applyFill="1" applyBorder="1" applyAlignment="1">
      <alignment horizontal="center" vertical="center" wrapText="1"/>
    </xf>
    <xf numFmtId="3" fontId="6" fillId="0" borderId="12" xfId="0" applyNumberFormat="1" applyFont="1" applyBorder="1"/>
    <xf numFmtId="0" fontId="24" fillId="27" borderId="12" xfId="0" applyFont="1" applyFill="1" applyBorder="1" applyAlignment="1">
      <alignment horizontal="center" vertical="center" wrapText="1"/>
    </xf>
    <xf numFmtId="166" fontId="24" fillId="27" borderId="12" xfId="0" applyNumberFormat="1" applyFont="1" applyFill="1" applyBorder="1" applyAlignment="1">
      <alignment horizontal="center" vertical="center" wrapText="1"/>
    </xf>
    <xf numFmtId="0" fontId="49" fillId="0" borderId="12" xfId="0" applyFont="1" applyBorder="1" applyAlignment="1">
      <alignment vertical="top"/>
    </xf>
    <xf numFmtId="166" fontId="50" fillId="33" borderId="12" xfId="0" applyNumberFormat="1" applyFont="1" applyFill="1" applyBorder="1"/>
    <xf numFmtId="0" fontId="24" fillId="9" borderId="2" xfId="0" applyFont="1" applyFill="1" applyBorder="1" applyAlignment="1">
      <alignment horizontal="left" vertical="center"/>
    </xf>
    <xf numFmtId="0" fontId="24" fillId="9" borderId="2" xfId="0" applyFont="1" applyFill="1" applyBorder="1" applyAlignment="1">
      <alignment horizontal="center" vertical="center"/>
    </xf>
    <xf numFmtId="1" fontId="24" fillId="9" borderId="2" xfId="0" applyNumberFormat="1" applyFont="1" applyFill="1" applyBorder="1" applyAlignment="1">
      <alignment horizontal="center" vertical="center"/>
    </xf>
    <xf numFmtId="3" fontId="24" fillId="9" borderId="7" xfId="0" applyNumberFormat="1" applyFont="1" applyFill="1" applyBorder="1" applyAlignment="1">
      <alignment horizontal="center" vertical="center"/>
    </xf>
    <xf numFmtId="3" fontId="24" fillId="9" borderId="12" xfId="0" applyNumberFormat="1" applyFont="1" applyFill="1" applyBorder="1" applyAlignment="1">
      <alignment horizontal="center" vertical="center"/>
    </xf>
    <xf numFmtId="3" fontId="24" fillId="9" borderId="3" xfId="0" applyNumberFormat="1" applyFont="1" applyFill="1" applyBorder="1" applyAlignment="1">
      <alignment horizontal="center" vertical="center"/>
    </xf>
    <xf numFmtId="0" fontId="45" fillId="5" borderId="2" xfId="0" applyFont="1" applyFill="1" applyBorder="1" applyAlignment="1">
      <alignment horizontal="left" vertical="center" wrapText="1"/>
    </xf>
    <xf numFmtId="166" fontId="49" fillId="0" borderId="7" xfId="0" applyNumberFormat="1" applyFont="1" applyBorder="1" applyAlignment="1">
      <alignment horizontal="left" vertical="center" wrapText="1"/>
    </xf>
    <xf numFmtId="166" fontId="50" fillId="0" borderId="7" xfId="0" applyNumberFormat="1" applyFont="1" applyBorder="1" applyAlignment="1">
      <alignment horizontal="left" vertical="center"/>
    </xf>
    <xf numFmtId="166" fontId="50" fillId="2" borderId="2" xfId="0" applyNumberFormat="1" applyFont="1" applyFill="1" applyBorder="1" applyAlignment="1">
      <alignment horizontal="left" vertical="center"/>
    </xf>
    <xf numFmtId="3" fontId="49" fillId="3" borderId="7" xfId="0" applyNumberFormat="1" applyFont="1" applyFill="1" applyBorder="1" applyAlignment="1">
      <alignment horizontal="left" vertical="center"/>
    </xf>
    <xf numFmtId="3" fontId="49" fillId="3" borderId="12" xfId="0" applyNumberFormat="1" applyFont="1" applyFill="1" applyBorder="1" applyAlignment="1">
      <alignment horizontal="left" vertical="center"/>
    </xf>
    <xf numFmtId="3" fontId="49" fillId="7" borderId="12" xfId="0" applyNumberFormat="1" applyFont="1" applyFill="1" applyBorder="1" applyAlignment="1">
      <alignment horizontal="left" vertical="center"/>
    </xf>
    <xf numFmtId="3" fontId="49" fillId="7" borderId="14" xfId="0" applyNumberFormat="1" applyFont="1" applyFill="1" applyBorder="1" applyAlignment="1">
      <alignment horizontal="left" vertical="center"/>
    </xf>
    <xf numFmtId="0" fontId="49" fillId="0" borderId="12" xfId="0" applyFont="1" applyBorder="1"/>
    <xf numFmtId="166" fontId="49" fillId="0" borderId="6" xfId="0" applyNumberFormat="1" applyFont="1" applyBorder="1" applyAlignment="1">
      <alignment horizontal="center" vertical="center"/>
    </xf>
    <xf numFmtId="3" fontId="50" fillId="7" borderId="12" xfId="0" applyNumberFormat="1" applyFont="1" applyFill="1" applyBorder="1" applyAlignment="1">
      <alignment horizontal="left" vertical="center"/>
    </xf>
    <xf numFmtId="3" fontId="50" fillId="7" borderId="14" xfId="0" applyNumberFormat="1" applyFont="1" applyFill="1" applyBorder="1" applyAlignment="1">
      <alignment horizontal="left" vertical="center"/>
    </xf>
    <xf numFmtId="0" fontId="45" fillId="5" borderId="2" xfId="0" applyFont="1" applyFill="1" applyBorder="1" applyAlignment="1">
      <alignment wrapText="1"/>
    </xf>
    <xf numFmtId="166" fontId="49" fillId="0" borderId="2" xfId="0" applyNumberFormat="1" applyFont="1" applyBorder="1" applyAlignment="1">
      <alignment horizontal="left" vertical="center"/>
    </xf>
    <xf numFmtId="0" fontId="45" fillId="5" borderId="2" xfId="0" applyFont="1" applyFill="1" applyBorder="1" applyAlignment="1">
      <alignment vertical="center" wrapText="1"/>
    </xf>
    <xf numFmtId="0" fontId="49" fillId="3" borderId="10" xfId="0" applyFont="1" applyFill="1" applyBorder="1" applyAlignment="1">
      <alignment horizontal="left" vertical="center" wrapText="1"/>
    </xf>
    <xf numFmtId="166" fontId="49" fillId="3" borderId="2" xfId="0" applyNumberFormat="1" applyFont="1" applyFill="1" applyBorder="1" applyAlignment="1">
      <alignment horizontal="left" vertical="center"/>
    </xf>
    <xf numFmtId="0" fontId="45" fillId="5" borderId="2" xfId="0" applyFont="1" applyFill="1" applyBorder="1"/>
    <xf numFmtId="0" fontId="49" fillId="3" borderId="1" xfId="0" applyFont="1" applyFill="1" applyBorder="1" applyAlignment="1">
      <alignment horizontal="left" vertical="center" wrapText="1"/>
    </xf>
    <xf numFmtId="166" fontId="49" fillId="3" borderId="7" xfId="0" applyNumberFormat="1" applyFont="1" applyFill="1" applyBorder="1" applyAlignment="1">
      <alignment horizontal="left" vertical="center"/>
    </xf>
    <xf numFmtId="166" fontId="49" fillId="2" borderId="1" xfId="0" applyNumberFormat="1" applyFont="1" applyFill="1" applyBorder="1" applyAlignment="1">
      <alignment horizontal="left" vertical="center"/>
    </xf>
    <xf numFmtId="166" fontId="50" fillId="2" borderId="7" xfId="0" applyNumberFormat="1" applyFont="1" applyFill="1" applyBorder="1" applyAlignment="1">
      <alignment horizontal="left" vertical="center"/>
    </xf>
    <xf numFmtId="0" fontId="45" fillId="5" borderId="5" xfId="0" applyFont="1" applyFill="1" applyBorder="1"/>
    <xf numFmtId="166" fontId="50" fillId="2" borderId="10" xfId="0" applyNumberFormat="1" applyFont="1" applyFill="1" applyBorder="1" applyAlignment="1">
      <alignment horizontal="left" vertical="center"/>
    </xf>
    <xf numFmtId="166" fontId="50" fillId="2" borderId="5" xfId="0" applyNumberFormat="1" applyFont="1" applyFill="1" applyBorder="1" applyAlignment="1">
      <alignment horizontal="left" vertical="center"/>
    </xf>
    <xf numFmtId="166" fontId="49" fillId="2" borderId="2" xfId="0" applyNumberFormat="1" applyFont="1" applyFill="1" applyBorder="1" applyAlignment="1">
      <alignment horizontal="left" vertical="center"/>
    </xf>
    <xf numFmtId="166" fontId="49" fillId="0" borderId="2" xfId="0" applyNumberFormat="1" applyFont="1" applyBorder="1" applyAlignment="1">
      <alignment horizontal="left" vertical="center" wrapText="1"/>
    </xf>
    <xf numFmtId="0" fontId="49" fillId="0" borderId="2" xfId="0" applyFont="1" applyBorder="1" applyAlignment="1">
      <alignment horizontal="left" vertical="center"/>
    </xf>
    <xf numFmtId="0" fontId="49" fillId="2" borderId="2" xfId="0" applyFont="1" applyFill="1" applyBorder="1" applyAlignment="1">
      <alignment horizontal="left" vertical="center"/>
    </xf>
    <xf numFmtId="166" fontId="49" fillId="2" borderId="7" xfId="0" applyNumberFormat="1" applyFont="1" applyFill="1" applyBorder="1" applyAlignment="1">
      <alignment horizontal="left" vertical="center" wrapText="1"/>
    </xf>
    <xf numFmtId="3" fontId="49" fillId="2" borderId="7" xfId="0" applyNumberFormat="1" applyFont="1" applyFill="1" applyBorder="1" applyAlignment="1">
      <alignment horizontal="left" vertical="center"/>
    </xf>
    <xf numFmtId="0" fontId="49" fillId="0" borderId="7" xfId="0" applyFont="1" applyBorder="1" applyAlignment="1">
      <alignment horizontal="left" vertical="center"/>
    </xf>
    <xf numFmtId="0" fontId="45" fillId="5" borderId="2" xfId="0" applyFont="1" applyFill="1" applyBorder="1" applyAlignment="1">
      <alignment horizontal="left"/>
    </xf>
    <xf numFmtId="0" fontId="45" fillId="0" borderId="2" xfId="0" applyFont="1" applyBorder="1" applyAlignment="1">
      <alignment horizontal="left" vertical="center" wrapText="1"/>
    </xf>
    <xf numFmtId="0" fontId="45" fillId="3" borderId="2" xfId="0" applyFont="1" applyFill="1" applyBorder="1" applyAlignment="1">
      <alignment horizontal="left" vertical="center" wrapText="1"/>
    </xf>
    <xf numFmtId="0" fontId="49" fillId="0" borderId="9" xfId="0" applyFont="1" applyBorder="1" applyAlignment="1">
      <alignment horizontal="left" vertical="center"/>
    </xf>
    <xf numFmtId="166" fontId="49" fillId="0" borderId="9" xfId="0" applyNumberFormat="1" applyFont="1" applyBorder="1" applyAlignment="1">
      <alignment horizontal="left" vertical="center" wrapText="1"/>
    </xf>
    <xf numFmtId="166" fontId="49" fillId="0" borderId="3" xfId="0" applyNumberFormat="1" applyFont="1" applyBorder="1" applyAlignment="1">
      <alignment horizontal="left" vertical="center"/>
    </xf>
    <xf numFmtId="3" fontId="52" fillId="3" borderId="7" xfId="0" applyNumberFormat="1" applyFont="1" applyFill="1" applyBorder="1" applyAlignment="1">
      <alignment horizontal="left" vertical="center"/>
    </xf>
    <xf numFmtId="166" fontId="50" fillId="2" borderId="6" xfId="0" applyNumberFormat="1" applyFont="1" applyFill="1" applyBorder="1" applyAlignment="1">
      <alignment horizontal="left" vertical="center"/>
    </xf>
    <xf numFmtId="166" fontId="49" fillId="0" borderId="10" xfId="0" applyNumberFormat="1" applyFont="1" applyBorder="1" applyAlignment="1">
      <alignment horizontal="left" vertical="center" wrapText="1"/>
    </xf>
    <xf numFmtId="166" fontId="50" fillId="0" borderId="10" xfId="0" applyNumberFormat="1" applyFont="1" applyBorder="1" applyAlignment="1">
      <alignment horizontal="left" vertical="center"/>
    </xf>
    <xf numFmtId="0" fontId="49" fillId="0" borderId="9" xfId="0" applyFont="1" applyBorder="1" applyAlignment="1">
      <alignment vertical="center"/>
    </xf>
    <xf numFmtId="166" fontId="49" fillId="0" borderId="3" xfId="0" applyNumberFormat="1" applyFont="1" applyBorder="1" applyAlignment="1">
      <alignment horizontal="left" vertical="top" wrapText="1"/>
    </xf>
    <xf numFmtId="166" fontId="49" fillId="0" borderId="9" xfId="0" applyNumberFormat="1" applyFont="1" applyBorder="1" applyAlignment="1">
      <alignment horizontal="left" vertical="top" wrapText="1"/>
    </xf>
    <xf numFmtId="0" fontId="49" fillId="0" borderId="11" xfId="0" applyFont="1" applyBorder="1" applyAlignment="1">
      <alignment vertical="center"/>
    </xf>
    <xf numFmtId="166" fontId="49" fillId="0" borderId="4" xfId="0" applyNumberFormat="1" applyFont="1" applyBorder="1" applyAlignment="1">
      <alignment horizontal="left" vertical="top" wrapText="1"/>
    </xf>
    <xf numFmtId="166" fontId="49" fillId="0" borderId="11" xfId="0" applyNumberFormat="1" applyFont="1" applyBorder="1" applyAlignment="1">
      <alignment horizontal="left" vertical="top" wrapText="1"/>
    </xf>
    <xf numFmtId="0" fontId="45" fillId="0" borderId="4" xfId="0" applyFont="1" applyBorder="1" applyAlignment="1">
      <alignment horizontal="left" vertical="top"/>
    </xf>
    <xf numFmtId="0" fontId="45" fillId="0" borderId="11" xfId="0" applyFont="1" applyBorder="1" applyAlignment="1">
      <alignment horizontal="left" vertical="top"/>
    </xf>
    <xf numFmtId="0" fontId="49" fillId="0" borderId="10" xfId="0" applyFont="1" applyBorder="1" applyAlignment="1">
      <alignment vertical="center"/>
    </xf>
    <xf numFmtId="0" fontId="45" fillId="0" borderId="5" xfId="0" applyFont="1" applyBorder="1" applyAlignment="1">
      <alignment horizontal="left" vertical="top"/>
    </xf>
    <xf numFmtId="0" fontId="45" fillId="0" borderId="10" xfId="0" applyFont="1" applyBorder="1" applyAlignment="1">
      <alignment horizontal="left" vertical="top"/>
    </xf>
    <xf numFmtId="0" fontId="50" fillId="0" borderId="7" xfId="0" applyFont="1" applyBorder="1" applyAlignment="1">
      <alignment horizontal="left"/>
    </xf>
    <xf numFmtId="0" fontId="45" fillId="0" borderId="5" xfId="0" applyFont="1" applyBorder="1"/>
    <xf numFmtId="0" fontId="49" fillId="2" borderId="7" xfId="0" applyFont="1" applyFill="1" applyBorder="1" applyAlignment="1">
      <alignment horizontal="left" vertical="center"/>
    </xf>
    <xf numFmtId="0" fontId="45" fillId="0" borderId="2" xfId="0" applyFont="1" applyBorder="1"/>
    <xf numFmtId="0" fontId="45" fillId="0" borderId="9" xfId="0" applyFont="1" applyBorder="1" applyAlignment="1">
      <alignment horizontal="left"/>
    </xf>
    <xf numFmtId="0" fontId="45" fillId="0" borderId="3" xfId="0" applyFont="1" applyBorder="1"/>
    <xf numFmtId="166" fontId="49" fillId="3" borderId="3" xfId="0" applyNumberFormat="1" applyFont="1" applyFill="1" applyBorder="1" applyAlignment="1">
      <alignment horizontal="left" vertical="center"/>
    </xf>
    <xf numFmtId="3" fontId="49" fillId="3" borderId="9" xfId="0" applyNumberFormat="1" applyFont="1" applyFill="1" applyBorder="1" applyAlignment="1">
      <alignment horizontal="left" vertical="center"/>
    </xf>
    <xf numFmtId="3" fontId="49" fillId="3" borderId="16" xfId="0" applyNumberFormat="1" applyFont="1" applyFill="1" applyBorder="1" applyAlignment="1">
      <alignment horizontal="left" vertical="center"/>
    </xf>
    <xf numFmtId="3" fontId="49" fillId="7" borderId="20" xfId="0" applyNumberFormat="1" applyFont="1" applyFill="1" applyBorder="1" applyAlignment="1">
      <alignment horizontal="left" vertical="center"/>
    </xf>
    <xf numFmtId="0" fontId="45" fillId="0" borderId="9" xfId="0" applyFont="1" applyBorder="1" applyAlignment="1">
      <alignment horizontal="left" wrapText="1"/>
    </xf>
    <xf numFmtId="0" fontId="49" fillId="0" borderId="16" xfId="0" applyFont="1" applyBorder="1"/>
    <xf numFmtId="166" fontId="49" fillId="0" borderId="22" xfId="0" applyNumberFormat="1" applyFont="1" applyBorder="1" applyAlignment="1">
      <alignment horizontal="center" vertical="center"/>
    </xf>
    <xf numFmtId="166" fontId="49" fillId="3" borderId="12" xfId="0" applyNumberFormat="1" applyFont="1" applyFill="1" applyBorder="1" applyAlignment="1">
      <alignment horizontal="left" vertical="center"/>
    </xf>
    <xf numFmtId="166" fontId="49" fillId="0" borderId="12" xfId="0" applyNumberFormat="1" applyFont="1" applyBorder="1" applyAlignment="1">
      <alignment horizontal="center" vertical="center"/>
    </xf>
    <xf numFmtId="0" fontId="53" fillId="0" borderId="12" xfId="0" applyFont="1" applyBorder="1"/>
    <xf numFmtId="3" fontId="24" fillId="4" borderId="12" xfId="0" applyNumberFormat="1" applyFont="1" applyFill="1" applyBorder="1" applyAlignment="1">
      <alignment horizontal="center" vertical="center"/>
    </xf>
    <xf numFmtId="0" fontId="6" fillId="0" borderId="2" xfId="0" applyFont="1" applyBorder="1"/>
    <xf numFmtId="0" fontId="6" fillId="0" borderId="7" xfId="0" applyFont="1" applyBorder="1" applyAlignment="1">
      <alignment wrapText="1"/>
    </xf>
    <xf numFmtId="0" fontId="6" fillId="0" borderId="12" xfId="0" applyFont="1" applyBorder="1"/>
    <xf numFmtId="0" fontId="12" fillId="16" borderId="2" xfId="5" applyFont="1" applyFill="1" applyBorder="1" applyAlignment="1">
      <alignment horizontal="center" vertical="center" wrapText="1"/>
    </xf>
    <xf numFmtId="0" fontId="12" fillId="17" borderId="14" xfId="0" applyFont="1" applyFill="1" applyBorder="1" applyAlignment="1">
      <alignment vertical="center"/>
    </xf>
    <xf numFmtId="0" fontId="12" fillId="9" borderId="12" xfId="0" applyFont="1" applyFill="1" applyBorder="1" applyAlignment="1">
      <alignment horizontal="center" vertical="center" wrapText="1" readingOrder="1"/>
    </xf>
    <xf numFmtId="0" fontId="12" fillId="9" borderId="12" xfId="0" applyFont="1" applyFill="1" applyBorder="1" applyAlignment="1">
      <alignment vertical="top" wrapText="1" readingOrder="1"/>
    </xf>
    <xf numFmtId="0" fontId="12" fillId="9" borderId="12" xfId="0" applyFont="1" applyFill="1" applyBorder="1" applyAlignment="1">
      <alignment horizontal="center" vertical="center" wrapText="1"/>
    </xf>
    <xf numFmtId="0" fontId="12" fillId="8" borderId="12" xfId="0" applyFont="1" applyFill="1" applyBorder="1" applyAlignment="1">
      <alignment horizontal="center" vertical="center" wrapText="1"/>
    </xf>
    <xf numFmtId="0" fontId="12" fillId="19" borderId="5" xfId="0" applyFont="1" applyFill="1" applyBorder="1" applyAlignment="1">
      <alignment horizontal="right" vertical="top" wrapText="1" readingOrder="1"/>
    </xf>
    <xf numFmtId="0" fontId="12" fillId="19" borderId="5" xfId="0" applyFont="1" applyFill="1" applyBorder="1" applyAlignment="1">
      <alignment horizontal="center" vertical="center" wrapText="1"/>
    </xf>
    <xf numFmtId="0" fontId="6" fillId="19" borderId="5" xfId="0" applyFont="1" applyFill="1" applyBorder="1" applyAlignment="1">
      <alignment horizontal="right" vertical="top"/>
    </xf>
    <xf numFmtId="0" fontId="6" fillId="19" borderId="10" xfId="0" applyFont="1" applyFill="1" applyBorder="1" applyAlignment="1">
      <alignment horizontal="right" vertical="top"/>
    </xf>
    <xf numFmtId="3" fontId="12" fillId="20" borderId="12" xfId="0" applyNumberFormat="1" applyFont="1" applyFill="1" applyBorder="1" applyAlignment="1">
      <alignment horizontal="right" vertical="top" wrapText="1" readingOrder="1"/>
    </xf>
    <xf numFmtId="0" fontId="12" fillId="19" borderId="2" xfId="0" applyFont="1" applyFill="1" applyBorder="1" applyAlignment="1">
      <alignment horizontal="right" vertical="top" wrapText="1" readingOrder="1"/>
    </xf>
    <xf numFmtId="0" fontId="12" fillId="19" borderId="2" xfId="0" applyFont="1" applyFill="1" applyBorder="1" applyAlignment="1">
      <alignment horizontal="center" vertical="center" wrapText="1"/>
    </xf>
    <xf numFmtId="0" fontId="6" fillId="19" borderId="2" xfId="0" applyFont="1" applyFill="1" applyBorder="1" applyAlignment="1">
      <alignment horizontal="center" vertical="center" wrapText="1"/>
    </xf>
    <xf numFmtId="3" fontId="6" fillId="2" borderId="2" xfId="0" applyNumberFormat="1" applyFont="1" applyFill="1" applyBorder="1" applyAlignment="1">
      <alignment horizontal="right" vertical="top" wrapText="1"/>
    </xf>
    <xf numFmtId="3" fontId="6" fillId="0" borderId="2" xfId="0" applyNumberFormat="1" applyFont="1" applyBorder="1" applyAlignment="1">
      <alignment horizontal="right" vertical="top" wrapText="1"/>
    </xf>
    <xf numFmtId="0" fontId="6" fillId="2" borderId="2" xfId="0" applyFont="1" applyFill="1" applyBorder="1" applyAlignment="1">
      <alignment horizontal="right" vertical="top" wrapText="1"/>
    </xf>
    <xf numFmtId="0" fontId="14" fillId="19" borderId="2" xfId="0" applyFont="1" applyFill="1" applyBorder="1" applyAlignment="1">
      <alignment horizontal="right" vertical="top" wrapText="1"/>
    </xf>
    <xf numFmtId="0" fontId="6" fillId="19" borderId="2" xfId="0" applyFont="1" applyFill="1" applyBorder="1" applyAlignment="1">
      <alignment horizontal="right" vertical="top"/>
    </xf>
    <xf numFmtId="0" fontId="12" fillId="21" borderId="2" xfId="0" applyFont="1" applyFill="1" applyBorder="1" applyAlignment="1">
      <alignment horizontal="right" vertical="top" wrapText="1" readingOrder="1"/>
    </xf>
    <xf numFmtId="0" fontId="12" fillId="21" borderId="2" xfId="0" applyFont="1" applyFill="1" applyBorder="1" applyAlignment="1">
      <alignment horizontal="center" vertical="center" wrapText="1"/>
    </xf>
    <xf numFmtId="3" fontId="6" fillId="2" borderId="2" xfId="0" applyNumberFormat="1" applyFont="1" applyFill="1" applyBorder="1" applyAlignment="1">
      <alignment horizontal="right" vertical="top"/>
    </xf>
    <xf numFmtId="0" fontId="6" fillId="0" borderId="2" xfId="0" applyFont="1" applyBorder="1" applyAlignment="1">
      <alignment horizontal="center" vertical="center"/>
    </xf>
    <xf numFmtId="3" fontId="6" fillId="0" borderId="2" xfId="0" applyNumberFormat="1" applyFont="1" applyBorder="1" applyAlignment="1">
      <alignment horizontal="right" vertical="top"/>
    </xf>
    <xf numFmtId="0" fontId="6" fillId="2" borderId="2" xfId="0" applyFont="1" applyFill="1" applyBorder="1" applyAlignment="1">
      <alignment horizontal="right" vertical="top"/>
    </xf>
    <xf numFmtId="3" fontId="6" fillId="19" borderId="2" xfId="0" applyNumberFormat="1" applyFont="1" applyFill="1" applyBorder="1" applyAlignment="1">
      <alignment horizontal="right" vertical="top"/>
    </xf>
    <xf numFmtId="0" fontId="6" fillId="0" borderId="2" xfId="0" applyFont="1" applyBorder="1" applyAlignment="1">
      <alignment horizontal="center" vertical="center" wrapText="1"/>
    </xf>
    <xf numFmtId="3" fontId="6" fillId="19" borderId="2" xfId="0" applyNumberFormat="1" applyFont="1" applyFill="1" applyBorder="1" applyAlignment="1">
      <alignment horizontal="right" vertical="top" wrapText="1"/>
    </xf>
    <xf numFmtId="0" fontId="6" fillId="0" borderId="2" xfId="0" applyFont="1" applyBorder="1" applyAlignment="1">
      <alignment horizontal="right" vertical="top" wrapText="1"/>
    </xf>
    <xf numFmtId="0" fontId="6" fillId="19" borderId="2" xfId="0" applyFont="1" applyFill="1" applyBorder="1" applyAlignment="1">
      <alignment horizontal="right" vertical="top" wrapText="1"/>
    </xf>
    <xf numFmtId="0" fontId="6" fillId="2" borderId="2" xfId="0" applyFont="1" applyFill="1" applyBorder="1" applyAlignment="1">
      <alignment vertical="top" wrapText="1" readingOrder="1"/>
    </xf>
    <xf numFmtId="3" fontId="14" fillId="19" borderId="2" xfId="0" applyNumberFormat="1" applyFont="1" applyFill="1" applyBorder="1" applyAlignment="1">
      <alignment horizontal="right" vertical="top" wrapText="1"/>
    </xf>
    <xf numFmtId="3" fontId="12" fillId="2" borderId="2" xfId="0" applyNumberFormat="1" applyFont="1" applyFill="1" applyBorder="1" applyAlignment="1">
      <alignment horizontal="right" vertical="top" wrapText="1"/>
    </xf>
    <xf numFmtId="0" fontId="6" fillId="4" borderId="3" xfId="0" applyFont="1" applyFill="1" applyBorder="1" applyAlignment="1">
      <alignment horizontal="left" vertical="center" wrapText="1" readingOrder="1"/>
    </xf>
    <xf numFmtId="0" fontId="6" fillId="2" borderId="6" xfId="0" applyFont="1" applyFill="1" applyBorder="1" applyAlignment="1">
      <alignment horizontal="left" vertical="top" wrapText="1"/>
    </xf>
    <xf numFmtId="0" fontId="6" fillId="2" borderId="22" xfId="0" applyFont="1" applyFill="1" applyBorder="1" applyAlignment="1">
      <alignment horizontal="left" vertical="top" wrapText="1"/>
    </xf>
    <xf numFmtId="3" fontId="12" fillId="2" borderId="3" xfId="0" applyNumberFormat="1" applyFont="1" applyFill="1" applyBorder="1" applyAlignment="1">
      <alignment horizontal="right" vertical="top" wrapText="1"/>
    </xf>
    <xf numFmtId="0" fontId="6" fillId="0" borderId="3" xfId="0" applyFont="1" applyBorder="1" applyAlignment="1">
      <alignment horizontal="center" vertical="center" wrapText="1"/>
    </xf>
    <xf numFmtId="0" fontId="6" fillId="2" borderId="3" xfId="0" applyFont="1" applyFill="1" applyBorder="1" applyAlignment="1">
      <alignment horizontal="right" vertical="top" wrapText="1"/>
    </xf>
    <xf numFmtId="0" fontId="14" fillId="19" borderId="3" xfId="0" applyFont="1" applyFill="1" applyBorder="1" applyAlignment="1">
      <alignment horizontal="right" vertical="top" wrapText="1"/>
    </xf>
    <xf numFmtId="0" fontId="6" fillId="2" borderId="13" xfId="0" applyFont="1" applyFill="1" applyBorder="1" applyAlignment="1">
      <alignment horizontal="left" vertical="top" wrapText="1"/>
    </xf>
    <xf numFmtId="0" fontId="6" fillId="2" borderId="12" xfId="0" applyFont="1" applyFill="1" applyBorder="1" applyAlignment="1">
      <alignment vertical="top" wrapText="1" readingOrder="1"/>
    </xf>
    <xf numFmtId="3" fontId="6" fillId="2" borderId="12" xfId="0" applyNumberFormat="1" applyFont="1" applyFill="1" applyBorder="1" applyAlignment="1">
      <alignment horizontal="right" vertical="top" wrapText="1"/>
    </xf>
    <xf numFmtId="0" fontId="6" fillId="0" borderId="12" xfId="0" applyFont="1" applyBorder="1" applyAlignment="1">
      <alignment horizontal="center" vertical="center" wrapText="1"/>
    </xf>
    <xf numFmtId="3" fontId="6" fillId="0" borderId="12" xfId="0" applyNumberFormat="1" applyFont="1" applyBorder="1" applyAlignment="1">
      <alignment horizontal="right" vertical="top" wrapText="1"/>
    </xf>
    <xf numFmtId="3" fontId="6" fillId="19" borderId="12" xfId="0" applyNumberFormat="1" applyFont="1" applyFill="1" applyBorder="1" applyAlignment="1">
      <alignment horizontal="right" vertical="top" wrapText="1"/>
    </xf>
    <xf numFmtId="0" fontId="6" fillId="2" borderId="12" xfId="0" applyFont="1" applyFill="1" applyBorder="1" applyAlignment="1">
      <alignment horizontal="right" vertical="top" wrapText="1"/>
    </xf>
    <xf numFmtId="0" fontId="6" fillId="0" borderId="12" xfId="0" applyFont="1" applyBorder="1" applyAlignment="1">
      <alignment horizontal="right" vertical="top" wrapText="1"/>
    </xf>
    <xf numFmtId="0" fontId="6" fillId="19" borderId="12" xfId="0" applyFont="1" applyFill="1" applyBorder="1" applyAlignment="1">
      <alignment horizontal="right" vertical="top" wrapText="1"/>
    </xf>
    <xf numFmtId="0" fontId="4" fillId="0" borderId="17" xfId="0" applyFont="1" applyBorder="1" applyAlignment="1">
      <alignment horizontal="left" vertical="center"/>
    </xf>
    <xf numFmtId="3" fontId="12" fillId="2" borderId="5" xfId="0" applyNumberFormat="1" applyFont="1" applyFill="1" applyBorder="1" applyAlignment="1">
      <alignment horizontal="right" vertical="top" wrapText="1"/>
    </xf>
    <xf numFmtId="0" fontId="6" fillId="0" borderId="5" xfId="0" applyFont="1" applyBorder="1" applyAlignment="1">
      <alignment horizontal="center" vertical="center" wrapText="1"/>
    </xf>
    <xf numFmtId="0" fontId="6" fillId="2" borderId="5" xfId="0" applyFont="1" applyFill="1" applyBorder="1" applyAlignment="1">
      <alignment horizontal="right" vertical="top" wrapText="1"/>
    </xf>
    <xf numFmtId="0" fontId="6" fillId="0" borderId="5" xfId="0" applyFont="1" applyBorder="1" applyAlignment="1">
      <alignment horizontal="right" vertical="top" wrapText="1"/>
    </xf>
    <xf numFmtId="0" fontId="6" fillId="19" borderId="5" xfId="0" applyFont="1" applyFill="1" applyBorder="1" applyAlignment="1">
      <alignment horizontal="right" vertical="top" wrapText="1"/>
    </xf>
    <xf numFmtId="0" fontId="6" fillId="0" borderId="2" xfId="0" applyFont="1" applyBorder="1" applyAlignment="1">
      <alignment horizontal="right" vertical="top"/>
    </xf>
    <xf numFmtId="0" fontId="6" fillId="19" borderId="5" xfId="0" applyFont="1" applyFill="1" applyBorder="1" applyAlignment="1">
      <alignment wrapText="1"/>
    </xf>
    <xf numFmtId="3" fontId="6" fillId="19" borderId="5" xfId="0" applyNumberFormat="1" applyFont="1" applyFill="1" applyBorder="1" applyAlignment="1">
      <alignment wrapText="1"/>
    </xf>
    <xf numFmtId="0" fontId="6" fillId="19" borderId="3" xfId="0" applyFont="1" applyFill="1" applyBorder="1" applyAlignment="1">
      <alignment horizontal="right" vertical="top" wrapText="1"/>
    </xf>
    <xf numFmtId="0" fontId="12" fillId="4" borderId="2" xfId="0" applyFont="1" applyFill="1" applyBorder="1" applyAlignment="1">
      <alignment vertical="top" wrapText="1" readingOrder="1"/>
    </xf>
    <xf numFmtId="0" fontId="12" fillId="4" borderId="2" xfId="0" applyFont="1" applyFill="1" applyBorder="1" applyAlignment="1">
      <alignment horizontal="right" vertical="top" wrapText="1"/>
    </xf>
    <xf numFmtId="0" fontId="12" fillId="4" borderId="3" xfId="0" applyFont="1" applyFill="1" applyBorder="1" applyAlignment="1">
      <alignment horizontal="center" vertical="center" wrapText="1"/>
    </xf>
    <xf numFmtId="3" fontId="12" fillId="4" borderId="3" xfId="0" applyNumberFormat="1" applyFont="1" applyFill="1" applyBorder="1" applyAlignment="1">
      <alignment horizontal="right" vertical="top" wrapText="1"/>
    </xf>
    <xf numFmtId="0" fontId="12" fillId="4" borderId="7" xfId="0" applyFont="1" applyFill="1" applyBorder="1" applyAlignment="1">
      <alignment horizontal="right" vertical="top" wrapText="1"/>
    </xf>
    <xf numFmtId="0" fontId="12" fillId="6" borderId="2" xfId="0" applyFont="1" applyFill="1" applyBorder="1" applyAlignment="1">
      <alignment horizontal="center" vertical="center"/>
    </xf>
    <xf numFmtId="0" fontId="6" fillId="6" borderId="2" xfId="0" applyFont="1" applyFill="1" applyBorder="1" applyAlignment="1">
      <alignment horizontal="right" vertical="top"/>
    </xf>
    <xf numFmtId="0" fontId="6" fillId="0" borderId="25" xfId="0" applyFont="1" applyBorder="1" applyAlignment="1">
      <alignment wrapText="1"/>
    </xf>
    <xf numFmtId="0" fontId="6" fillId="0" borderId="25" xfId="0" applyFont="1" applyBorder="1"/>
    <xf numFmtId="3" fontId="6" fillId="19" borderId="12" xfId="0" applyNumberFormat="1" applyFont="1" applyFill="1" applyBorder="1" applyAlignment="1">
      <alignment horizontal="center" vertical="center" wrapText="1"/>
    </xf>
    <xf numFmtId="0" fontId="6" fillId="19" borderId="12" xfId="0" applyFont="1" applyFill="1" applyBorder="1" applyAlignment="1">
      <alignment horizontal="center" vertical="center" wrapText="1"/>
    </xf>
    <xf numFmtId="3" fontId="14" fillId="19" borderId="12" xfId="0" applyNumberFormat="1" applyFont="1" applyFill="1" applyBorder="1"/>
    <xf numFmtId="0" fontId="14" fillId="19" borderId="12" xfId="0" applyFont="1" applyFill="1" applyBorder="1"/>
    <xf numFmtId="0" fontId="14" fillId="0" borderId="12" xfId="0" applyFont="1" applyBorder="1"/>
    <xf numFmtId="3" fontId="14" fillId="38" borderId="12" xfId="0" applyNumberFormat="1" applyFont="1" applyFill="1" applyBorder="1"/>
    <xf numFmtId="0" fontId="14" fillId="38" borderId="12" xfId="0" applyFont="1" applyFill="1" applyBorder="1"/>
    <xf numFmtId="0" fontId="6" fillId="19" borderId="24" xfId="0" applyFont="1" applyFill="1" applyBorder="1"/>
    <xf numFmtId="0" fontId="6" fillId="19" borderId="1" xfId="0" applyFont="1" applyFill="1" applyBorder="1"/>
    <xf numFmtId="0" fontId="6" fillId="19" borderId="14" xfId="0" applyFont="1" applyFill="1" applyBorder="1"/>
    <xf numFmtId="0" fontId="6" fillId="19" borderId="12" xfId="0" applyFont="1" applyFill="1" applyBorder="1"/>
    <xf numFmtId="0" fontId="6" fillId="19" borderId="12" xfId="0" applyFont="1" applyFill="1" applyBorder="1" applyAlignment="1">
      <alignment horizontal="right"/>
    </xf>
    <xf numFmtId="0" fontId="54" fillId="0" borderId="12" xfId="0" applyFont="1" applyBorder="1"/>
    <xf numFmtId="0" fontId="6" fillId="19" borderId="12" xfId="0" applyFont="1" applyFill="1" applyBorder="1" applyAlignment="1">
      <alignment horizontal="center" vertical="top"/>
    </xf>
    <xf numFmtId="3" fontId="6" fillId="19" borderId="12" xfId="0" applyNumberFormat="1" applyFont="1" applyFill="1" applyBorder="1" applyAlignment="1">
      <alignment horizontal="center" vertical="top"/>
    </xf>
    <xf numFmtId="0" fontId="6" fillId="0" borderId="12" xfId="0" applyFont="1" applyBorder="1" applyAlignment="1">
      <alignment horizontal="center" vertical="center"/>
    </xf>
    <xf numFmtId="0" fontId="6" fillId="19" borderId="12" xfId="0" applyFont="1" applyFill="1" applyBorder="1" applyAlignment="1">
      <alignment horizontal="center" vertical="center"/>
    </xf>
    <xf numFmtId="0" fontId="9" fillId="19" borderId="12" xfId="0" applyFont="1" applyFill="1" applyBorder="1" applyAlignment="1">
      <alignment wrapText="1"/>
    </xf>
    <xf numFmtId="0" fontId="9" fillId="19" borderId="12" xfId="0" applyFont="1" applyFill="1" applyBorder="1"/>
    <xf numFmtId="0" fontId="10" fillId="19" borderId="14" xfId="0" applyFont="1" applyFill="1" applyBorder="1"/>
    <xf numFmtId="0" fontId="10" fillId="19" borderId="12" xfId="0" applyFont="1" applyFill="1" applyBorder="1"/>
    <xf numFmtId="0" fontId="50" fillId="19" borderId="12" xfId="0" applyFont="1" applyFill="1" applyBorder="1" applyAlignment="1">
      <alignment vertical="top" wrapText="1"/>
    </xf>
    <xf numFmtId="0" fontId="6" fillId="19" borderId="12" xfId="0" applyFont="1" applyFill="1" applyBorder="1" applyAlignment="1">
      <alignment vertical="center" wrapText="1"/>
    </xf>
    <xf numFmtId="3" fontId="6" fillId="0" borderId="7" xfId="0" applyNumberFormat="1" applyFont="1" applyBorder="1"/>
    <xf numFmtId="0" fontId="6" fillId="0" borderId="12" xfId="0" applyFont="1" applyBorder="1" applyAlignment="1">
      <alignment wrapText="1"/>
    </xf>
    <xf numFmtId="0" fontId="5" fillId="3" borderId="8" xfId="5" applyFont="1" applyFill="1" applyBorder="1" applyAlignment="1">
      <alignment horizontal="center" vertical="center" wrapText="1"/>
    </xf>
    <xf numFmtId="0" fontId="49" fillId="0" borderId="10" xfId="0" applyFont="1" applyBorder="1" applyAlignment="1">
      <alignment horizontal="left" vertical="center" wrapText="1"/>
    </xf>
    <xf numFmtId="0" fontId="4" fillId="3" borderId="8" xfId="5" applyFont="1" applyFill="1" applyBorder="1" applyAlignment="1">
      <alignment horizontal="center" vertical="center" wrapText="1"/>
    </xf>
    <xf numFmtId="0" fontId="4" fillId="0" borderId="8" xfId="11" applyFont="1" applyAlignment="1">
      <alignment horizontal="center"/>
    </xf>
    <xf numFmtId="0" fontId="22" fillId="8" borderId="8" xfId="11" applyFont="1" applyFill="1" applyBorder="1" applyAlignment="1">
      <alignment horizontal="center"/>
    </xf>
    <xf numFmtId="0" fontId="22" fillId="8" borderId="8" xfId="11" applyFont="1" applyFill="1" applyAlignment="1">
      <alignment horizontal="center"/>
    </xf>
    <xf numFmtId="0" fontId="6" fillId="18" borderId="3" xfId="0" applyFont="1" applyFill="1" applyBorder="1" applyAlignment="1">
      <alignment horizontal="center" vertical="center"/>
    </xf>
    <xf numFmtId="0" fontId="6" fillId="18" borderId="4" xfId="0" applyFont="1" applyFill="1" applyBorder="1" applyAlignment="1">
      <alignment horizontal="center" vertical="center"/>
    </xf>
    <xf numFmtId="0" fontId="6" fillId="18" borderId="5" xfId="0" applyFont="1" applyFill="1" applyBorder="1" applyAlignment="1">
      <alignment horizontal="center" vertical="center"/>
    </xf>
    <xf numFmtId="0" fontId="6" fillId="18" borderId="3" xfId="0" applyFont="1" applyFill="1" applyBorder="1" applyAlignment="1">
      <alignment horizontal="center" vertical="top" wrapText="1"/>
    </xf>
    <xf numFmtId="0" fontId="6" fillId="18" borderId="4" xfId="0" applyFont="1" applyFill="1" applyBorder="1" applyAlignment="1">
      <alignment horizontal="center" vertical="top" wrapText="1"/>
    </xf>
    <xf numFmtId="0" fontId="6" fillId="18" borderId="5" xfId="0" applyFont="1" applyFill="1" applyBorder="1" applyAlignment="1">
      <alignment horizontal="center" vertical="top" wrapText="1"/>
    </xf>
    <xf numFmtId="0" fontId="6" fillId="22" borderId="3" xfId="0" applyFont="1" applyFill="1" applyBorder="1" applyAlignment="1">
      <alignment horizontal="center" vertical="center" wrapText="1"/>
    </xf>
    <xf numFmtId="0" fontId="6" fillId="22" borderId="4" xfId="0" applyFont="1" applyFill="1" applyBorder="1" applyAlignment="1">
      <alignment horizontal="center" vertical="center" wrapText="1"/>
    </xf>
    <xf numFmtId="0" fontId="6" fillId="22" borderId="5" xfId="0" applyFont="1" applyFill="1" applyBorder="1" applyAlignment="1">
      <alignment horizontal="center" vertical="center" wrapText="1"/>
    </xf>
    <xf numFmtId="0" fontId="6" fillId="2" borderId="3" xfId="0" applyFont="1" applyFill="1" applyBorder="1" applyAlignment="1">
      <alignment horizontal="center" vertical="top" wrapText="1"/>
    </xf>
    <xf numFmtId="0" fontId="6" fillId="2" borderId="4" xfId="0" applyFont="1" applyFill="1" applyBorder="1" applyAlignment="1">
      <alignment horizontal="center" vertical="top" wrapText="1"/>
    </xf>
    <xf numFmtId="0" fontId="6" fillId="2" borderId="5" xfId="0" applyFont="1" applyFill="1" applyBorder="1" applyAlignment="1">
      <alignment horizontal="center" vertical="top" wrapText="1"/>
    </xf>
    <xf numFmtId="0" fontId="6" fillId="22" borderId="3" xfId="0" applyFont="1" applyFill="1" applyBorder="1" applyAlignment="1">
      <alignment horizontal="center" vertical="top" wrapText="1" readingOrder="1"/>
    </xf>
    <xf numFmtId="0" fontId="6" fillId="22" borderId="5" xfId="0" applyFont="1" applyFill="1" applyBorder="1" applyAlignment="1">
      <alignment horizontal="center" vertical="top" wrapText="1" readingOrder="1"/>
    </xf>
    <xf numFmtId="0" fontId="6" fillId="22" borderId="3" xfId="0" applyFont="1" applyFill="1" applyBorder="1" applyAlignment="1">
      <alignment horizontal="left" vertical="center" wrapText="1" readingOrder="1"/>
    </xf>
    <xf numFmtId="0" fontId="6" fillId="22" borderId="5" xfId="0" applyFont="1" applyFill="1" applyBorder="1" applyAlignment="1">
      <alignment horizontal="left" vertical="center" wrapText="1" readingOrder="1"/>
    </xf>
    <xf numFmtId="0" fontId="6" fillId="2" borderId="3" xfId="0" applyFont="1" applyFill="1" applyBorder="1" applyAlignment="1">
      <alignment horizontal="left" vertical="top" wrapText="1" readingOrder="1"/>
    </xf>
    <xf numFmtId="0" fontId="6" fillId="2" borderId="27" xfId="0" applyFont="1" applyFill="1" applyBorder="1" applyAlignment="1">
      <alignment horizontal="left" vertical="top" wrapText="1" readingOrder="1"/>
    </xf>
    <xf numFmtId="0" fontId="6" fillId="18" borderId="9" xfId="0" applyFont="1" applyFill="1" applyBorder="1" applyAlignment="1">
      <alignment horizontal="center" vertical="top"/>
    </xf>
    <xf numFmtId="0" fontId="6" fillId="18" borderId="11" xfId="0" applyFont="1" applyFill="1" applyBorder="1" applyAlignment="1">
      <alignment horizontal="center" vertical="top"/>
    </xf>
    <xf numFmtId="0" fontId="6" fillId="18" borderId="10" xfId="0" applyFont="1" applyFill="1" applyBorder="1" applyAlignment="1">
      <alignment horizontal="center" vertical="top"/>
    </xf>
    <xf numFmtId="0" fontId="4" fillId="6" borderId="3" xfId="0" applyFont="1" applyFill="1" applyBorder="1" applyAlignment="1">
      <alignment horizontal="center" vertical="center"/>
    </xf>
    <xf numFmtId="0" fontId="4" fillId="6" borderId="4" xfId="0" applyFont="1" applyFill="1" applyBorder="1" applyAlignment="1">
      <alignment horizontal="center" vertical="center"/>
    </xf>
    <xf numFmtId="0" fontId="4" fillId="6" borderId="5" xfId="0" applyFont="1" applyFill="1" applyBorder="1" applyAlignment="1">
      <alignment horizontal="center" vertical="center"/>
    </xf>
    <xf numFmtId="0" fontId="6" fillId="2" borderId="16"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2" borderId="23" xfId="0" applyFont="1" applyFill="1" applyBorder="1" applyAlignment="1">
      <alignment horizontal="left" vertical="center" wrapText="1"/>
    </xf>
    <xf numFmtId="0" fontId="6" fillId="22" borderId="5" xfId="0" applyFont="1" applyFill="1" applyBorder="1" applyAlignment="1">
      <alignment horizontal="left" vertical="center" wrapText="1"/>
    </xf>
    <xf numFmtId="0" fontId="6" fillId="18" borderId="23" xfId="0" applyFont="1" applyFill="1" applyBorder="1" applyAlignment="1">
      <alignment horizontal="center" vertical="center"/>
    </xf>
    <xf numFmtId="0" fontId="12" fillId="18" borderId="23" xfId="0" applyFont="1" applyFill="1" applyBorder="1" applyAlignment="1">
      <alignment horizontal="center" vertical="top" wrapText="1"/>
    </xf>
    <xf numFmtId="0" fontId="12" fillId="18" borderId="4" xfId="0" applyFont="1" applyFill="1" applyBorder="1" applyAlignment="1">
      <alignment horizontal="center" vertical="top" wrapText="1"/>
    </xf>
    <xf numFmtId="0" fontId="12" fillId="18" borderId="5" xfId="0" applyFont="1" applyFill="1" applyBorder="1" applyAlignment="1">
      <alignment horizontal="center" vertical="top" wrapText="1"/>
    </xf>
    <xf numFmtId="0" fontId="12" fillId="18" borderId="23" xfId="0" applyFont="1" applyFill="1" applyBorder="1" applyAlignment="1">
      <alignment horizontal="left" vertical="center" wrapText="1" readingOrder="1"/>
    </xf>
    <xf numFmtId="0" fontId="12" fillId="18" borderId="4" xfId="0" applyFont="1" applyFill="1" applyBorder="1" applyAlignment="1">
      <alignment horizontal="left" vertical="center" wrapText="1" readingOrder="1"/>
    </xf>
    <xf numFmtId="0" fontId="12" fillId="18" borderId="5" xfId="0" applyFont="1" applyFill="1" applyBorder="1" applyAlignment="1">
      <alignment horizontal="left" vertical="center" wrapText="1" readingOrder="1"/>
    </xf>
    <xf numFmtId="0" fontId="6" fillId="19" borderId="23" xfId="0" applyFont="1" applyFill="1" applyBorder="1" applyAlignment="1">
      <alignment vertical="top" wrapText="1" readingOrder="1"/>
    </xf>
    <xf numFmtId="0" fontId="6" fillId="19" borderId="4" xfId="0" applyFont="1" applyFill="1" applyBorder="1" applyAlignment="1">
      <alignment vertical="top" wrapText="1" readingOrder="1"/>
    </xf>
    <xf numFmtId="0" fontId="6" fillId="19" borderId="5" xfId="0" applyFont="1" applyFill="1" applyBorder="1" applyAlignment="1">
      <alignment vertical="top" wrapText="1" readingOrder="1"/>
    </xf>
    <xf numFmtId="0" fontId="6" fillId="22" borderId="3" xfId="0" applyFont="1" applyFill="1" applyBorder="1" applyAlignment="1">
      <alignment horizontal="center" vertical="center" wrapText="1" readingOrder="1"/>
    </xf>
    <xf numFmtId="0" fontId="6" fillId="22" borderId="4" xfId="0" applyFont="1" applyFill="1" applyBorder="1" applyAlignment="1">
      <alignment horizontal="center" vertical="center" wrapText="1" readingOrder="1"/>
    </xf>
    <xf numFmtId="0" fontId="6" fillId="22" borderId="5" xfId="0" applyFont="1" applyFill="1" applyBorder="1" applyAlignment="1">
      <alignment horizontal="center" vertical="center" wrapText="1" readingOrder="1"/>
    </xf>
    <xf numFmtId="0" fontId="6" fillId="2" borderId="3" xfId="0" applyFont="1" applyFill="1" applyBorder="1" applyAlignment="1">
      <alignment vertical="top" wrapText="1"/>
    </xf>
    <xf numFmtId="0" fontId="6" fillId="2" borderId="4" xfId="0" applyFont="1" applyFill="1" applyBorder="1" applyAlignment="1">
      <alignment vertical="top" wrapText="1"/>
    </xf>
    <xf numFmtId="0" fontId="6" fillId="2" borderId="5" xfId="0" applyFont="1" applyFill="1" applyBorder="1" applyAlignment="1">
      <alignment vertical="top" wrapText="1"/>
    </xf>
    <xf numFmtId="0" fontId="6" fillId="22" borderId="4" xfId="0" applyFont="1" applyFill="1" applyBorder="1" applyAlignment="1">
      <alignment horizontal="left" vertical="center" wrapText="1" readingOrder="1"/>
    </xf>
    <xf numFmtId="0" fontId="12" fillId="18" borderId="3" xfId="0" applyFont="1" applyFill="1" applyBorder="1" applyAlignment="1">
      <alignment horizontal="center" vertical="top" wrapText="1"/>
    </xf>
    <xf numFmtId="0" fontId="6" fillId="2" borderId="3" xfId="0" applyFont="1" applyFill="1" applyBorder="1" applyAlignment="1">
      <alignment vertical="top" wrapText="1" readingOrder="1"/>
    </xf>
    <xf numFmtId="0" fontId="6" fillId="2" borderId="4" xfId="0" applyFont="1" applyFill="1" applyBorder="1" applyAlignment="1">
      <alignment vertical="top" wrapText="1" readingOrder="1"/>
    </xf>
    <xf numFmtId="0" fontId="6" fillId="2" borderId="5" xfId="0" applyFont="1" applyFill="1" applyBorder="1" applyAlignment="1">
      <alignment vertical="top" wrapText="1" readingOrder="1"/>
    </xf>
    <xf numFmtId="0" fontId="12" fillId="18" borderId="3" xfId="0" applyFont="1" applyFill="1" applyBorder="1" applyAlignment="1">
      <alignment horizontal="center" vertical="top"/>
    </xf>
    <xf numFmtId="0" fontId="12" fillId="18" borderId="4" xfId="0" applyFont="1" applyFill="1" applyBorder="1" applyAlignment="1">
      <alignment horizontal="center" vertical="top"/>
    </xf>
    <xf numFmtId="0" fontId="12" fillId="18" borderId="5" xfId="0" applyFont="1" applyFill="1" applyBorder="1" applyAlignment="1">
      <alignment horizontal="center" vertical="top"/>
    </xf>
    <xf numFmtId="0" fontId="5" fillId="3" borderId="8" xfId="5" applyFont="1" applyFill="1" applyBorder="1" applyAlignment="1">
      <alignment horizontal="center" vertical="center" wrapText="1"/>
    </xf>
    <xf numFmtId="0" fontId="6" fillId="22" borderId="3" xfId="0" applyFont="1" applyFill="1" applyBorder="1" applyAlignment="1">
      <alignment horizontal="left" vertical="center" wrapText="1"/>
    </xf>
    <xf numFmtId="0" fontId="6" fillId="2" borderId="4" xfId="0" applyFont="1" applyFill="1" applyBorder="1" applyAlignment="1">
      <alignment horizontal="left" vertical="top" wrapText="1" readingOrder="1"/>
    </xf>
    <xf numFmtId="0" fontId="6" fillId="2" borderId="5" xfId="0" applyFont="1" applyFill="1" applyBorder="1" applyAlignment="1">
      <alignment horizontal="left" vertical="top" wrapText="1" readingOrder="1"/>
    </xf>
    <xf numFmtId="0" fontId="6" fillId="2" borderId="23" xfId="0" applyFont="1" applyFill="1" applyBorder="1" applyAlignment="1">
      <alignment horizontal="center" vertical="top" wrapText="1" readingOrder="1"/>
    </xf>
    <xf numFmtId="0" fontId="6" fillId="2" borderId="5" xfId="0" applyFont="1" applyFill="1" applyBorder="1" applyAlignment="1">
      <alignment horizontal="center" vertical="top" wrapText="1" readingOrder="1"/>
    </xf>
    <xf numFmtId="0" fontId="6" fillId="18" borderId="3" xfId="0" applyFont="1" applyFill="1" applyBorder="1" applyAlignment="1">
      <alignment horizontal="center" vertical="center" wrapText="1"/>
    </xf>
    <xf numFmtId="0" fontId="6" fillId="18" borderId="4" xfId="0" applyFont="1" applyFill="1" applyBorder="1" applyAlignment="1">
      <alignment horizontal="center" vertical="center" wrapText="1"/>
    </xf>
    <xf numFmtId="0" fontId="6" fillId="18" borderId="5" xfId="0" applyFont="1" applyFill="1" applyBorder="1" applyAlignment="1">
      <alignment horizontal="center" vertical="center" wrapText="1"/>
    </xf>
    <xf numFmtId="0" fontId="6" fillId="22" borderId="4" xfId="0" applyFont="1" applyFill="1" applyBorder="1" applyAlignment="1">
      <alignment horizontal="left" vertical="center" wrapText="1"/>
    </xf>
    <xf numFmtId="0" fontId="4" fillId="0" borderId="0" xfId="0" applyFont="1" applyAlignment="1">
      <alignment horizontal="left" vertical="center" wrapText="1"/>
    </xf>
    <xf numFmtId="0" fontId="4" fillId="0" borderId="0" xfId="0" applyFont="1" applyAlignment="1"/>
    <xf numFmtId="0" fontId="4" fillId="0" borderId="12" xfId="0" applyFont="1" applyBorder="1" applyAlignment="1">
      <alignment horizontal="center" vertical="center" wrapText="1"/>
    </xf>
    <xf numFmtId="0" fontId="5" fillId="6" borderId="12" xfId="0" applyFont="1" applyFill="1" applyBorder="1" applyAlignment="1">
      <alignment horizontal="center" vertical="center" wrapText="1"/>
    </xf>
    <xf numFmtId="0" fontId="6" fillId="0" borderId="0" xfId="0" applyFont="1" applyAlignment="1">
      <alignment horizontal="left" vertical="center" wrapText="1"/>
    </xf>
    <xf numFmtId="0" fontId="4" fillId="0" borderId="0" xfId="0" applyFont="1" applyAlignment="1">
      <alignment horizontal="left" wrapText="1"/>
    </xf>
    <xf numFmtId="0" fontId="4" fillId="0" borderId="8" xfId="0" applyFont="1" applyBorder="1" applyAlignment="1">
      <alignment horizontal="left" vertical="center" wrapText="1"/>
    </xf>
    <xf numFmtId="49" fontId="5" fillId="0" borderId="0" xfId="0" applyNumberFormat="1" applyFont="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xf>
    <xf numFmtId="0" fontId="5" fillId="9" borderId="3" xfId="0" applyFont="1" applyFill="1" applyBorder="1" applyAlignment="1">
      <alignment horizontal="center"/>
    </xf>
    <xf numFmtId="0" fontId="5" fillId="9" borderId="2" xfId="0" applyFont="1" applyFill="1" applyBorder="1" applyAlignment="1">
      <alignment horizontal="center"/>
    </xf>
    <xf numFmtId="0" fontId="7" fillId="9" borderId="12" xfId="0" applyFont="1" applyFill="1" applyBorder="1" applyAlignment="1">
      <alignment horizontal="center" vertical="center" wrapText="1"/>
    </xf>
    <xf numFmtId="0" fontId="6" fillId="0" borderId="8" xfId="0" applyFont="1" applyBorder="1" applyAlignment="1">
      <alignment horizontal="left" vertical="center" wrapText="1"/>
    </xf>
    <xf numFmtId="0" fontId="4" fillId="0" borderId="8" xfId="0" applyFont="1" applyBorder="1" applyAlignment="1"/>
    <xf numFmtId="0" fontId="5" fillId="26" borderId="8" xfId="0" applyFont="1" applyFill="1" applyBorder="1" applyAlignment="1">
      <alignment horizontal="center" wrapText="1"/>
    </xf>
    <xf numFmtId="0" fontId="5" fillId="26" borderId="8" xfId="0" applyFont="1" applyFill="1" applyBorder="1" applyAlignment="1">
      <alignment horizontal="center" vertical="center" wrapText="1"/>
    </xf>
    <xf numFmtId="0" fontId="7" fillId="9" borderId="16" xfId="0" applyFont="1" applyFill="1" applyBorder="1" applyAlignment="1">
      <alignment horizontal="center" vertical="center" wrapText="1"/>
    </xf>
    <xf numFmtId="0" fontId="7" fillId="9" borderId="17" xfId="0" applyFont="1" applyFill="1" applyBorder="1" applyAlignment="1">
      <alignment horizontal="center" vertical="center" wrapText="1"/>
    </xf>
    <xf numFmtId="0" fontId="7" fillId="9" borderId="14" xfId="0" applyFont="1" applyFill="1" applyBorder="1" applyAlignment="1">
      <alignment horizontal="center" vertical="center" wrapText="1"/>
    </xf>
    <xf numFmtId="0" fontId="7" fillId="9" borderId="15" xfId="0" applyFont="1" applyFill="1" applyBorder="1" applyAlignment="1">
      <alignment horizontal="center" vertical="center" wrapText="1"/>
    </xf>
    <xf numFmtId="0" fontId="7" fillId="9" borderId="13" xfId="0" applyFont="1" applyFill="1" applyBorder="1" applyAlignment="1">
      <alignment horizontal="center" vertical="center" wrapText="1"/>
    </xf>
    <xf numFmtId="0" fontId="24" fillId="4" borderId="12" xfId="0" applyFont="1" applyFill="1" applyBorder="1" applyAlignment="1">
      <alignment horizontal="center" vertical="center"/>
    </xf>
    <xf numFmtId="0" fontId="4" fillId="0" borderId="8" xfId="0" applyFont="1" applyBorder="1" applyAlignment="1">
      <alignment horizontal="left" vertical="top" wrapText="1"/>
    </xf>
    <xf numFmtId="0" fontId="5" fillId="3" borderId="8" xfId="0" applyFont="1" applyFill="1" applyBorder="1" applyAlignment="1">
      <alignment horizontal="center" wrapText="1"/>
    </xf>
    <xf numFmtId="0" fontId="8" fillId="0" borderId="16" xfId="0" applyFont="1" applyBorder="1" applyAlignment="1">
      <alignment horizontal="center" vertical="center"/>
    </xf>
    <xf numFmtId="0" fontId="8" fillId="0" borderId="18" xfId="0" applyFont="1" applyBorder="1" applyAlignment="1">
      <alignment horizontal="center" vertical="center"/>
    </xf>
    <xf numFmtId="0" fontId="4" fillId="2" borderId="9" xfId="0" applyFont="1" applyFill="1" applyBorder="1" applyAlignment="1">
      <alignment horizontal="left" vertical="center"/>
    </xf>
    <xf numFmtId="0" fontId="4" fillId="2" borderId="11" xfId="0" applyFont="1" applyFill="1" applyBorder="1" applyAlignment="1">
      <alignment horizontal="left" vertical="center"/>
    </xf>
    <xf numFmtId="0" fontId="4" fillId="2" borderId="10" xfId="0" applyFont="1" applyFill="1" applyBorder="1" applyAlignment="1">
      <alignment horizontal="left" vertical="center"/>
    </xf>
    <xf numFmtId="0" fontId="4" fillId="3" borderId="3" xfId="0" applyFont="1" applyFill="1" applyBorder="1" applyAlignment="1">
      <alignment horizontal="left" vertical="center"/>
    </xf>
    <xf numFmtId="0" fontId="4" fillId="3" borderId="4" xfId="0" applyFont="1" applyFill="1" applyBorder="1" applyAlignment="1">
      <alignment horizontal="left" vertical="center"/>
    </xf>
    <xf numFmtId="0" fontId="14" fillId="0" borderId="3" xfId="0" applyFont="1" applyBorder="1" applyAlignment="1">
      <alignment vertical="center"/>
    </xf>
    <xf numFmtId="0" fontId="14" fillId="0" borderId="4" xfId="0" applyFont="1" applyBorder="1" applyAlignment="1">
      <alignment vertical="center"/>
    </xf>
    <xf numFmtId="0" fontId="49" fillId="0" borderId="9" xfId="0" applyFont="1" applyBorder="1" applyAlignment="1">
      <alignment horizontal="left" vertical="center"/>
    </xf>
    <xf numFmtId="0" fontId="49" fillId="0" borderId="10" xfId="0" applyFont="1" applyBorder="1" applyAlignment="1">
      <alignment horizontal="left" vertical="center"/>
    </xf>
    <xf numFmtId="0" fontId="49" fillId="0" borderId="9" xfId="0" applyFont="1" applyBorder="1" applyAlignment="1">
      <alignment horizontal="left" vertical="center" wrapText="1"/>
    </xf>
    <xf numFmtId="0" fontId="49" fillId="0" borderId="11" xfId="0" applyFont="1" applyBorder="1" applyAlignment="1">
      <alignment horizontal="left" vertical="center" wrapText="1"/>
    </xf>
    <xf numFmtId="0" fontId="49" fillId="0" borderId="10" xfId="0" applyFont="1" applyBorder="1" applyAlignment="1">
      <alignment horizontal="left" vertical="center" wrapText="1"/>
    </xf>
    <xf numFmtId="0" fontId="4" fillId="3" borderId="8" xfId="5" applyFont="1" applyFill="1" applyBorder="1" applyAlignment="1">
      <alignment horizontal="center" vertical="center" wrapText="1"/>
    </xf>
    <xf numFmtId="0" fontId="4" fillId="0" borderId="3" xfId="0" applyFont="1" applyBorder="1" applyAlignment="1">
      <alignment horizontal="center" vertical="center"/>
    </xf>
    <xf numFmtId="0" fontId="4" fillId="0" borderId="5" xfId="0" applyFont="1" applyBorder="1" applyAlignment="1">
      <alignment horizontal="center" vertical="center"/>
    </xf>
    <xf numFmtId="0" fontId="4" fillId="0" borderId="9" xfId="0" applyFont="1" applyBorder="1" applyAlignment="1">
      <alignment horizontal="left" vertical="center"/>
    </xf>
    <xf numFmtId="0" fontId="4" fillId="0" borderId="10" xfId="0" applyFont="1" applyBorder="1" applyAlignment="1">
      <alignment horizontal="left" vertical="center"/>
    </xf>
    <xf numFmtId="0" fontId="4" fillId="0" borderId="9" xfId="0" applyFont="1" applyBorder="1" applyAlignment="1">
      <alignment horizontal="left" vertical="center" wrapText="1"/>
    </xf>
    <xf numFmtId="0" fontId="4" fillId="0" borderId="11" xfId="0" applyFont="1" applyBorder="1" applyAlignment="1">
      <alignment horizontal="left" vertical="center" wrapText="1"/>
    </xf>
    <xf numFmtId="0" fontId="4" fillId="0" borderId="10" xfId="0" applyFont="1" applyBorder="1" applyAlignment="1">
      <alignment horizontal="left" vertical="center" wrapText="1"/>
    </xf>
    <xf numFmtId="0" fontId="4" fillId="0" borderId="11" xfId="0" applyFont="1" applyBorder="1" applyAlignment="1">
      <alignment horizontal="left" vertical="center"/>
    </xf>
    <xf numFmtId="0" fontId="7" fillId="14" borderId="8" xfId="0" applyFont="1" applyFill="1" applyBorder="1" applyAlignment="1">
      <alignment horizontal="center"/>
    </xf>
    <xf numFmtId="0" fontId="7" fillId="12" borderId="12" xfId="0" applyFont="1" applyFill="1" applyBorder="1" applyAlignment="1">
      <alignment horizontal="center" vertical="center" wrapText="1"/>
    </xf>
    <xf numFmtId="0" fontId="7" fillId="13" borderId="12" xfId="0" applyFont="1" applyFill="1" applyBorder="1" applyAlignment="1">
      <alignment horizontal="center"/>
    </xf>
    <xf numFmtId="49" fontId="7" fillId="0" borderId="0" xfId="0" applyNumberFormat="1" applyFont="1" applyAlignment="1">
      <alignment horizontal="center" vertical="top" wrapText="1"/>
    </xf>
    <xf numFmtId="0" fontId="7" fillId="0" borderId="0" xfId="0" applyFont="1" applyAlignment="1">
      <alignment horizontal="center" vertical="top" wrapText="1"/>
    </xf>
    <xf numFmtId="0" fontId="8" fillId="0" borderId="3" xfId="0" applyFont="1" applyBorder="1" applyAlignment="1">
      <alignment horizontal="center" vertical="top" wrapText="1"/>
    </xf>
    <xf numFmtId="0" fontId="8" fillId="0" borderId="4" xfId="0" applyFont="1" applyBorder="1" applyAlignment="1">
      <alignment horizontal="center" vertical="top" wrapText="1"/>
    </xf>
    <xf numFmtId="0" fontId="8" fillId="0" borderId="5" xfId="0" applyFont="1" applyBorder="1" applyAlignment="1">
      <alignment horizontal="center" vertical="top" wrapText="1"/>
    </xf>
    <xf numFmtId="0" fontId="9" fillId="2" borderId="8" xfId="0" applyFont="1" applyFill="1" applyBorder="1" applyAlignment="1">
      <alignment horizontal="left" vertical="top"/>
    </xf>
    <xf numFmtId="0" fontId="10" fillId="0" borderId="8" xfId="0" applyFont="1" applyBorder="1" applyAlignment="1">
      <alignment vertical="top"/>
    </xf>
    <xf numFmtId="0" fontId="4" fillId="0" borderId="8" xfId="5" applyFont="1" applyAlignment="1">
      <alignment horizontal="left" vertical="center" wrapText="1"/>
    </xf>
    <xf numFmtId="0" fontId="5" fillId="3" borderId="8" xfId="0" applyFont="1" applyFill="1" applyBorder="1" applyAlignment="1">
      <alignment horizontal="center" vertical="center" wrapText="1"/>
    </xf>
    <xf numFmtId="0" fontId="49" fillId="3" borderId="3" xfId="0" applyFont="1" applyFill="1" applyBorder="1" applyAlignment="1">
      <alignment horizontal="left" vertical="center"/>
    </xf>
    <xf numFmtId="0" fontId="49" fillId="3" borderId="4" xfId="0" applyFont="1" applyFill="1" applyBorder="1" applyAlignment="1">
      <alignment horizontal="left" vertical="center"/>
    </xf>
    <xf numFmtId="0" fontId="45" fillId="0" borderId="3" xfId="0" applyFont="1" applyBorder="1" applyAlignment="1">
      <alignment vertical="center"/>
    </xf>
    <xf numFmtId="0" fontId="45" fillId="0" borderId="4" xfId="0" applyFont="1" applyBorder="1" applyAlignment="1">
      <alignment vertical="center"/>
    </xf>
    <xf numFmtId="0" fontId="4" fillId="0" borderId="8" xfId="5" applyFont="1" applyBorder="1" applyAlignment="1">
      <alignment horizontal="left" vertical="top" wrapText="1"/>
    </xf>
    <xf numFmtId="0" fontId="4" fillId="0" borderId="8" xfId="5" applyFont="1" applyAlignment="1">
      <alignment horizontal="left" wrapText="1"/>
    </xf>
    <xf numFmtId="166" fontId="49" fillId="0" borderId="16" xfId="0" applyNumberFormat="1" applyFont="1" applyBorder="1" applyAlignment="1">
      <alignment horizontal="center" vertical="top" wrapText="1"/>
    </xf>
    <xf numFmtId="166" fontId="49" fillId="0" borderId="18" xfId="0" applyNumberFormat="1" applyFont="1" applyBorder="1" applyAlignment="1">
      <alignment horizontal="center" vertical="top" wrapText="1"/>
    </xf>
    <xf numFmtId="166" fontId="49" fillId="0" borderId="17" xfId="0" applyNumberFormat="1" applyFont="1" applyBorder="1" applyAlignment="1">
      <alignment horizontal="center" vertical="top" wrapText="1"/>
    </xf>
    <xf numFmtId="166" fontId="49" fillId="7" borderId="20" xfId="0" applyNumberFormat="1" applyFont="1" applyFill="1" applyBorder="1" applyAlignment="1">
      <alignment horizontal="center" vertical="top" wrapText="1"/>
    </xf>
    <xf numFmtId="166" fontId="49" fillId="7" borderId="19" xfId="0" applyNumberFormat="1" applyFont="1" applyFill="1" applyBorder="1" applyAlignment="1">
      <alignment horizontal="center" vertical="top" wrapText="1"/>
    </xf>
    <xf numFmtId="166" fontId="49" fillId="7" borderId="21" xfId="0" applyNumberFormat="1" applyFont="1" applyFill="1" applyBorder="1" applyAlignment="1">
      <alignment horizontal="center" vertical="top" wrapText="1"/>
    </xf>
    <xf numFmtId="0" fontId="49" fillId="2" borderId="9" xfId="0" applyFont="1" applyFill="1" applyBorder="1" applyAlignment="1">
      <alignment horizontal="left" vertical="center"/>
    </xf>
    <xf numFmtId="0" fontId="49" fillId="2" borderId="11" xfId="0" applyFont="1" applyFill="1" applyBorder="1" applyAlignment="1">
      <alignment horizontal="left" vertical="center"/>
    </xf>
    <xf numFmtId="0" fontId="49" fillId="2" borderId="10" xfId="0" applyFont="1" applyFill="1" applyBorder="1" applyAlignment="1">
      <alignment horizontal="left" vertical="center"/>
    </xf>
    <xf numFmtId="0" fontId="5" fillId="28" borderId="21" xfId="0" applyFont="1" applyFill="1" applyBorder="1" applyAlignment="1">
      <alignment horizontal="center" vertical="center" wrapText="1"/>
    </xf>
    <xf numFmtId="0" fontId="5" fillId="28" borderId="26" xfId="0" applyFont="1" applyFill="1" applyBorder="1" applyAlignment="1">
      <alignment horizontal="center" vertical="center" wrapText="1"/>
    </xf>
    <xf numFmtId="0" fontId="4" fillId="0" borderId="8" xfId="5" applyFont="1" applyBorder="1" applyAlignment="1">
      <alignment horizontal="center" vertical="center"/>
    </xf>
    <xf numFmtId="0" fontId="12" fillId="17" borderId="12" xfId="5" applyFont="1" applyFill="1" applyBorder="1" applyAlignment="1">
      <alignment horizontal="center" vertical="center" wrapText="1"/>
    </xf>
    <xf numFmtId="0" fontId="5" fillId="9" borderId="12" xfId="0" applyFont="1" applyFill="1" applyBorder="1" applyAlignment="1">
      <alignment horizontal="center"/>
    </xf>
    <xf numFmtId="0" fontId="5" fillId="8" borderId="21" xfId="5" applyFont="1" applyFill="1" applyBorder="1" applyAlignment="1">
      <alignment horizontal="center"/>
    </xf>
    <xf numFmtId="0" fontId="5" fillId="8" borderId="26" xfId="5" applyFont="1" applyFill="1" applyBorder="1" applyAlignment="1">
      <alignment horizontal="center"/>
    </xf>
    <xf numFmtId="0" fontId="6" fillId="0" borderId="12" xfId="5" applyFont="1" applyBorder="1" applyAlignment="1">
      <alignment horizontal="center" vertical="top" wrapText="1"/>
    </xf>
    <xf numFmtId="49" fontId="4" fillId="0" borderId="8" xfId="6" applyNumberFormat="1" applyFont="1" applyAlignment="1">
      <alignment horizontal="center" vertical="center" wrapText="1"/>
    </xf>
    <xf numFmtId="0" fontId="4" fillId="0" borderId="8" xfId="6" applyFont="1" applyAlignment="1">
      <alignment horizontal="center" vertical="center" wrapText="1"/>
    </xf>
    <xf numFmtId="0" fontId="5" fillId="8" borderId="12" xfId="0" applyFont="1" applyFill="1" applyBorder="1" applyAlignment="1">
      <alignment horizontal="right"/>
    </xf>
    <xf numFmtId="0" fontId="25" fillId="28" borderId="12" xfId="0" applyFont="1" applyFill="1" applyBorder="1" applyAlignment="1">
      <alignment horizontal="center" vertical="center" wrapText="1"/>
    </xf>
    <xf numFmtId="0" fontId="25" fillId="28" borderId="26" xfId="0" applyFont="1" applyFill="1" applyBorder="1" applyAlignment="1">
      <alignment horizontal="center" vertical="center" wrapText="1"/>
    </xf>
    <xf numFmtId="0" fontId="4" fillId="0" borderId="8" xfId="5" applyFont="1" applyBorder="1" applyAlignment="1">
      <alignment horizontal="center" vertical="center" wrapText="1"/>
    </xf>
    <xf numFmtId="0" fontId="4" fillId="8" borderId="12" xfId="0" applyFont="1" applyFill="1" applyBorder="1" applyAlignment="1">
      <alignment horizontal="center" vertical="center"/>
    </xf>
    <xf numFmtId="0" fontId="4" fillId="8" borderId="16" xfId="0" applyFont="1" applyFill="1" applyBorder="1" applyAlignment="1">
      <alignment horizontal="center" vertical="center" wrapText="1"/>
    </xf>
    <xf numFmtId="0" fontId="4" fillId="8" borderId="18" xfId="0" applyFont="1" applyFill="1" applyBorder="1" applyAlignment="1">
      <alignment horizontal="center" vertical="center" wrapText="1"/>
    </xf>
    <xf numFmtId="0" fontId="4" fillId="8" borderId="17" xfId="0" applyFont="1" applyFill="1" applyBorder="1" applyAlignment="1">
      <alignment horizontal="center" vertical="center" wrapText="1"/>
    </xf>
    <xf numFmtId="0" fontId="27" fillId="0" borderId="8" xfId="13" applyFont="1" applyAlignment="1">
      <alignment horizontal="center" vertical="center"/>
    </xf>
    <xf numFmtId="0" fontId="37" fillId="30" borderId="12" xfId="13" applyFont="1" applyFill="1" applyBorder="1" applyAlignment="1">
      <alignment horizontal="center" vertical="center"/>
    </xf>
    <xf numFmtId="0" fontId="38" fillId="0" borderId="12" xfId="13" applyFont="1" applyBorder="1" applyAlignment="1">
      <alignment vertical="center"/>
    </xf>
    <xf numFmtId="0" fontId="28" fillId="3" borderId="8" xfId="13" applyFont="1" applyFill="1" applyAlignment="1">
      <alignment horizontal="left" vertical="center" wrapText="1"/>
    </xf>
    <xf numFmtId="0" fontId="37" fillId="30" borderId="12" xfId="13" applyFont="1" applyFill="1" applyBorder="1" applyAlignment="1">
      <alignment horizontal="right" vertical="center"/>
    </xf>
    <xf numFmtId="0" fontId="5" fillId="0" borderId="0" xfId="0" applyFont="1"/>
    <xf numFmtId="49" fontId="5" fillId="0" borderId="0" xfId="0" applyNumberFormat="1" applyFont="1" applyAlignment="1">
      <alignment horizontal="center" vertical="top" wrapText="1"/>
    </xf>
    <xf numFmtId="0" fontId="5" fillId="0" borderId="0" xfId="0" applyFont="1" applyAlignment="1">
      <alignment horizontal="center" vertical="top" wrapText="1"/>
    </xf>
    <xf numFmtId="0" fontId="5" fillId="0" borderId="8" xfId="0" applyFont="1" applyBorder="1" applyAlignment="1">
      <alignment horizontal="center" vertical="center" wrapText="1"/>
    </xf>
    <xf numFmtId="0" fontId="35" fillId="7" borderId="12" xfId="13" applyFont="1" applyFill="1" applyBorder="1" applyAlignment="1">
      <alignment vertical="center" wrapText="1"/>
    </xf>
    <xf numFmtId="0" fontId="28" fillId="34" borderId="12" xfId="13" applyFont="1" applyFill="1" applyBorder="1" applyAlignment="1">
      <alignment vertical="center"/>
    </xf>
    <xf numFmtId="3" fontId="32" fillId="34" borderId="12" xfId="13" applyNumberFormat="1" applyFont="1" applyFill="1" applyBorder="1" applyAlignment="1">
      <alignment horizontal="center" vertical="center" wrapText="1"/>
    </xf>
    <xf numFmtId="165" fontId="31" fillId="7" borderId="2" xfId="13" applyNumberFormat="1" applyFont="1" applyFill="1" applyBorder="1" applyAlignment="1">
      <alignment horizontal="center" vertical="center"/>
    </xf>
    <xf numFmtId="0" fontId="36" fillId="7" borderId="2" xfId="13" applyFont="1" applyFill="1" applyBorder="1" applyAlignment="1">
      <alignment horizontal="center" vertical="center"/>
    </xf>
    <xf numFmtId="0" fontId="56" fillId="34" borderId="2" xfId="13" applyFont="1" applyFill="1" applyBorder="1" applyAlignment="1">
      <alignment vertical="center" wrapText="1"/>
    </xf>
    <xf numFmtId="0" fontId="32" fillId="38" borderId="2" xfId="0" applyFont="1" applyFill="1" applyBorder="1" applyAlignment="1">
      <alignment horizontal="center" vertical="center" wrapText="1"/>
    </xf>
    <xf numFmtId="0" fontId="33" fillId="38" borderId="2" xfId="0" applyFont="1" applyFill="1" applyBorder="1" applyAlignment="1">
      <alignment horizontal="center" vertical="center" wrapText="1"/>
    </xf>
    <xf numFmtId="0" fontId="32" fillId="38" borderId="7" xfId="0" applyFont="1" applyFill="1" applyBorder="1" applyAlignment="1">
      <alignment horizontal="center" vertical="center" wrapText="1"/>
    </xf>
    <xf numFmtId="0" fontId="57" fillId="0" borderId="12" xfId="0" applyFont="1" applyBorder="1" applyAlignment="1">
      <alignment vertical="center" wrapText="1"/>
    </xf>
    <xf numFmtId="0" fontId="7" fillId="35" borderId="12" xfId="0" applyFont="1" applyFill="1" applyBorder="1" applyAlignment="1">
      <alignment horizontal="center" vertical="center" wrapText="1"/>
    </xf>
    <xf numFmtId="3" fontId="14" fillId="39" borderId="12" xfId="0" applyNumberFormat="1" applyFont="1" applyFill="1" applyBorder="1"/>
    <xf numFmtId="0" fontId="14" fillId="39" borderId="12" xfId="0" applyFont="1" applyFill="1" applyBorder="1"/>
    <xf numFmtId="3" fontId="5" fillId="7" borderId="12" xfId="0" applyNumberFormat="1" applyFont="1" applyFill="1" applyBorder="1" applyAlignment="1">
      <alignment horizontal="center"/>
    </xf>
    <xf numFmtId="0" fontId="5" fillId="26" borderId="12" xfId="0" applyFont="1" applyFill="1" applyBorder="1" applyAlignment="1">
      <alignment horizontal="center" wrapText="1"/>
    </xf>
    <xf numFmtId="0" fontId="5" fillId="10" borderId="12" xfId="0" applyFont="1" applyFill="1" applyBorder="1" applyAlignment="1">
      <alignment horizontal="center" vertical="center" wrapText="1"/>
    </xf>
    <xf numFmtId="0" fontId="5" fillId="24" borderId="12" xfId="0" applyFont="1" applyFill="1" applyBorder="1"/>
    <xf numFmtId="0" fontId="12" fillId="25" borderId="12" xfId="0" applyFont="1" applyFill="1" applyBorder="1" applyAlignment="1">
      <alignment horizontal="center" wrapText="1"/>
    </xf>
    <xf numFmtId="166" fontId="5" fillId="10" borderId="12" xfId="0" applyNumberFormat="1" applyFont="1" applyFill="1" applyBorder="1" applyAlignment="1">
      <alignment horizontal="center" vertical="center" wrapText="1"/>
    </xf>
    <xf numFmtId="3" fontId="6" fillId="2" borderId="12" xfId="0" applyNumberFormat="1" applyFont="1" applyFill="1" applyBorder="1" applyAlignment="1">
      <alignment horizontal="left" vertical="top"/>
    </xf>
    <xf numFmtId="0" fontId="6" fillId="2" borderId="12" xfId="0" applyFont="1" applyFill="1" applyBorder="1" applyAlignment="1">
      <alignment horizontal="left" vertical="top"/>
    </xf>
    <xf numFmtId="3" fontId="6" fillId="19" borderId="12" xfId="0" applyNumberFormat="1" applyFont="1" applyFill="1" applyBorder="1" applyAlignment="1">
      <alignment horizontal="left" vertical="top"/>
    </xf>
    <xf numFmtId="166" fontId="6" fillId="5" borderId="12" xfId="0" applyNumberFormat="1" applyFont="1" applyFill="1" applyBorder="1" applyAlignment="1">
      <alignment horizontal="left" vertical="top"/>
    </xf>
    <xf numFmtId="166" fontId="4" fillId="7" borderId="12" xfId="0" applyNumberFormat="1" applyFont="1" applyFill="1" applyBorder="1"/>
    <xf numFmtId="0" fontId="5" fillId="25" borderId="1" xfId="0" applyFont="1" applyFill="1" applyBorder="1" applyAlignment="1">
      <alignment horizontal="center" wrapText="1"/>
    </xf>
    <xf numFmtId="166" fontId="12" fillId="6" borderId="16" xfId="0" applyNumberFormat="1" applyFont="1" applyFill="1" applyBorder="1" applyAlignment="1">
      <alignment horizontal="left" vertical="top"/>
    </xf>
    <xf numFmtId="0" fontId="6" fillId="0" borderId="9" xfId="0" applyFont="1" applyBorder="1" applyAlignment="1">
      <alignment wrapText="1"/>
    </xf>
    <xf numFmtId="3" fontId="6" fillId="2" borderId="3" xfId="0" applyNumberFormat="1" applyFont="1" applyFill="1" applyBorder="1" applyAlignment="1">
      <alignment wrapText="1"/>
    </xf>
    <xf numFmtId="0" fontId="6" fillId="2" borderId="3" xfId="0" applyFont="1" applyFill="1" applyBorder="1" applyAlignment="1">
      <alignment wrapText="1"/>
    </xf>
    <xf numFmtId="0" fontId="4" fillId="7" borderId="8" xfId="0" applyFont="1" applyFill="1" applyBorder="1"/>
    <xf numFmtId="0" fontId="6" fillId="7" borderId="8" xfId="0" applyFont="1" applyFill="1" applyBorder="1"/>
    <xf numFmtId="0" fontId="6" fillId="39" borderId="8" xfId="0" applyFont="1" applyFill="1" applyBorder="1"/>
    <xf numFmtId="166" fontId="12" fillId="7" borderId="8" xfId="0" applyNumberFormat="1" applyFont="1" applyFill="1" applyBorder="1" applyAlignment="1">
      <alignment horizontal="left" vertical="top"/>
    </xf>
    <xf numFmtId="0" fontId="57" fillId="0" borderId="12" xfId="0" applyFont="1" applyBorder="1"/>
    <xf numFmtId="0" fontId="24" fillId="25" borderId="8" xfId="0" applyFont="1" applyFill="1" applyBorder="1" applyAlignment="1">
      <alignment horizontal="center" vertical="center" wrapText="1"/>
    </xf>
    <xf numFmtId="0" fontId="24" fillId="10" borderId="12" xfId="0" applyFont="1" applyFill="1" applyBorder="1" applyAlignment="1">
      <alignment horizontal="center" vertical="center" wrapText="1"/>
    </xf>
    <xf numFmtId="166" fontId="24" fillId="10" borderId="12" xfId="0" applyNumberFormat="1" applyFont="1" applyFill="1" applyBorder="1" applyAlignment="1">
      <alignment horizontal="center" vertical="center" wrapText="1"/>
    </xf>
    <xf numFmtId="166" fontId="51" fillId="10" borderId="12" xfId="0" applyNumberFormat="1" applyFont="1" applyFill="1" applyBorder="1" applyAlignment="1">
      <alignment horizontal="center" vertical="center"/>
    </xf>
    <xf numFmtId="0" fontId="9" fillId="0" borderId="12" xfId="0" applyFont="1" applyBorder="1" applyAlignment="1">
      <alignment wrapText="1"/>
    </xf>
    <xf numFmtId="3" fontId="9" fillId="2" borderId="12" xfId="0" applyNumberFormat="1" applyFont="1" applyFill="1" applyBorder="1" applyAlignment="1">
      <alignment wrapText="1"/>
    </xf>
    <xf numFmtId="3" fontId="9" fillId="19" borderId="12" xfId="0" applyNumberFormat="1" applyFont="1" applyFill="1" applyBorder="1" applyAlignment="1">
      <alignment wrapText="1"/>
    </xf>
    <xf numFmtId="0" fontId="9" fillId="19" borderId="7" xfId="0" applyFont="1" applyFill="1" applyBorder="1" applyAlignment="1">
      <alignment vertical="top" wrapText="1"/>
    </xf>
    <xf numFmtId="0" fontId="9" fillId="19" borderId="10" xfId="0" applyFont="1" applyFill="1" applyBorder="1" applyAlignment="1">
      <alignment wrapText="1"/>
    </xf>
    <xf numFmtId="0" fontId="9" fillId="19" borderId="9" xfId="0" applyFont="1" applyFill="1" applyBorder="1" applyAlignment="1">
      <alignment wrapText="1"/>
    </xf>
    <xf numFmtId="0" fontId="9" fillId="19" borderId="7" xfId="0" applyFont="1" applyFill="1" applyBorder="1" applyAlignment="1">
      <alignment wrapText="1"/>
    </xf>
    <xf numFmtId="0" fontId="8" fillId="7" borderId="13" xfId="0" applyFont="1" applyFill="1" applyBorder="1" applyAlignment="1">
      <alignment horizontal="right" vertical="center" wrapText="1"/>
    </xf>
    <xf numFmtId="0" fontId="49" fillId="0" borderId="12" xfId="0" applyFont="1" applyBorder="1" applyAlignment="1">
      <alignment wrapText="1"/>
    </xf>
    <xf numFmtId="0" fontId="50" fillId="19" borderId="12" xfId="0" applyFont="1" applyFill="1" applyBorder="1" applyAlignment="1">
      <alignment horizontal="left" wrapText="1"/>
    </xf>
    <xf numFmtId="0" fontId="55" fillId="19" borderId="12" xfId="0" applyFont="1" applyFill="1" applyBorder="1" applyAlignment="1">
      <alignment horizontal="right" wrapText="1"/>
    </xf>
    <xf numFmtId="0" fontId="45" fillId="19" borderId="12" xfId="0" applyFont="1" applyFill="1" applyBorder="1" applyAlignment="1">
      <alignment wrapText="1"/>
    </xf>
    <xf numFmtId="0" fontId="9" fillId="19" borderId="12" xfId="0" applyFont="1" applyFill="1" applyBorder="1" applyAlignment="1">
      <alignment horizontal="right" wrapText="1"/>
    </xf>
    <xf numFmtId="0" fontId="50" fillId="0" borderId="12" xfId="0" applyFont="1" applyBorder="1" applyAlignment="1">
      <alignment vertical="top" wrapText="1"/>
    </xf>
    <xf numFmtId="0" fontId="55" fillId="0" borderId="12" xfId="0" applyFont="1" applyBorder="1" applyAlignment="1">
      <alignment horizontal="right" wrapText="1"/>
    </xf>
    <xf numFmtId="0" fontId="8" fillId="0" borderId="12" xfId="0" applyFont="1" applyBorder="1" applyAlignment="1">
      <alignment vertical="top" wrapText="1"/>
    </xf>
    <xf numFmtId="0" fontId="8" fillId="0" borderId="12" xfId="0" applyFont="1" applyBorder="1" applyAlignment="1">
      <alignment horizontal="left" vertical="top" wrapText="1"/>
    </xf>
    <xf numFmtId="0" fontId="8" fillId="0" borderId="12" xfId="0" applyFont="1" applyBorder="1" applyAlignment="1">
      <alignment wrapText="1"/>
    </xf>
    <xf numFmtId="0" fontId="57" fillId="0" borderId="12" xfId="0" applyFont="1" applyBorder="1" applyAlignment="1">
      <alignment wrapText="1"/>
    </xf>
    <xf numFmtId="3" fontId="6" fillId="0" borderId="6" xfId="0" applyNumberFormat="1" applyFont="1" applyBorder="1"/>
    <xf numFmtId="3" fontId="6" fillId="0" borderId="14" xfId="0" applyNumberFormat="1" applyFont="1" applyBorder="1"/>
    <xf numFmtId="0" fontId="6" fillId="0" borderId="12" xfId="0" applyFont="1" applyBorder="1" applyAlignment="1">
      <alignment horizontal="right" wrapText="1"/>
    </xf>
    <xf numFmtId="166" fontId="4" fillId="0" borderId="12" xfId="0" applyNumberFormat="1" applyFont="1" applyBorder="1" applyAlignment="1">
      <alignment horizontal="center" wrapText="1"/>
    </xf>
    <xf numFmtId="0" fontId="6" fillId="19" borderId="12" xfId="0" applyFont="1" applyFill="1" applyBorder="1" applyAlignment="1">
      <alignment wrapText="1"/>
    </xf>
    <xf numFmtId="0" fontId="14" fillId="19" borderId="12" xfId="0" applyFont="1" applyFill="1" applyBorder="1" applyAlignment="1">
      <alignment wrapText="1"/>
    </xf>
    <xf numFmtId="0" fontId="58" fillId="0" borderId="12" xfId="0" applyFont="1" applyBorder="1" applyAlignment="1">
      <alignment vertical="center" wrapText="1"/>
    </xf>
    <xf numFmtId="0" fontId="59" fillId="16" borderId="12" xfId="0" applyFont="1" applyFill="1" applyBorder="1" applyAlignment="1">
      <alignment horizontal="left" vertical="center" wrapText="1"/>
    </xf>
    <xf numFmtId="0" fontId="59" fillId="0" borderId="12" xfId="0" applyFont="1" applyBorder="1" applyAlignment="1">
      <alignment horizontal="left" vertical="center" wrapText="1"/>
    </xf>
    <xf numFmtId="0" fontId="34" fillId="8" borderId="12" xfId="0" applyFont="1" applyFill="1" applyBorder="1" applyAlignment="1">
      <alignment wrapText="1"/>
    </xf>
    <xf numFmtId="0" fontId="59" fillId="0" borderId="12" xfId="0" applyFont="1" applyBorder="1" applyAlignment="1">
      <alignment vertical="center"/>
    </xf>
    <xf numFmtId="0" fontId="59" fillId="0" borderId="12" xfId="0" applyFont="1" applyBorder="1" applyAlignment="1">
      <alignment horizontal="center" vertical="center"/>
    </xf>
    <xf numFmtId="0" fontId="32" fillId="5" borderId="12" xfId="7" applyFont="1" applyFill="1" applyBorder="1" applyAlignment="1">
      <alignment wrapText="1"/>
    </xf>
    <xf numFmtId="0" fontId="49" fillId="0" borderId="3" xfId="0" applyFont="1" applyBorder="1" applyAlignment="1">
      <alignment horizontal="left" vertical="center" wrapText="1"/>
    </xf>
    <xf numFmtId="0" fontId="49" fillId="0" borderId="4" xfId="0" applyFont="1" applyBorder="1" applyAlignment="1">
      <alignment horizontal="left" vertical="center" wrapText="1"/>
    </xf>
    <xf numFmtId="0" fontId="49" fillId="0" borderId="5" xfId="0" applyFont="1" applyBorder="1" applyAlignment="1">
      <alignment horizontal="left" vertical="center" wrapText="1"/>
    </xf>
    <xf numFmtId="0" fontId="49" fillId="0" borderId="3" xfId="0" applyFont="1" applyBorder="1" applyAlignment="1">
      <alignment horizontal="left" vertical="center"/>
    </xf>
    <xf numFmtId="0" fontId="49" fillId="0" borderId="4" xfId="0" applyFont="1" applyBorder="1" applyAlignment="1">
      <alignment horizontal="left" vertical="center"/>
    </xf>
    <xf numFmtId="0" fontId="49" fillId="0" borderId="5" xfId="0" applyFont="1" applyBorder="1" applyAlignment="1">
      <alignment horizontal="left" vertical="center"/>
    </xf>
    <xf numFmtId="0" fontId="49" fillId="2" borderId="3" xfId="0" applyFont="1" applyFill="1" applyBorder="1" applyAlignment="1">
      <alignment horizontal="left" vertical="center"/>
    </xf>
    <xf numFmtId="0" fontId="49" fillId="2" borderId="4" xfId="0" applyFont="1" applyFill="1" applyBorder="1" applyAlignment="1">
      <alignment horizontal="left" vertical="center"/>
    </xf>
    <xf numFmtId="0" fontId="49" fillId="2" borderId="5" xfId="0" applyFont="1" applyFill="1" applyBorder="1" applyAlignment="1">
      <alignment horizontal="left" vertical="center"/>
    </xf>
    <xf numFmtId="0" fontId="32" fillId="5" borderId="8" xfId="7" applyFont="1" applyFill="1" applyBorder="1" applyAlignment="1">
      <alignment wrapText="1"/>
    </xf>
    <xf numFmtId="0" fontId="59" fillId="0" borderId="8" xfId="0" applyFont="1" applyBorder="1" applyAlignment="1">
      <alignment vertical="center"/>
    </xf>
    <xf numFmtId="0" fontId="59" fillId="0" borderId="8" xfId="0" applyFont="1" applyBorder="1" applyAlignment="1">
      <alignment horizontal="center" vertical="center"/>
    </xf>
  </cellXfs>
  <cellStyles count="16">
    <cellStyle name="Hipervínculo 2" xfId="3"/>
    <cellStyle name="Hyperlink" xfId="1"/>
    <cellStyle name="Hyperlink 2" xfId="7"/>
    <cellStyle name="Millares" xfId="14" builtinId="3"/>
    <cellStyle name="Millares [0]" xfId="15" builtinId="6"/>
    <cellStyle name="Millares [0] 2" xfId="9"/>
    <cellStyle name="Millares [0] 2 2" xfId="12"/>
    <cellStyle name="Millares 2" xfId="8"/>
    <cellStyle name="Normal" xfId="0" builtinId="0"/>
    <cellStyle name="Normal 2" xfId="2"/>
    <cellStyle name="Normal 2 2" xfId="6"/>
    <cellStyle name="Normal 3" xfId="4"/>
    <cellStyle name="Normal 3 2" xfId="11"/>
    <cellStyle name="Normal 4" xfId="5"/>
    <cellStyle name="Normal 5" xfId="13"/>
    <cellStyle name="Porcentaje 2" xf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hyperlink" Target="#'H.CRAI+11_Plan_formaci&#243;n'!A1"/><Relationship Id="rId3" Type="http://schemas.openxmlformats.org/officeDocument/2006/relationships/hyperlink" Target="#'D. Biblioteca_digital_BDIGITAL'!A1"/><Relationship Id="rId7" Type="http://schemas.openxmlformats.org/officeDocument/2006/relationships/hyperlink" Target="#'F.CRAI+2_Alianza Interbiblio'!A1"/><Relationship Id="rId2" Type="http://schemas.openxmlformats.org/officeDocument/2006/relationships/hyperlink" Target="#'A. Uso_Servicios CRAI+desglose'!A1"/><Relationship Id="rId1" Type="http://schemas.openxmlformats.org/officeDocument/2006/relationships/image" Target="../media/image1.png"/><Relationship Id="rId6" Type="http://schemas.openxmlformats.org/officeDocument/2006/relationships/hyperlink" Target="#'G. Usos_Tipo_Usuario'!A1"/><Relationship Id="rId5" Type="http://schemas.openxmlformats.org/officeDocument/2006/relationships/hyperlink" Target="#'E. Colecci&#243;n_digital_RIUD'!A1"/><Relationship Id="rId10" Type="http://schemas.openxmlformats.org/officeDocument/2006/relationships/hyperlink" Target="#'I. Infraestructura Biblioteca'!A1"/><Relationship Id="rId4" Type="http://schemas.openxmlformats.org/officeDocument/2006/relationships/hyperlink" Target="#'B. Colecciones_bibliogr&#225;ficas'!A1"/><Relationship Id="rId9" Type="http://schemas.openxmlformats.org/officeDocument/2006/relationships/hyperlink" Target="#'C Colecci&#243;n_impresa_ubicaci&#243;n'!A1"/></Relationships>
</file>

<file path=xl/drawings/_rels/drawing2.xml.rels><?xml version="1.0" encoding="UTF-8" standalone="yes"?>
<Relationships xmlns="http://schemas.openxmlformats.org/package/2006/relationships"><Relationship Id="rId2" Type="http://schemas.openxmlformats.org/officeDocument/2006/relationships/hyperlink" Target="#Contenido!A1"/><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hyperlink" Target="#Contenido!A1"/><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ntenido!A1"/></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ntenido!A1"/></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ntenido!A1"/></Relationships>
</file>

<file path=xl/drawings/_rels/drawing7.xml.rels><?xml version="1.0" encoding="UTF-8" standalone="yes"?>
<Relationships xmlns="http://schemas.openxmlformats.org/package/2006/relationships"><Relationship Id="rId2" Type="http://schemas.openxmlformats.org/officeDocument/2006/relationships/hyperlink" Target="#Contenido!A1"/><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hyperlink" Target="#Contenido!A1"/><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hyperlink" Target="#Contenido!A1"/><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180975</xdr:colOff>
      <xdr:row>0</xdr:row>
      <xdr:rowOff>180975</xdr:rowOff>
    </xdr:from>
    <xdr:to>
      <xdr:col>2</xdr:col>
      <xdr:colOff>2209800</xdr:colOff>
      <xdr:row>3</xdr:row>
      <xdr:rowOff>152061</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0075" y="180975"/>
          <a:ext cx="2028825" cy="514011"/>
        </a:xfrm>
        <a:prstGeom prst="rect">
          <a:avLst/>
        </a:prstGeom>
      </xdr:spPr>
    </xdr:pic>
    <xdr:clientData/>
  </xdr:twoCellAnchor>
  <xdr:twoCellAnchor>
    <xdr:from>
      <xdr:col>3</xdr:col>
      <xdr:colOff>1556848</xdr:colOff>
      <xdr:row>7</xdr:row>
      <xdr:rowOff>104020</xdr:rowOff>
    </xdr:from>
    <xdr:to>
      <xdr:col>5</xdr:col>
      <xdr:colOff>563654</xdr:colOff>
      <xdr:row>14</xdr:row>
      <xdr:rowOff>76760</xdr:rowOff>
    </xdr:to>
    <xdr:sp macro="" textlink="">
      <xdr:nvSpPr>
        <xdr:cNvPr id="4" name="Flecha a la derecha con bandas 3">
          <a:hlinkClick xmlns:r="http://schemas.openxmlformats.org/officeDocument/2006/relationships" r:id="rId2"/>
          <a:extLst>
            <a:ext uri="{FF2B5EF4-FFF2-40B4-BE49-F238E27FC236}">
              <a16:creationId xmlns:a16="http://schemas.microsoft.com/office/drawing/2014/main" id="{00000000-0008-0000-0000-000004000000}"/>
            </a:ext>
          </a:extLst>
        </xdr:cNvPr>
        <xdr:cNvSpPr/>
      </xdr:nvSpPr>
      <xdr:spPr>
        <a:xfrm>
          <a:off x="4271473" y="1389895"/>
          <a:ext cx="3235906" cy="1106215"/>
        </a:xfrm>
        <a:prstGeom prst="stripedRightArrow">
          <a:avLst/>
        </a:prstGeom>
        <a:solidFill>
          <a:schemeClr val="bg1">
            <a:lumMod val="95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US" sz="1400" b="1">
              <a:solidFill>
                <a:sysClr val="windowText" lastClr="000000"/>
              </a:solidFill>
              <a:latin typeface="Arial Narrow" panose="020B0606020202030204" pitchFamily="34" charset="0"/>
            </a:rPr>
            <a:t>A</a:t>
          </a:r>
          <a:r>
            <a:rPr lang="en-US" sz="900" b="0">
              <a:solidFill>
                <a:sysClr val="windowText" lastClr="000000"/>
              </a:solidFill>
              <a:latin typeface="Arial Narrow" panose="020B0606020202030204" pitchFamily="34" charset="0"/>
            </a:rPr>
            <a:t>.</a:t>
          </a:r>
          <a:r>
            <a:rPr lang="en-US" sz="900" b="0" baseline="0">
              <a:solidFill>
                <a:sysClr val="windowText" lastClr="000000"/>
              </a:solidFill>
              <a:latin typeface="Arial Narrow" panose="020B0606020202030204" pitchFamily="34" charset="0"/>
            </a:rPr>
            <a:t> </a:t>
          </a:r>
          <a:r>
            <a:rPr lang="en-US" sz="900" b="1" baseline="0">
              <a:solidFill>
                <a:sysClr val="windowText" lastClr="000000"/>
              </a:solidFill>
              <a:latin typeface="Arial Narrow" panose="020B0606020202030204" pitchFamily="34" charset="0"/>
            </a:rPr>
            <a:t>USOS DE LOS SERVICIOS CRAI+</a:t>
          </a:r>
          <a:r>
            <a:rPr lang="en-US" sz="900" b="0" baseline="0">
              <a:solidFill>
                <a:sysClr val="windowText" lastClr="000000"/>
              </a:solidFill>
              <a:latin typeface="Arial Narrow" panose="020B0606020202030204" pitchFamily="34" charset="0"/>
            </a:rPr>
            <a:t> DESGLOSADOS </a:t>
          </a:r>
          <a:endParaRPr lang="en-US" sz="900" b="0">
            <a:solidFill>
              <a:sysClr val="windowText" lastClr="000000"/>
            </a:solidFill>
            <a:latin typeface="Arial Narrow" panose="020B0606020202030204" pitchFamily="34" charset="0"/>
          </a:endParaRPr>
        </a:p>
      </xdr:txBody>
    </xdr:sp>
    <xdr:clientData/>
  </xdr:twoCellAnchor>
  <xdr:twoCellAnchor>
    <xdr:from>
      <xdr:col>4</xdr:col>
      <xdr:colOff>333374</xdr:colOff>
      <xdr:row>13</xdr:row>
      <xdr:rowOff>103654</xdr:rowOff>
    </xdr:from>
    <xdr:to>
      <xdr:col>7</xdr:col>
      <xdr:colOff>571500</xdr:colOff>
      <xdr:row>22</xdr:row>
      <xdr:rowOff>0</xdr:rowOff>
    </xdr:to>
    <xdr:sp macro="" textlink="">
      <xdr:nvSpPr>
        <xdr:cNvPr id="5" name="Flecha a la derecha con bandas 4">
          <a:hlinkClick xmlns:r="http://schemas.openxmlformats.org/officeDocument/2006/relationships" r:id="rId3"/>
          <a:extLst>
            <a:ext uri="{FF2B5EF4-FFF2-40B4-BE49-F238E27FC236}">
              <a16:creationId xmlns:a16="http://schemas.microsoft.com/office/drawing/2014/main" id="{00000000-0008-0000-0000-000005000000}"/>
            </a:ext>
          </a:extLst>
        </xdr:cNvPr>
        <xdr:cNvSpPr/>
      </xdr:nvSpPr>
      <xdr:spPr>
        <a:xfrm>
          <a:off x="6029324" y="2361079"/>
          <a:ext cx="3009901" cy="1353671"/>
        </a:xfrm>
        <a:prstGeom prst="stripedRightArrow">
          <a:avLst/>
        </a:prstGeom>
        <a:solidFill>
          <a:schemeClr val="accent3">
            <a:lumMod val="40000"/>
            <a:lumOff val="6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US" sz="1200" b="1">
              <a:solidFill>
                <a:sysClr val="windowText" lastClr="000000"/>
              </a:solidFill>
              <a:latin typeface="Arial Narrow" panose="020B0606020202030204" pitchFamily="34" charset="0"/>
            </a:rPr>
            <a:t>D</a:t>
          </a:r>
          <a:r>
            <a:rPr lang="en-US" sz="800" b="1">
              <a:solidFill>
                <a:sysClr val="windowText" lastClr="000000"/>
              </a:solidFill>
              <a:latin typeface="Arial Narrow" panose="020B0606020202030204" pitchFamily="34" charset="0"/>
            </a:rPr>
            <a:t>. SERVICIOS CRAI+2: COLECCIÓN</a:t>
          </a:r>
          <a:r>
            <a:rPr lang="en-US" sz="800" b="1" baseline="0">
              <a:solidFill>
                <a:sysClr val="windowText" lastClr="000000"/>
              </a:solidFill>
              <a:latin typeface="Arial Narrow" panose="020B0606020202030204" pitchFamily="34" charset="0"/>
            </a:rPr>
            <a:t> DIGITAL -BDIGITAL</a:t>
          </a:r>
          <a:r>
            <a:rPr lang="en-US" sz="800" b="1">
              <a:solidFill>
                <a:sysClr val="windowText" lastClr="000000"/>
              </a:solidFill>
              <a:latin typeface="Arial Narrow" panose="020B0606020202030204" pitchFamily="34" charset="0"/>
            </a:rPr>
            <a:t> </a:t>
          </a:r>
          <a:r>
            <a:rPr lang="en-US" sz="800" b="1">
              <a:solidFill>
                <a:schemeClr val="lt1"/>
              </a:solidFill>
              <a:effectLst/>
              <a:latin typeface="Arial Narrow" panose="020B0606020202030204" pitchFamily="34" charset="0"/>
              <a:ea typeface="+mn-ea"/>
              <a:cs typeface="+mn-cs"/>
            </a:rPr>
            <a:t> </a:t>
          </a:r>
          <a:r>
            <a:rPr lang="en-US" sz="800" b="0">
              <a:solidFill>
                <a:sysClr val="windowText" lastClr="000000"/>
              </a:solidFill>
              <a:effectLst/>
              <a:latin typeface="Arial Narrow" panose="020B0606020202030204" pitchFamily="34" charset="0"/>
              <a:ea typeface="+mn-ea"/>
              <a:cs typeface="+mn-cs"/>
            </a:rPr>
            <a:t>CONSULTA ACCESO A RECURSOS ELECTRONICOS - BASES DE DATOS X FACULTAD  X PROYECTO CURRICULAR </a:t>
          </a:r>
          <a:endParaRPr lang="en-US" sz="800" b="0">
            <a:solidFill>
              <a:sysClr val="windowText" lastClr="000000"/>
            </a:solidFill>
            <a:latin typeface="Arial Narrow" panose="020B0606020202030204" pitchFamily="34" charset="0"/>
          </a:endParaRPr>
        </a:p>
      </xdr:txBody>
    </xdr:sp>
    <xdr:clientData/>
  </xdr:twoCellAnchor>
  <xdr:twoCellAnchor>
    <xdr:from>
      <xdr:col>2</xdr:col>
      <xdr:colOff>1474</xdr:colOff>
      <xdr:row>14</xdr:row>
      <xdr:rowOff>42006</xdr:rowOff>
    </xdr:from>
    <xdr:to>
      <xdr:col>3</xdr:col>
      <xdr:colOff>95250</xdr:colOff>
      <xdr:row>20</xdr:row>
      <xdr:rowOff>133350</xdr:rowOff>
    </xdr:to>
    <xdr:sp macro="" textlink="">
      <xdr:nvSpPr>
        <xdr:cNvPr id="6" name="Flecha a la derecha con bandas 5">
          <a:hlinkClick xmlns:r="http://schemas.openxmlformats.org/officeDocument/2006/relationships" r:id="rId4"/>
          <a:extLst>
            <a:ext uri="{FF2B5EF4-FFF2-40B4-BE49-F238E27FC236}">
              <a16:creationId xmlns:a16="http://schemas.microsoft.com/office/drawing/2014/main" id="{00000000-0008-0000-0000-000006000000}"/>
            </a:ext>
          </a:extLst>
        </xdr:cNvPr>
        <xdr:cNvSpPr/>
      </xdr:nvSpPr>
      <xdr:spPr>
        <a:xfrm>
          <a:off x="420574" y="2461356"/>
          <a:ext cx="2389301" cy="1062894"/>
        </a:xfrm>
        <a:prstGeom prst="stripedRightArrow">
          <a:avLst/>
        </a:prstGeom>
        <a:solidFill>
          <a:schemeClr val="accent3">
            <a:lumMod val="40000"/>
            <a:lumOff val="6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l"/>
          <a:r>
            <a:rPr lang="en-US" sz="1400" b="1">
              <a:solidFill>
                <a:sysClr val="windowText" lastClr="000000"/>
              </a:solidFill>
              <a:latin typeface="Arial Narrow" panose="020B0606020202030204" pitchFamily="34" charset="0"/>
            </a:rPr>
            <a:t>B.</a:t>
          </a:r>
          <a:r>
            <a:rPr lang="en-US" sz="1400" b="1" baseline="0">
              <a:solidFill>
                <a:sysClr val="windowText" lastClr="000000"/>
              </a:solidFill>
              <a:latin typeface="Arial Narrow" panose="020B0606020202030204" pitchFamily="34" charset="0"/>
            </a:rPr>
            <a:t>  </a:t>
          </a:r>
          <a:r>
            <a:rPr lang="en-US" sz="900" b="1" baseline="0">
              <a:solidFill>
                <a:sysClr val="windowText" lastClr="000000"/>
              </a:solidFill>
              <a:latin typeface="Arial Narrow" panose="020B0606020202030204" pitchFamily="34" charset="0"/>
            </a:rPr>
            <a:t>SERVICIO CRAI+10: COLECCIONES BIBLIOGRÁFICAS GENERAL</a:t>
          </a:r>
          <a:endParaRPr lang="en-US" sz="900" b="0">
            <a:solidFill>
              <a:sysClr val="windowText" lastClr="000000"/>
            </a:solidFill>
            <a:latin typeface="Arial Narrow" panose="020B0606020202030204" pitchFamily="34" charset="0"/>
          </a:endParaRPr>
        </a:p>
      </xdr:txBody>
    </xdr:sp>
    <xdr:clientData/>
  </xdr:twoCellAnchor>
  <xdr:twoCellAnchor>
    <xdr:from>
      <xdr:col>8</xdr:col>
      <xdr:colOff>9524</xdr:colOff>
      <xdr:row>12</xdr:row>
      <xdr:rowOff>96930</xdr:rowOff>
    </xdr:from>
    <xdr:to>
      <xdr:col>11</xdr:col>
      <xdr:colOff>400050</xdr:colOff>
      <xdr:row>22</xdr:row>
      <xdr:rowOff>19050</xdr:rowOff>
    </xdr:to>
    <xdr:sp macro="" textlink="">
      <xdr:nvSpPr>
        <xdr:cNvPr id="7" name="Flecha a la derecha con bandas 6">
          <a:hlinkClick xmlns:r="http://schemas.openxmlformats.org/officeDocument/2006/relationships" r:id="rId5"/>
          <a:extLst>
            <a:ext uri="{FF2B5EF4-FFF2-40B4-BE49-F238E27FC236}">
              <a16:creationId xmlns:a16="http://schemas.microsoft.com/office/drawing/2014/main" id="{00000000-0008-0000-0000-000007000000}"/>
            </a:ext>
          </a:extLst>
        </xdr:cNvPr>
        <xdr:cNvSpPr/>
      </xdr:nvSpPr>
      <xdr:spPr>
        <a:xfrm>
          <a:off x="9239249" y="2192430"/>
          <a:ext cx="2676526" cy="1541370"/>
        </a:xfrm>
        <a:prstGeom prst="stripedRightArrow">
          <a:avLst/>
        </a:prstGeom>
        <a:solidFill>
          <a:schemeClr val="accent3">
            <a:lumMod val="40000"/>
            <a:lumOff val="60000"/>
          </a:schemeClr>
        </a:solidFill>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r>
            <a:rPr lang="en-US" sz="800" b="1">
              <a:solidFill>
                <a:sysClr val="windowText" lastClr="000000"/>
              </a:solidFill>
              <a:latin typeface="Arial Narrow" panose="020B0606020202030204" pitchFamily="34" charset="0"/>
            </a:rPr>
            <a:t>E. SERVICIOS CRAI+6: COLECCIÓN DIGITAL INSTITUCIONAL </a:t>
          </a:r>
          <a:r>
            <a:rPr lang="en-US" sz="800" b="0">
              <a:solidFill>
                <a:sysClr val="windowText" lastClr="000000"/>
              </a:solidFill>
              <a:latin typeface="Arial Narrow" panose="020B0606020202030204" pitchFamily="34" charset="0"/>
            </a:rPr>
            <a:t>REPOSITORIO INSTITUCIONAL RIUD (Accesos) X FACULTAD</a:t>
          </a:r>
          <a:r>
            <a:rPr lang="en-US" sz="800" b="0" baseline="0">
              <a:solidFill>
                <a:sysClr val="windowText" lastClr="000000"/>
              </a:solidFill>
              <a:latin typeface="Arial Narrow" panose="020B0606020202030204" pitchFamily="34" charset="0"/>
            </a:rPr>
            <a:t> X PROYECTO CURRICULAR </a:t>
          </a:r>
          <a:endParaRPr lang="en-US" sz="800" b="0">
            <a:solidFill>
              <a:sysClr val="windowText" lastClr="000000"/>
            </a:solidFill>
            <a:latin typeface="Arial Narrow" panose="020B0606020202030204" pitchFamily="34" charset="0"/>
          </a:endParaRPr>
        </a:p>
      </xdr:txBody>
    </xdr:sp>
    <xdr:clientData/>
  </xdr:twoCellAnchor>
  <xdr:twoCellAnchor>
    <xdr:from>
      <xdr:col>3</xdr:col>
      <xdr:colOff>1884015</xdr:colOff>
      <xdr:row>28</xdr:row>
      <xdr:rowOff>187913</xdr:rowOff>
    </xdr:from>
    <xdr:to>
      <xdr:col>6</xdr:col>
      <xdr:colOff>97800</xdr:colOff>
      <xdr:row>36</xdr:row>
      <xdr:rowOff>73959</xdr:rowOff>
    </xdr:to>
    <xdr:sp macro="" textlink="">
      <xdr:nvSpPr>
        <xdr:cNvPr id="8" name="Flecha a la derecha con bandas 7">
          <a:hlinkClick xmlns:r="http://schemas.openxmlformats.org/officeDocument/2006/relationships" r:id="rId6"/>
          <a:extLst>
            <a:ext uri="{FF2B5EF4-FFF2-40B4-BE49-F238E27FC236}">
              <a16:creationId xmlns:a16="http://schemas.microsoft.com/office/drawing/2014/main" id="{00000000-0008-0000-0000-000008000000}"/>
            </a:ext>
          </a:extLst>
        </xdr:cNvPr>
        <xdr:cNvSpPr/>
      </xdr:nvSpPr>
      <xdr:spPr>
        <a:xfrm>
          <a:off x="4598640" y="4959938"/>
          <a:ext cx="3204885" cy="1410046"/>
        </a:xfrm>
        <a:prstGeom prst="stripedRightArrow">
          <a:avLst/>
        </a:prstGeom>
        <a:solidFill>
          <a:schemeClr val="accent2">
            <a:lumMod val="20000"/>
            <a:lumOff val="80000"/>
          </a:schemeClr>
        </a:solidFill>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r>
            <a:rPr lang="en-US" sz="1400" b="1">
              <a:solidFill>
                <a:sysClr val="windowText" lastClr="000000"/>
              </a:solidFill>
              <a:latin typeface="Arial Narrow" panose="020B0606020202030204" pitchFamily="34" charset="0"/>
            </a:rPr>
            <a:t>G</a:t>
          </a:r>
          <a:r>
            <a:rPr lang="en-US" sz="900" b="1">
              <a:solidFill>
                <a:sysClr val="windowText" lastClr="000000"/>
              </a:solidFill>
              <a:latin typeface="Arial Narrow" panose="020B0606020202030204" pitchFamily="34" charset="0"/>
            </a:rPr>
            <a:t>.SERVICIOS CRAI+ USOS </a:t>
          </a:r>
          <a:r>
            <a:rPr lang="en-US" sz="900" b="0">
              <a:solidFill>
                <a:sysClr val="windowText" lastClr="000000"/>
              </a:solidFill>
              <a:latin typeface="Arial Narrow" panose="020B0606020202030204" pitchFamily="34" charset="0"/>
            </a:rPr>
            <a:t>X TIPO DE USUARIO  X FACULTAD X PROYECTO CURRICULAR</a:t>
          </a:r>
        </a:p>
      </xdr:txBody>
    </xdr:sp>
    <xdr:clientData/>
  </xdr:twoCellAnchor>
  <xdr:twoCellAnchor>
    <xdr:from>
      <xdr:col>3</xdr:col>
      <xdr:colOff>810995</xdr:colOff>
      <xdr:row>22</xdr:row>
      <xdr:rowOff>60428</xdr:rowOff>
    </xdr:from>
    <xdr:to>
      <xdr:col>4</xdr:col>
      <xdr:colOff>869016</xdr:colOff>
      <xdr:row>29</xdr:row>
      <xdr:rowOff>0</xdr:rowOff>
    </xdr:to>
    <xdr:sp macro="" textlink="">
      <xdr:nvSpPr>
        <xdr:cNvPr id="9" name="Flecha a la derecha con bandas 8">
          <a:hlinkClick xmlns:r="http://schemas.openxmlformats.org/officeDocument/2006/relationships" r:id="rId7"/>
          <a:extLst>
            <a:ext uri="{FF2B5EF4-FFF2-40B4-BE49-F238E27FC236}">
              <a16:creationId xmlns:a16="http://schemas.microsoft.com/office/drawing/2014/main" id="{00000000-0008-0000-0000-000009000000}"/>
            </a:ext>
          </a:extLst>
        </xdr:cNvPr>
        <xdr:cNvSpPr/>
      </xdr:nvSpPr>
      <xdr:spPr>
        <a:xfrm>
          <a:off x="3525620" y="3775178"/>
          <a:ext cx="3039346" cy="1187347"/>
        </a:xfrm>
        <a:prstGeom prst="stripedRightArrow">
          <a:avLst/>
        </a:prstGeom>
        <a:solidFill>
          <a:schemeClr val="accent5">
            <a:lumMod val="20000"/>
            <a:lumOff val="80000"/>
          </a:schemeClr>
        </a:solidFill>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r>
            <a:rPr lang="en-US" sz="1400" b="1">
              <a:solidFill>
                <a:sysClr val="windowText" lastClr="000000"/>
              </a:solidFill>
              <a:latin typeface="Arial Narrow" panose="020B0606020202030204" pitchFamily="34" charset="0"/>
            </a:rPr>
            <a:t>F. </a:t>
          </a:r>
          <a:r>
            <a:rPr lang="en-US" sz="900" b="1">
              <a:solidFill>
                <a:sysClr val="windowText" lastClr="000000"/>
              </a:solidFill>
              <a:latin typeface="Arial Narrow" panose="020B0606020202030204" pitchFamily="34" charset="0"/>
            </a:rPr>
            <a:t>SERVICIOS CRAI+2: ALIANZAS</a:t>
          </a:r>
          <a:r>
            <a:rPr lang="en-US" sz="900" b="1" baseline="0">
              <a:solidFill>
                <a:sysClr val="windowText" lastClr="000000"/>
              </a:solidFill>
              <a:latin typeface="Arial Narrow" panose="020B0606020202030204" pitchFamily="34" charset="0"/>
            </a:rPr>
            <a:t> INTERBIBLIOTECARIAS</a:t>
          </a:r>
          <a:endParaRPr lang="en-US" sz="900" b="1">
            <a:solidFill>
              <a:sysClr val="windowText" lastClr="000000"/>
            </a:solidFill>
            <a:latin typeface="Arial Narrow" panose="020B0606020202030204" pitchFamily="34" charset="0"/>
          </a:endParaRPr>
        </a:p>
      </xdr:txBody>
    </xdr:sp>
    <xdr:clientData/>
  </xdr:twoCellAnchor>
  <xdr:twoCellAnchor>
    <xdr:from>
      <xdr:col>5</xdr:col>
      <xdr:colOff>95250</xdr:colOff>
      <xdr:row>21</xdr:row>
      <xdr:rowOff>152400</xdr:rowOff>
    </xdr:from>
    <xdr:to>
      <xdr:col>10</xdr:col>
      <xdr:colOff>7844</xdr:colOff>
      <xdr:row>29</xdr:row>
      <xdr:rowOff>4483</xdr:rowOff>
    </xdr:to>
    <xdr:sp macro="" textlink="">
      <xdr:nvSpPr>
        <xdr:cNvPr id="10" name="Flecha a la derecha con bandas 9">
          <a:hlinkClick xmlns:r="http://schemas.openxmlformats.org/officeDocument/2006/relationships" r:id="rId8"/>
          <a:extLst>
            <a:ext uri="{FF2B5EF4-FFF2-40B4-BE49-F238E27FC236}">
              <a16:creationId xmlns:a16="http://schemas.microsoft.com/office/drawing/2014/main" id="{00000000-0008-0000-0000-00000A000000}"/>
            </a:ext>
          </a:extLst>
        </xdr:cNvPr>
        <xdr:cNvSpPr/>
      </xdr:nvSpPr>
      <xdr:spPr>
        <a:xfrm>
          <a:off x="7038975" y="3705225"/>
          <a:ext cx="3722594" cy="1261783"/>
        </a:xfrm>
        <a:prstGeom prst="stripedRightArrow">
          <a:avLst/>
        </a:prstGeom>
        <a:solidFill>
          <a:schemeClr val="accent5">
            <a:lumMod val="20000"/>
            <a:lumOff val="8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US" sz="1400" b="1">
              <a:solidFill>
                <a:sysClr val="windowText" lastClr="000000"/>
              </a:solidFill>
              <a:latin typeface="Arial Narrow" panose="020B0606020202030204" pitchFamily="34" charset="0"/>
            </a:rPr>
            <a:t>H</a:t>
          </a:r>
          <a:r>
            <a:rPr lang="en-US" sz="900" b="1">
              <a:solidFill>
                <a:sysClr val="windowText" lastClr="000000"/>
              </a:solidFill>
              <a:latin typeface="Arial Narrow" panose="020B0606020202030204" pitchFamily="34" charset="0"/>
            </a:rPr>
            <a:t>.</a:t>
          </a:r>
          <a:r>
            <a:rPr lang="en-US" sz="900" b="1" baseline="0">
              <a:solidFill>
                <a:sysClr val="windowText" lastClr="000000"/>
              </a:solidFill>
              <a:latin typeface="Arial Narrow" panose="020B0606020202030204" pitchFamily="34" charset="0"/>
            </a:rPr>
            <a:t> </a:t>
          </a:r>
          <a:r>
            <a:rPr lang="en-US" sz="900" b="1">
              <a:solidFill>
                <a:sysClr val="windowText" lastClr="000000"/>
              </a:solidFill>
              <a:latin typeface="Arial Narrow" panose="020B0606020202030204" pitchFamily="34" charset="0"/>
            </a:rPr>
            <a:t>SERVICIOS CRAI+11 DESARROLLO DE COMPETENCIAS </a:t>
          </a:r>
          <a:r>
            <a:rPr lang="en-US" sz="900" b="0">
              <a:solidFill>
                <a:sysClr val="windowText" lastClr="000000"/>
              </a:solidFill>
              <a:latin typeface="Arial Narrow" panose="020B0606020202030204" pitchFamily="34" charset="0"/>
            </a:rPr>
            <a:t>ACADÉMICAS USUARIOS</a:t>
          </a:r>
          <a:r>
            <a:rPr lang="en-US" sz="900" b="0" baseline="0">
              <a:solidFill>
                <a:sysClr val="windowText" lastClr="000000"/>
              </a:solidFill>
              <a:latin typeface="Arial Narrow" panose="020B0606020202030204" pitchFamily="34" charset="0"/>
            </a:rPr>
            <a:t> CAPACITADOS EN </a:t>
          </a:r>
          <a:r>
            <a:rPr lang="en-US" sz="900" b="0">
              <a:solidFill>
                <a:sysClr val="windowText" lastClr="000000"/>
              </a:solidFill>
              <a:latin typeface="Arial Narrow" panose="020B0606020202030204" pitchFamily="34" charset="0"/>
            </a:rPr>
            <a:t> PLAN DE FORMACIÓN  BIBLIOTECA</a:t>
          </a:r>
          <a:r>
            <a:rPr lang="en-US" sz="900" b="0" baseline="0">
              <a:solidFill>
                <a:sysClr val="windowText" lastClr="000000"/>
              </a:solidFill>
              <a:latin typeface="Arial Narrow" panose="020B0606020202030204" pitchFamily="34" charset="0"/>
            </a:rPr>
            <a:t> X FACULTAD X PROYECTO CURRICULAR</a:t>
          </a:r>
          <a:endParaRPr lang="en-US" sz="900" b="0">
            <a:solidFill>
              <a:sysClr val="windowText" lastClr="000000"/>
            </a:solidFill>
            <a:latin typeface="Arial Narrow" panose="020B0606020202030204" pitchFamily="34" charset="0"/>
          </a:endParaRPr>
        </a:p>
      </xdr:txBody>
    </xdr:sp>
    <xdr:clientData/>
  </xdr:twoCellAnchor>
  <xdr:twoCellAnchor>
    <xdr:from>
      <xdr:col>3</xdr:col>
      <xdr:colOff>468404</xdr:colOff>
      <xdr:row>14</xdr:row>
      <xdr:rowOff>11205</xdr:rowOff>
    </xdr:from>
    <xdr:to>
      <xdr:col>3</xdr:col>
      <xdr:colOff>2971800</xdr:colOff>
      <xdr:row>20</xdr:row>
      <xdr:rowOff>152400</xdr:rowOff>
    </xdr:to>
    <xdr:sp macro="" textlink="">
      <xdr:nvSpPr>
        <xdr:cNvPr id="11" name="Flecha a la derecha con bandas 10">
          <a:hlinkClick xmlns:r="http://schemas.openxmlformats.org/officeDocument/2006/relationships" r:id="rId9"/>
          <a:extLst>
            <a:ext uri="{FF2B5EF4-FFF2-40B4-BE49-F238E27FC236}">
              <a16:creationId xmlns:a16="http://schemas.microsoft.com/office/drawing/2014/main" id="{00000000-0008-0000-0000-00000B000000}"/>
            </a:ext>
          </a:extLst>
        </xdr:cNvPr>
        <xdr:cNvSpPr/>
      </xdr:nvSpPr>
      <xdr:spPr>
        <a:xfrm>
          <a:off x="3183029" y="2430555"/>
          <a:ext cx="2503396" cy="1112745"/>
        </a:xfrm>
        <a:prstGeom prst="stripedRightArrow">
          <a:avLst/>
        </a:prstGeom>
        <a:solidFill>
          <a:schemeClr val="accent3">
            <a:lumMod val="40000"/>
            <a:lumOff val="6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r>
            <a:rPr lang="en-US" sz="1400" b="1">
              <a:solidFill>
                <a:sysClr val="windowText" lastClr="000000"/>
              </a:solidFill>
              <a:effectLst/>
              <a:latin typeface="Arial Narrow" panose="020B0606020202030204" pitchFamily="34" charset="0"/>
              <a:ea typeface="+mn-ea"/>
              <a:cs typeface="+mn-cs"/>
            </a:rPr>
            <a:t>C. </a:t>
          </a:r>
          <a:r>
            <a:rPr lang="en-US" sz="900" b="1">
              <a:solidFill>
                <a:sysClr val="windowText" lastClr="000000"/>
              </a:solidFill>
              <a:effectLst/>
              <a:latin typeface="Arial Narrow" panose="020B0606020202030204" pitchFamily="34" charset="0"/>
              <a:ea typeface="+mn-ea"/>
              <a:cs typeface="+mn-cs"/>
            </a:rPr>
            <a:t>SERVICIOS CRAI+10: COLECCIONES BIBLIOGRÁFICOS IMPRESOS</a:t>
          </a:r>
          <a:r>
            <a:rPr lang="en-US" sz="900" b="0" baseline="0">
              <a:solidFill>
                <a:sysClr val="windowText" lastClr="000000"/>
              </a:solidFill>
              <a:effectLst/>
              <a:latin typeface="Arial Narrow" panose="020B0606020202030204" pitchFamily="34" charset="0"/>
              <a:ea typeface="+mn-ea"/>
              <a:cs typeface="+mn-cs"/>
            </a:rPr>
            <a:t> X SEDE X FACULTAD</a:t>
          </a:r>
          <a:endParaRPr lang="en-US" sz="900" b="0">
            <a:solidFill>
              <a:sysClr val="windowText" lastClr="000000"/>
            </a:solidFill>
            <a:effectLst/>
            <a:latin typeface="Arial Narrow" panose="020B0606020202030204" pitchFamily="34" charset="0"/>
          </a:endParaRPr>
        </a:p>
      </xdr:txBody>
    </xdr:sp>
    <xdr:clientData/>
  </xdr:twoCellAnchor>
  <xdr:twoCellAnchor>
    <xdr:from>
      <xdr:col>6</xdr:col>
      <xdr:colOff>477620</xdr:colOff>
      <xdr:row>28</xdr:row>
      <xdr:rowOff>187913</xdr:rowOff>
    </xdr:from>
    <xdr:to>
      <xdr:col>10</xdr:col>
      <xdr:colOff>645002</xdr:colOff>
      <xdr:row>36</xdr:row>
      <xdr:rowOff>0</xdr:rowOff>
    </xdr:to>
    <xdr:sp macro="" textlink="">
      <xdr:nvSpPr>
        <xdr:cNvPr id="12" name="Flecha a la derecha con bandas 11">
          <a:hlinkClick xmlns:r="http://schemas.openxmlformats.org/officeDocument/2006/relationships" r:id="rId10"/>
          <a:extLst>
            <a:ext uri="{FF2B5EF4-FFF2-40B4-BE49-F238E27FC236}">
              <a16:creationId xmlns:a16="http://schemas.microsoft.com/office/drawing/2014/main" id="{00000000-0008-0000-0000-00000C000000}"/>
            </a:ext>
          </a:extLst>
        </xdr:cNvPr>
        <xdr:cNvSpPr/>
      </xdr:nvSpPr>
      <xdr:spPr>
        <a:xfrm>
          <a:off x="8175375" y="5057326"/>
          <a:ext cx="3199831" cy="1367189"/>
        </a:xfrm>
        <a:prstGeom prst="stripedRightArrow">
          <a:avLst/>
        </a:prstGeom>
        <a:solidFill>
          <a:schemeClr val="accent2">
            <a:lumMod val="20000"/>
            <a:lumOff val="80000"/>
          </a:schemeClr>
        </a:solidFill>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r>
            <a:rPr lang="en-US" sz="1400" b="1">
              <a:solidFill>
                <a:sysClr val="windowText" lastClr="000000"/>
              </a:solidFill>
              <a:latin typeface="Arial Narrow" panose="020B0606020202030204" pitchFamily="34" charset="0"/>
            </a:rPr>
            <a:t>i</a:t>
          </a:r>
          <a:r>
            <a:rPr lang="en-US" sz="900" b="1">
              <a:solidFill>
                <a:sysClr val="windowText" lastClr="000000"/>
              </a:solidFill>
              <a:latin typeface="Arial Narrow" panose="020B0606020202030204" pitchFamily="34" charset="0"/>
            </a:rPr>
            <a:t>.INFRAESTRUCTURA</a:t>
          </a:r>
          <a:r>
            <a:rPr lang="en-US" sz="900" b="1" baseline="0">
              <a:solidFill>
                <a:sysClr val="windowText" lastClr="000000"/>
              </a:solidFill>
              <a:latin typeface="Arial Narrow" panose="020B0606020202030204" pitchFamily="34" charset="0"/>
            </a:rPr>
            <a:t> FÍSICA POR BIBLIOTECA</a:t>
          </a:r>
          <a:endParaRPr lang="en-US" sz="900" b="0">
            <a:solidFill>
              <a:sysClr val="windowText" lastClr="000000"/>
            </a:solidFill>
            <a:latin typeface="Arial Narrow" panose="020B060602020203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2295525</xdr:colOff>
      <xdr:row>1</xdr:row>
      <xdr:rowOff>28575</xdr:rowOff>
    </xdr:from>
    <xdr:to>
      <xdr:col>2</xdr:col>
      <xdr:colOff>466724</xdr:colOff>
      <xdr:row>3</xdr:row>
      <xdr:rowOff>38100</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57525" y="190500"/>
          <a:ext cx="1952624" cy="409575"/>
        </a:xfrm>
        <a:prstGeom prst="rect">
          <a:avLst/>
        </a:prstGeom>
      </xdr:spPr>
    </xdr:pic>
    <xdr:clientData/>
  </xdr:twoCellAnchor>
  <xdr:twoCellAnchor>
    <xdr:from>
      <xdr:col>1</xdr:col>
      <xdr:colOff>95250</xdr:colOff>
      <xdr:row>0</xdr:row>
      <xdr:rowOff>114300</xdr:rowOff>
    </xdr:from>
    <xdr:to>
      <xdr:col>1</xdr:col>
      <xdr:colOff>1800225</xdr:colOff>
      <xdr:row>2</xdr:row>
      <xdr:rowOff>333375</xdr:rowOff>
    </xdr:to>
    <xdr:sp macro="" textlink="">
      <xdr:nvSpPr>
        <xdr:cNvPr id="3" name="Flecha izquierda 2">
          <a:hlinkClick xmlns:r="http://schemas.openxmlformats.org/officeDocument/2006/relationships" r:id="rId2"/>
          <a:extLst>
            <a:ext uri="{FF2B5EF4-FFF2-40B4-BE49-F238E27FC236}">
              <a16:creationId xmlns:a16="http://schemas.microsoft.com/office/drawing/2014/main" id="{00000000-0008-0000-0100-000003000000}"/>
            </a:ext>
          </a:extLst>
        </xdr:cNvPr>
        <xdr:cNvSpPr/>
      </xdr:nvSpPr>
      <xdr:spPr>
        <a:xfrm>
          <a:off x="857250" y="114300"/>
          <a:ext cx="1704975" cy="447675"/>
        </a:xfrm>
        <a:prstGeom prst="leftArrow">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rPr>
            <a:t>INICIO</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38100</xdr:colOff>
      <xdr:row>0</xdr:row>
      <xdr:rowOff>133350</xdr:rowOff>
    </xdr:from>
    <xdr:to>
      <xdr:col>5</xdr:col>
      <xdr:colOff>695324</xdr:colOff>
      <xdr:row>3</xdr:row>
      <xdr:rowOff>57150</xdr:rowOff>
    </xdr:to>
    <xdr:pic>
      <xdr:nvPicPr>
        <xdr:cNvPr id="2" name="Imagen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81250" y="133350"/>
          <a:ext cx="1952624" cy="409575"/>
        </a:xfrm>
        <a:prstGeom prst="rect">
          <a:avLst/>
        </a:prstGeom>
      </xdr:spPr>
    </xdr:pic>
    <xdr:clientData/>
  </xdr:twoCellAnchor>
  <xdr:twoCellAnchor>
    <xdr:from>
      <xdr:col>2</xdr:col>
      <xdr:colOff>0</xdr:colOff>
      <xdr:row>0</xdr:row>
      <xdr:rowOff>76200</xdr:rowOff>
    </xdr:from>
    <xdr:to>
      <xdr:col>2</xdr:col>
      <xdr:colOff>1543050</xdr:colOff>
      <xdr:row>3</xdr:row>
      <xdr:rowOff>133350</xdr:rowOff>
    </xdr:to>
    <xdr:sp macro="" textlink="">
      <xdr:nvSpPr>
        <xdr:cNvPr id="3" name="Flecha izquierda 2">
          <a:hlinkClick xmlns:r="http://schemas.openxmlformats.org/officeDocument/2006/relationships" r:id="rId2"/>
          <a:extLst>
            <a:ext uri="{FF2B5EF4-FFF2-40B4-BE49-F238E27FC236}">
              <a16:creationId xmlns:a16="http://schemas.microsoft.com/office/drawing/2014/main" id="{00000000-0008-0000-0200-000003000000}"/>
            </a:ext>
          </a:extLst>
        </xdr:cNvPr>
        <xdr:cNvSpPr/>
      </xdr:nvSpPr>
      <xdr:spPr>
        <a:xfrm>
          <a:off x="733425" y="76200"/>
          <a:ext cx="1543050" cy="542925"/>
        </a:xfrm>
        <a:prstGeom prst="leftArrow">
          <a:avLst/>
        </a:prstGeom>
        <a:solidFill>
          <a:schemeClr val="accent3">
            <a:lumMod val="40000"/>
            <a:lumOff val="60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US" sz="1400" b="1">
              <a:solidFill>
                <a:sysClr val="windowText" lastClr="000000"/>
              </a:solidFill>
            </a:rPr>
            <a:t>INICIO</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161925</xdr:colOff>
      <xdr:row>0</xdr:row>
      <xdr:rowOff>161925</xdr:rowOff>
    </xdr:from>
    <xdr:to>
      <xdr:col>1</xdr:col>
      <xdr:colOff>1704975</xdr:colOff>
      <xdr:row>3</xdr:row>
      <xdr:rowOff>142875</xdr:rowOff>
    </xdr:to>
    <xdr:sp macro="" textlink="">
      <xdr:nvSpPr>
        <xdr:cNvPr id="2" name="Flecha izquierda 1">
          <a:hlinkClick xmlns:r="http://schemas.openxmlformats.org/officeDocument/2006/relationships" r:id="rId1"/>
          <a:extLst>
            <a:ext uri="{FF2B5EF4-FFF2-40B4-BE49-F238E27FC236}">
              <a16:creationId xmlns:a16="http://schemas.microsoft.com/office/drawing/2014/main" id="{00000000-0008-0000-0300-000002000000}"/>
            </a:ext>
          </a:extLst>
        </xdr:cNvPr>
        <xdr:cNvSpPr/>
      </xdr:nvSpPr>
      <xdr:spPr>
        <a:xfrm>
          <a:off x="828675" y="161925"/>
          <a:ext cx="1543050" cy="542925"/>
        </a:xfrm>
        <a:prstGeom prst="leftArrow">
          <a:avLst/>
        </a:prstGeom>
        <a:solidFill>
          <a:schemeClr val="accent3">
            <a:lumMod val="40000"/>
            <a:lumOff val="60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US" sz="1400" b="1">
              <a:solidFill>
                <a:sysClr val="windowText" lastClr="000000"/>
              </a:solidFill>
            </a:rPr>
            <a:t>INICIO</a:t>
          </a:r>
        </a:p>
      </xdr:txBody>
    </xdr:sp>
    <xdr:clientData/>
  </xdr:twoCellAnchor>
  <xdr:twoCellAnchor editAs="oneCell">
    <xdr:from>
      <xdr:col>2</xdr:col>
      <xdr:colOff>19050</xdr:colOff>
      <xdr:row>1</xdr:row>
      <xdr:rowOff>47625</xdr:rowOff>
    </xdr:from>
    <xdr:to>
      <xdr:col>4</xdr:col>
      <xdr:colOff>447674</xdr:colOff>
      <xdr:row>3</xdr:row>
      <xdr:rowOff>85725</xdr:rowOff>
    </xdr:to>
    <xdr:pic>
      <xdr:nvPicPr>
        <xdr:cNvPr id="3" name="Imagen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24125" y="238125"/>
          <a:ext cx="1952624" cy="4095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1543050</xdr:colOff>
      <xdr:row>3</xdr:row>
      <xdr:rowOff>161925</xdr:rowOff>
    </xdr:to>
    <xdr:sp macro="" textlink="">
      <xdr:nvSpPr>
        <xdr:cNvPr id="2" name="Flecha izquierda 1">
          <a:hlinkClick xmlns:r="http://schemas.openxmlformats.org/officeDocument/2006/relationships" r:id="rId1"/>
          <a:extLst>
            <a:ext uri="{FF2B5EF4-FFF2-40B4-BE49-F238E27FC236}">
              <a16:creationId xmlns:a16="http://schemas.microsoft.com/office/drawing/2014/main" id="{00000000-0008-0000-0400-000002000000}"/>
            </a:ext>
          </a:extLst>
        </xdr:cNvPr>
        <xdr:cNvSpPr/>
      </xdr:nvSpPr>
      <xdr:spPr>
        <a:xfrm>
          <a:off x="762000" y="190500"/>
          <a:ext cx="1543050" cy="542925"/>
        </a:xfrm>
        <a:prstGeom prst="leftArrow">
          <a:avLst/>
        </a:prstGeom>
        <a:solidFill>
          <a:schemeClr val="accent3">
            <a:lumMod val="40000"/>
            <a:lumOff val="60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US" sz="1400" b="1">
              <a:solidFill>
                <a:sysClr val="windowText" lastClr="000000"/>
              </a:solidFill>
            </a:rPr>
            <a:t>INICIO</a:t>
          </a:r>
        </a:p>
      </xdr:txBody>
    </xdr:sp>
    <xdr:clientData/>
  </xdr:twoCellAnchor>
  <xdr:twoCellAnchor editAs="oneCell">
    <xdr:from>
      <xdr:col>2</xdr:col>
      <xdr:colOff>0</xdr:colOff>
      <xdr:row>1</xdr:row>
      <xdr:rowOff>66675</xdr:rowOff>
    </xdr:from>
    <xdr:to>
      <xdr:col>2</xdr:col>
      <xdr:colOff>1952624</xdr:colOff>
      <xdr:row>3</xdr:row>
      <xdr:rowOff>142875</xdr:rowOff>
    </xdr:to>
    <xdr:pic>
      <xdr:nvPicPr>
        <xdr:cNvPr id="3" name="Imagen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600325" y="257175"/>
          <a:ext cx="1952624" cy="4095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752475</xdr:colOff>
      <xdr:row>0</xdr:row>
      <xdr:rowOff>133350</xdr:rowOff>
    </xdr:from>
    <xdr:to>
      <xdr:col>1</xdr:col>
      <xdr:colOff>1676400</xdr:colOff>
      <xdr:row>3</xdr:row>
      <xdr:rowOff>104775</xdr:rowOff>
    </xdr:to>
    <xdr:sp macro="" textlink="">
      <xdr:nvSpPr>
        <xdr:cNvPr id="2" name="Flecha izquierda 1">
          <a:hlinkClick xmlns:r="http://schemas.openxmlformats.org/officeDocument/2006/relationships" r:id="rId1"/>
          <a:extLst>
            <a:ext uri="{FF2B5EF4-FFF2-40B4-BE49-F238E27FC236}">
              <a16:creationId xmlns:a16="http://schemas.microsoft.com/office/drawing/2014/main" id="{00000000-0008-0000-0500-000002000000}"/>
            </a:ext>
          </a:extLst>
        </xdr:cNvPr>
        <xdr:cNvSpPr/>
      </xdr:nvSpPr>
      <xdr:spPr>
        <a:xfrm>
          <a:off x="752475" y="133350"/>
          <a:ext cx="1685925" cy="514350"/>
        </a:xfrm>
        <a:prstGeom prst="leftArrow">
          <a:avLst/>
        </a:prstGeom>
        <a:solidFill>
          <a:schemeClr val="accent3">
            <a:lumMod val="40000"/>
            <a:lumOff val="60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US" sz="1400" b="1">
              <a:solidFill>
                <a:sysClr val="windowText" lastClr="000000"/>
              </a:solidFill>
            </a:rPr>
            <a:t>INICIO</a:t>
          </a:r>
        </a:p>
      </xdr:txBody>
    </xdr:sp>
    <xdr:clientData/>
  </xdr:twoCellAnchor>
  <xdr:twoCellAnchor editAs="oneCell">
    <xdr:from>
      <xdr:col>1</xdr:col>
      <xdr:colOff>2019300</xdr:colOff>
      <xdr:row>1</xdr:row>
      <xdr:rowOff>19050</xdr:rowOff>
    </xdr:from>
    <xdr:to>
      <xdr:col>3</xdr:col>
      <xdr:colOff>180974</xdr:colOff>
      <xdr:row>3</xdr:row>
      <xdr:rowOff>47625</xdr:rowOff>
    </xdr:to>
    <xdr:pic>
      <xdr:nvPicPr>
        <xdr:cNvPr id="3" name="Imagen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781300" y="180975"/>
          <a:ext cx="1952624" cy="4095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1066800</xdr:colOff>
      <xdr:row>1</xdr:row>
      <xdr:rowOff>47625</xdr:rowOff>
    </xdr:from>
    <xdr:to>
      <xdr:col>2</xdr:col>
      <xdr:colOff>3019424</xdr:colOff>
      <xdr:row>3</xdr:row>
      <xdr:rowOff>133350</xdr:rowOff>
    </xdr:to>
    <xdr:pic>
      <xdr:nvPicPr>
        <xdr:cNvPr id="2" name="Imagen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67050" y="238125"/>
          <a:ext cx="1952624" cy="409575"/>
        </a:xfrm>
        <a:prstGeom prst="rect">
          <a:avLst/>
        </a:prstGeom>
      </xdr:spPr>
    </xdr:pic>
    <xdr:clientData/>
  </xdr:twoCellAnchor>
  <xdr:twoCellAnchor>
    <xdr:from>
      <xdr:col>1</xdr:col>
      <xdr:colOff>38101</xdr:colOff>
      <xdr:row>1</xdr:row>
      <xdr:rowOff>19050</xdr:rowOff>
    </xdr:from>
    <xdr:to>
      <xdr:col>2</xdr:col>
      <xdr:colOff>590551</xdr:colOff>
      <xdr:row>4</xdr:row>
      <xdr:rowOff>19050</xdr:rowOff>
    </xdr:to>
    <xdr:sp macro="" textlink="">
      <xdr:nvSpPr>
        <xdr:cNvPr id="3" name="Flecha izquierda 2">
          <a:hlinkClick xmlns:r="http://schemas.openxmlformats.org/officeDocument/2006/relationships" r:id="rId2"/>
          <a:extLst>
            <a:ext uri="{FF2B5EF4-FFF2-40B4-BE49-F238E27FC236}">
              <a16:creationId xmlns:a16="http://schemas.microsoft.com/office/drawing/2014/main" id="{00000000-0008-0000-0600-000003000000}"/>
            </a:ext>
          </a:extLst>
        </xdr:cNvPr>
        <xdr:cNvSpPr/>
      </xdr:nvSpPr>
      <xdr:spPr>
        <a:xfrm>
          <a:off x="704851" y="209550"/>
          <a:ext cx="1885950" cy="485775"/>
        </a:xfrm>
        <a:prstGeom prst="leftArrow">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ysClr val="windowText" lastClr="000000"/>
              </a:solidFill>
            </a:rPr>
            <a:t>INICIO</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9525</xdr:colOff>
      <xdr:row>1</xdr:row>
      <xdr:rowOff>57150</xdr:rowOff>
    </xdr:from>
    <xdr:to>
      <xdr:col>2</xdr:col>
      <xdr:colOff>1962149</xdr:colOff>
      <xdr:row>3</xdr:row>
      <xdr:rowOff>142875</xdr:rowOff>
    </xdr:to>
    <xdr:pic>
      <xdr:nvPicPr>
        <xdr:cNvPr id="2" name="Imagen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33525" y="219075"/>
          <a:ext cx="1952624" cy="409575"/>
        </a:xfrm>
        <a:prstGeom prst="rect">
          <a:avLst/>
        </a:prstGeom>
      </xdr:spPr>
    </xdr:pic>
    <xdr:clientData/>
  </xdr:twoCellAnchor>
  <xdr:twoCellAnchor>
    <xdr:from>
      <xdr:col>0</xdr:col>
      <xdr:colOff>114300</xdr:colOff>
      <xdr:row>1</xdr:row>
      <xdr:rowOff>0</xdr:rowOff>
    </xdr:from>
    <xdr:to>
      <xdr:col>1</xdr:col>
      <xdr:colOff>647700</xdr:colOff>
      <xdr:row>4</xdr:row>
      <xdr:rowOff>57150</xdr:rowOff>
    </xdr:to>
    <xdr:sp macro="" textlink="">
      <xdr:nvSpPr>
        <xdr:cNvPr id="3" name="Flecha izquierda 2">
          <a:hlinkClick xmlns:r="http://schemas.openxmlformats.org/officeDocument/2006/relationships" r:id="rId2"/>
          <a:extLst>
            <a:ext uri="{FF2B5EF4-FFF2-40B4-BE49-F238E27FC236}">
              <a16:creationId xmlns:a16="http://schemas.microsoft.com/office/drawing/2014/main" id="{00000000-0008-0000-0800-000003000000}"/>
            </a:ext>
          </a:extLst>
        </xdr:cNvPr>
        <xdr:cNvSpPr/>
      </xdr:nvSpPr>
      <xdr:spPr>
        <a:xfrm>
          <a:off x="114300" y="161925"/>
          <a:ext cx="1295400" cy="542925"/>
        </a:xfrm>
        <a:prstGeom prst="leftArrow">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ysClr val="windowText" lastClr="000000"/>
              </a:solidFill>
            </a:rPr>
            <a:t>INICIO</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38100</xdr:colOff>
      <xdr:row>0</xdr:row>
      <xdr:rowOff>152400</xdr:rowOff>
    </xdr:from>
    <xdr:to>
      <xdr:col>2</xdr:col>
      <xdr:colOff>1990724</xdr:colOff>
      <xdr:row>3</xdr:row>
      <xdr:rowOff>47625</xdr:rowOff>
    </xdr:to>
    <xdr:pic>
      <xdr:nvPicPr>
        <xdr:cNvPr id="2" name="Imagen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0" y="152400"/>
          <a:ext cx="1952624" cy="409575"/>
        </a:xfrm>
        <a:prstGeom prst="rect">
          <a:avLst/>
        </a:prstGeom>
      </xdr:spPr>
    </xdr:pic>
    <xdr:clientData/>
  </xdr:twoCellAnchor>
  <xdr:twoCellAnchor>
    <xdr:from>
      <xdr:col>1</xdr:col>
      <xdr:colOff>161926</xdr:colOff>
      <xdr:row>1</xdr:row>
      <xdr:rowOff>0</xdr:rowOff>
    </xdr:from>
    <xdr:to>
      <xdr:col>1</xdr:col>
      <xdr:colOff>1495426</xdr:colOff>
      <xdr:row>3</xdr:row>
      <xdr:rowOff>28575</xdr:rowOff>
    </xdr:to>
    <xdr:sp macro="" textlink="">
      <xdr:nvSpPr>
        <xdr:cNvPr id="3" name="Flecha izquierda 2">
          <a:hlinkClick xmlns:r="http://schemas.openxmlformats.org/officeDocument/2006/relationships" r:id="rId2"/>
          <a:extLst>
            <a:ext uri="{FF2B5EF4-FFF2-40B4-BE49-F238E27FC236}">
              <a16:creationId xmlns:a16="http://schemas.microsoft.com/office/drawing/2014/main" id="{00000000-0008-0000-0900-000003000000}"/>
            </a:ext>
          </a:extLst>
        </xdr:cNvPr>
        <xdr:cNvSpPr/>
      </xdr:nvSpPr>
      <xdr:spPr>
        <a:xfrm>
          <a:off x="771526" y="190500"/>
          <a:ext cx="1333500" cy="352425"/>
        </a:xfrm>
        <a:prstGeom prst="leftArrow">
          <a:avLst/>
        </a:prstGeom>
        <a:solidFill>
          <a:schemeClr val="accent2">
            <a:lumMod val="60000"/>
            <a:lumOff val="4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200" b="1">
              <a:solidFill>
                <a:sysClr val="windowText" lastClr="000000"/>
              </a:solidFill>
            </a:rPr>
            <a:t>INICIO</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norcl/OneDrive/Documentos/2025/UNIVERSIDAD%20DISTRITAL/30.6%20Acreditaci&#243;n/Oficina%20Curriculo%20y%20Calidad/Solicitud%20Actualizacion%202025-I/1%202025-AE26%20Biblioteca%20Estad&#237;sticas%20Generales%202018-2025-I.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badministrativo_aux4/Desktop/2025/30.8%20Acreditaci&#243;n/Estadisticas%20Generales/2%20Biblioteca%20recursos%20bibliogr&#225;ficos%202025-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ido"/>
      <sheetName val="a. Servicios_Globales"/>
      <sheetName val="b. Uso_Servicios CRAI+desglose"/>
      <sheetName val="c.CRAI+2_Alianza Interbiblio"/>
      <sheetName val="d.CRAI+6_Biblioteca_digital"/>
      <sheetName val="e.CRAI+6_RIUD_Repositorio"/>
      <sheetName val="f.CRAI+11_Plan_formación"/>
      <sheetName val="g. Usos_Tipo_Usuario"/>
    </sheetNames>
    <sheetDataSet>
      <sheetData sheetId="0"/>
      <sheetData sheetId="1"/>
      <sheetData sheetId="2"/>
      <sheetData sheetId="3"/>
      <sheetData sheetId="4">
        <row r="105">
          <cell r="L105">
            <v>853059</v>
          </cell>
        </row>
      </sheetData>
      <sheetData sheetId="5">
        <row r="14">
          <cell r="G14">
            <v>117902</v>
          </cell>
        </row>
      </sheetData>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ido"/>
      <sheetName val="a. Colecciones_bibliogáficas"/>
      <sheetName val="b. Colección_impresa_ubicación"/>
      <sheetName val="c. Biblioteca_digital_BDIGITAL"/>
      <sheetName val="d.Colección_digital_RIUD"/>
    </sheetNames>
    <sheetDataSet>
      <sheetData sheetId="0" refreshError="1"/>
      <sheetData sheetId="1" refreshError="1"/>
      <sheetData sheetId="2">
        <row r="14">
          <cell r="Q14">
            <v>34383</v>
          </cell>
        </row>
        <row r="15">
          <cell r="Q15">
            <v>27835</v>
          </cell>
        </row>
      </sheetData>
      <sheetData sheetId="3" refreshError="1"/>
      <sheetData sheetId="4"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bibliotecas.udistrital.edu.co/"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repository.udistrital.edu.co/home" TargetMode="External"/><Relationship Id="rId2" Type="http://schemas.openxmlformats.org/officeDocument/2006/relationships/hyperlink" Target="http://biblioteca.udistrital.edu.co/F?RN=927836072" TargetMode="External"/><Relationship Id="rId1" Type="http://schemas.openxmlformats.org/officeDocument/2006/relationships/hyperlink" Target="https://research.ebsco.com/c/2gsfcu/search/results?autocorrect=y&amp;q=ingenieria" TargetMode="External"/><Relationship Id="rId5" Type="http://schemas.openxmlformats.org/officeDocument/2006/relationships/drawing" Target="../drawings/drawing3.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biblioteca.udistrital.edu.co/F?RN=927836072" TargetMode="External"/><Relationship Id="rId1" Type="http://schemas.openxmlformats.org/officeDocument/2006/relationships/hyperlink" Target="https://research.ebsco.com/c/2gsfcu/search/results?autocorrect=y&amp;q=ingenieria"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repository.udistrital.edu.co/home" TargetMode="External"/><Relationship Id="rId13" Type="http://schemas.openxmlformats.org/officeDocument/2006/relationships/drawing" Target="../drawings/drawing5.xml"/><Relationship Id="rId3" Type="http://schemas.openxmlformats.org/officeDocument/2006/relationships/hyperlink" Target="https://repository.udistrital.edu.co/home" TargetMode="External"/><Relationship Id="rId7" Type="http://schemas.openxmlformats.org/officeDocument/2006/relationships/hyperlink" Target="https://bibliotecas.udistrital.edu.co/repositorio/index.html" TargetMode="External"/><Relationship Id="rId12" Type="http://schemas.openxmlformats.org/officeDocument/2006/relationships/printerSettings" Target="../printerSettings/printerSettings4.bin"/><Relationship Id="rId2" Type="http://schemas.openxmlformats.org/officeDocument/2006/relationships/hyperlink" Target="http://herbario.udistrital.edu.co/herbario/" TargetMode="External"/><Relationship Id="rId1" Type="http://schemas.openxmlformats.org/officeDocument/2006/relationships/hyperlink" Target="https://bibliotecas.udistrital.edu.co/ud/bdigital2/subjects/index.php" TargetMode="External"/><Relationship Id="rId6" Type="http://schemas.openxmlformats.org/officeDocument/2006/relationships/hyperlink" Target="http://hdl.handle.net/11349/42615" TargetMode="External"/><Relationship Id="rId11" Type="http://schemas.openxmlformats.org/officeDocument/2006/relationships/hyperlink" Target="https://login.bdigital.udistrital.edu.co/login?url=https://www.oreilly.com/library-access/" TargetMode="External"/><Relationship Id="rId5" Type="http://schemas.openxmlformats.org/officeDocument/2006/relationships/hyperlink" Target="https://revistas.udistrital.edu.co/" TargetMode="External"/><Relationship Id="rId10" Type="http://schemas.openxmlformats.org/officeDocument/2006/relationships/hyperlink" Target="https://bibliotecas.udistrital.edu.co/ud/bdigital2/subjects/index.php" TargetMode="External"/><Relationship Id="rId4" Type="http://schemas.openxmlformats.org/officeDocument/2006/relationships/hyperlink" Target="https://bibliotecas.udistrital.edu.co/ud/bdigital2/subjects/index.php" TargetMode="External"/><Relationship Id="rId9" Type="http://schemas.openxmlformats.org/officeDocument/2006/relationships/hyperlink" Target="https://bibliotecas.udistrital.edu.co/ud/bdigital2/subjects/index.php"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repository.udistrital.edu.co/home" TargetMode="External"/><Relationship Id="rId1" Type="http://schemas.openxmlformats.org/officeDocument/2006/relationships/hyperlink" Target="https://repository.udistrital.edu.co/home"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6.bin"/><Relationship Id="rId1" Type="http://schemas.openxmlformats.org/officeDocument/2006/relationships/hyperlink" Target="https://bibliotecas.udistrital.edu.co/"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https://bibliotecas.udistrital.edu.co/"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XFC37"/>
  <sheetViews>
    <sheetView showGridLines="0" tabSelected="1" zoomScale="86" zoomScaleNormal="86" workbookViewId="0"/>
  </sheetViews>
  <sheetFormatPr baseColWidth="10" defaultColWidth="0" defaultRowHeight="15" customHeight="1" zeroHeight="1" x14ac:dyDescent="0.2"/>
  <cols>
    <col min="1" max="1" width="2.42578125" style="223" customWidth="1"/>
    <col min="2" max="2" width="3.85546875" style="223" customWidth="1"/>
    <col min="3" max="3" width="34.42578125" style="223" customWidth="1"/>
    <col min="4" max="4" width="44.7109375" style="223" customWidth="1"/>
    <col min="5" max="5" width="18.7109375" style="223" customWidth="1"/>
    <col min="6" max="12" width="11.42578125" style="223" customWidth="1"/>
    <col min="13" max="16381" width="11.42578125" style="223" hidden="1" customWidth="1"/>
    <col min="16382" max="16382" width="6" style="223" hidden="1" customWidth="1"/>
    <col min="16383" max="16383" width="12.140625" style="223" hidden="1" customWidth="1"/>
    <col min="16384" max="16384" width="3" style="223" hidden="1" customWidth="1"/>
  </cols>
  <sheetData>
    <row r="1" spans="3:11" ht="15" customHeight="1" x14ac:dyDescent="0.2"/>
    <row r="2" spans="3:11" ht="18" x14ac:dyDescent="0.25">
      <c r="C2" s="586"/>
      <c r="D2" s="587" t="s">
        <v>100</v>
      </c>
      <c r="E2" s="587"/>
      <c r="F2" s="587"/>
      <c r="G2" s="587"/>
      <c r="H2" s="587"/>
      <c r="I2" s="587"/>
      <c r="J2" s="587"/>
      <c r="K2" s="587"/>
    </row>
    <row r="3" spans="3:11" s="226" customFormat="1" ht="9.75" customHeight="1" x14ac:dyDescent="0.25">
      <c r="C3" s="586"/>
      <c r="D3" s="224"/>
      <c r="E3" s="224"/>
      <c r="F3" s="224"/>
      <c r="G3" s="224"/>
      <c r="H3" s="224"/>
      <c r="I3" s="225"/>
      <c r="J3" s="225"/>
      <c r="K3" s="225"/>
    </row>
    <row r="4" spans="3:11" ht="18" x14ac:dyDescent="0.25">
      <c r="C4" s="586"/>
      <c r="D4" s="588" t="s">
        <v>708</v>
      </c>
      <c r="E4" s="588"/>
      <c r="F4" s="588"/>
      <c r="G4" s="588"/>
      <c r="H4" s="588"/>
      <c r="I4" s="588"/>
      <c r="J4" s="588"/>
      <c r="K4" s="588"/>
    </row>
    <row r="5" spans="3:11" ht="15" customHeight="1" x14ac:dyDescent="0.2"/>
    <row r="6" spans="3:11" ht="12.75" x14ac:dyDescent="0.2">
      <c r="C6" s="227" t="s">
        <v>101</v>
      </c>
      <c r="E6" s="228"/>
    </row>
    <row r="7" spans="3:11" ht="12.75" x14ac:dyDescent="0.2">
      <c r="C7" s="223" t="s">
        <v>509</v>
      </c>
    </row>
    <row r="8" spans="3:11" ht="12.75" x14ac:dyDescent="0.2"/>
    <row r="9" spans="3:11" ht="12.75" x14ac:dyDescent="0.2">
      <c r="C9" s="227"/>
    </row>
    <row r="10" spans="3:11" ht="12.75" x14ac:dyDescent="0.2">
      <c r="C10" s="227"/>
    </row>
    <row r="11" spans="3:11" ht="12.75" x14ac:dyDescent="0.2">
      <c r="C11" s="227"/>
      <c r="D11" s="227"/>
      <c r="E11" s="227"/>
    </row>
    <row r="12" spans="3:11" ht="12.75" x14ac:dyDescent="0.2">
      <c r="C12" s="227"/>
    </row>
    <row r="13" spans="3:11" ht="12.75" x14ac:dyDescent="0.2">
      <c r="C13" s="227"/>
    </row>
    <row r="14" spans="3:11" ht="12.75" x14ac:dyDescent="0.2">
      <c r="C14" s="227"/>
    </row>
    <row r="15" spans="3:11" ht="12.75" x14ac:dyDescent="0.2">
      <c r="C15" s="227"/>
    </row>
    <row r="16" spans="3:11" ht="12.75" x14ac:dyDescent="0.2">
      <c r="C16" s="227"/>
    </row>
    <row r="17" spans="3:3" ht="12.75" x14ac:dyDescent="0.2">
      <c r="C17" s="227"/>
    </row>
    <row r="18" spans="3:3" ht="12.75" x14ac:dyDescent="0.2">
      <c r="C18" s="227"/>
    </row>
    <row r="19" spans="3:3" ht="12.75" x14ac:dyDescent="0.2">
      <c r="C19" s="229"/>
    </row>
    <row r="20" spans="3:3" ht="12.75" x14ac:dyDescent="0.2">
      <c r="C20" s="229"/>
    </row>
    <row r="21" spans="3:3" ht="12.75" x14ac:dyDescent="0.2">
      <c r="C21" s="229"/>
    </row>
    <row r="22" spans="3:3" ht="12.75" x14ac:dyDescent="0.2">
      <c r="C22" s="229"/>
    </row>
    <row r="23" spans="3:3" ht="12.75" x14ac:dyDescent="0.2">
      <c r="C23" s="229"/>
    </row>
    <row r="24" spans="3:3" ht="12.75" x14ac:dyDescent="0.2">
      <c r="C24" s="229"/>
    </row>
    <row r="25" spans="3:3" ht="12.75" x14ac:dyDescent="0.2">
      <c r="C25" s="229"/>
    </row>
    <row r="26" spans="3:3" ht="15" customHeight="1" x14ac:dyDescent="0.2"/>
    <row r="27" spans="3:3" ht="15" customHeight="1" x14ac:dyDescent="0.2"/>
    <row r="28" spans="3:3" ht="15" customHeight="1" x14ac:dyDescent="0.2"/>
    <row r="29" spans="3:3" ht="15" customHeight="1" x14ac:dyDescent="0.2"/>
    <row r="30" spans="3:3" ht="15" customHeight="1" x14ac:dyDescent="0.2"/>
    <row r="31" spans="3:3" ht="15" customHeight="1" x14ac:dyDescent="0.2"/>
    <row r="32" spans="3:3" ht="15" customHeight="1" x14ac:dyDescent="0.2"/>
    <row r="33" ht="15" customHeight="1" x14ac:dyDescent="0.2"/>
    <row r="34" ht="15" customHeight="1" x14ac:dyDescent="0.2"/>
    <row r="35" ht="15" customHeight="1" x14ac:dyDescent="0.2"/>
    <row r="36" ht="15" customHeight="1" x14ac:dyDescent="0.2"/>
    <row r="37" ht="15" hidden="1" customHeight="1" x14ac:dyDescent="0.2"/>
  </sheetData>
  <mergeCells count="3">
    <mergeCell ref="C2:C4"/>
    <mergeCell ref="D2:K2"/>
    <mergeCell ref="D4:K4"/>
  </mergeCells>
  <pageMargins left="0.7" right="0.7" top="0.75" bottom="0.75" header="0.3" footer="0.3"/>
  <pageSetup orientation="portrait"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AA815"/>
  <sheetViews>
    <sheetView showGridLines="0" workbookViewId="0">
      <selection activeCell="E30" sqref="E30:E39"/>
    </sheetView>
  </sheetViews>
  <sheetFormatPr baseColWidth="10" defaultColWidth="14.42578125" defaultRowHeight="15" customHeight="1" x14ac:dyDescent="0.2"/>
  <cols>
    <col min="1" max="1" width="11.42578125" style="163" customWidth="1"/>
    <col min="2" max="2" width="56.7109375" style="161" customWidth="1"/>
    <col min="3" max="3" width="21.85546875" style="162" customWidth="1"/>
    <col min="4" max="4" width="32.85546875" style="161" customWidth="1"/>
    <col min="5" max="5" width="31.42578125" style="166" customWidth="1"/>
    <col min="6" max="6" width="8.7109375" style="161" customWidth="1"/>
    <col min="7" max="7" width="11.85546875" style="161" customWidth="1"/>
    <col min="8" max="8" width="11.5703125" style="161" customWidth="1"/>
    <col min="9" max="9" width="13.140625" style="161" customWidth="1"/>
    <col min="10" max="10" width="14.28515625" style="161" customWidth="1"/>
    <col min="11" max="13" width="11.42578125" style="161" customWidth="1"/>
    <col min="14" max="14" width="10" style="161" customWidth="1"/>
    <col min="15" max="15" width="15.7109375" style="161" customWidth="1"/>
    <col min="16" max="27" width="10" style="161" customWidth="1"/>
    <col min="28" max="16384" width="14.42578125" style="161"/>
  </cols>
  <sheetData>
    <row r="1" spans="1:27" ht="12.75" customHeight="1" x14ac:dyDescent="0.2">
      <c r="A1" s="156"/>
      <c r="B1" s="157"/>
      <c r="C1" s="158"/>
      <c r="D1" s="157"/>
      <c r="E1" s="159"/>
      <c r="F1" s="157"/>
      <c r="G1" s="160"/>
      <c r="H1" s="160"/>
      <c r="I1" s="160"/>
      <c r="J1" s="160"/>
      <c r="K1" s="160"/>
      <c r="L1" s="160"/>
      <c r="M1" s="160"/>
      <c r="N1" s="160"/>
      <c r="O1" s="160"/>
      <c r="P1" s="160"/>
      <c r="Q1" s="160"/>
      <c r="R1" s="160"/>
      <c r="S1" s="160"/>
      <c r="T1" s="160"/>
      <c r="U1" s="160"/>
      <c r="V1" s="160"/>
      <c r="W1" s="160"/>
      <c r="X1" s="160"/>
      <c r="Y1" s="160"/>
      <c r="Z1" s="160"/>
      <c r="AA1" s="160"/>
    </row>
    <row r="2" spans="1:27" ht="12.75" customHeight="1" x14ac:dyDescent="0.2">
      <c r="A2" s="160"/>
      <c r="D2" s="642" t="s">
        <v>0</v>
      </c>
      <c r="E2" s="642"/>
      <c r="F2" s="642"/>
      <c r="G2" s="642"/>
      <c r="H2" s="642"/>
      <c r="I2" s="642"/>
      <c r="J2" s="642"/>
      <c r="K2" s="642"/>
      <c r="L2" s="160"/>
      <c r="M2" s="160"/>
      <c r="N2" s="160"/>
      <c r="O2" s="160"/>
      <c r="P2" s="160"/>
      <c r="Q2" s="160"/>
      <c r="R2" s="160"/>
      <c r="S2" s="160"/>
      <c r="T2" s="160"/>
      <c r="U2" s="160"/>
      <c r="V2" s="160"/>
      <c r="W2" s="160"/>
      <c r="X2" s="160"/>
      <c r="Y2" s="160"/>
      <c r="Z2" s="160"/>
      <c r="AA2" s="160"/>
    </row>
    <row r="3" spans="1:27" ht="18.75" customHeight="1" x14ac:dyDescent="0.2">
      <c r="A3" s="160"/>
      <c r="D3" s="642" t="s">
        <v>238</v>
      </c>
      <c r="E3" s="642"/>
      <c r="F3" s="642"/>
      <c r="G3" s="642"/>
      <c r="H3" s="642"/>
      <c r="I3" s="642"/>
      <c r="J3" s="642"/>
      <c r="K3" s="642"/>
      <c r="L3" s="160"/>
      <c r="M3" s="160"/>
      <c r="N3" s="160"/>
      <c r="O3" s="160"/>
      <c r="P3" s="160"/>
      <c r="Q3" s="160"/>
      <c r="R3" s="160"/>
      <c r="S3" s="160"/>
      <c r="T3" s="160"/>
      <c r="U3" s="160"/>
      <c r="V3" s="160"/>
      <c r="W3" s="160"/>
      <c r="X3" s="160"/>
      <c r="Y3" s="160"/>
      <c r="Z3" s="160"/>
      <c r="AA3" s="160"/>
    </row>
    <row r="4" spans="1:27" ht="15.75" customHeight="1" x14ac:dyDescent="0.2">
      <c r="A4" s="160"/>
      <c r="B4" s="160"/>
      <c r="D4" s="642" t="s">
        <v>239</v>
      </c>
      <c r="E4" s="642"/>
      <c r="F4" s="642"/>
      <c r="G4" s="642"/>
      <c r="H4" s="642"/>
      <c r="I4" s="642"/>
      <c r="J4" s="642"/>
      <c r="K4" s="642"/>
      <c r="L4" s="160"/>
      <c r="M4" s="160"/>
      <c r="N4" s="160"/>
      <c r="O4" s="160"/>
      <c r="P4" s="160"/>
      <c r="Q4" s="160"/>
      <c r="R4" s="160"/>
      <c r="S4" s="160"/>
      <c r="T4" s="160"/>
      <c r="U4" s="160"/>
      <c r="V4" s="160"/>
      <c r="W4" s="160"/>
      <c r="X4" s="160"/>
      <c r="Y4" s="160"/>
      <c r="Z4" s="160"/>
      <c r="AA4" s="160"/>
    </row>
    <row r="5" spans="1:27" ht="17.25" customHeight="1" x14ac:dyDescent="0.2">
      <c r="B5" s="164" t="s">
        <v>240</v>
      </c>
      <c r="C5" s="56" t="s">
        <v>241</v>
      </c>
      <c r="D5" s="164"/>
      <c r="E5" s="165"/>
      <c r="F5" s="165"/>
      <c r="G5" s="165"/>
      <c r="H5" s="165"/>
      <c r="I5" s="165"/>
      <c r="J5" s="160"/>
      <c r="K5" s="160"/>
      <c r="L5" s="160"/>
      <c r="M5" s="160"/>
      <c r="N5" s="160"/>
      <c r="O5" s="160"/>
      <c r="P5" s="160"/>
      <c r="Q5" s="160"/>
      <c r="R5" s="160"/>
      <c r="S5" s="160"/>
      <c r="T5" s="160"/>
      <c r="U5" s="160"/>
      <c r="V5" s="160"/>
      <c r="W5" s="160"/>
      <c r="X5" s="160"/>
      <c r="Y5" s="160"/>
      <c r="Z5" s="160"/>
      <c r="AA5" s="160"/>
    </row>
    <row r="6" spans="1:27" ht="12.75" customHeight="1" x14ac:dyDescent="0.2">
      <c r="A6" s="160"/>
      <c r="B6" s="160"/>
      <c r="D6" s="160"/>
      <c r="F6" s="160"/>
      <c r="G6" s="160"/>
      <c r="H6" s="160"/>
      <c r="I6" s="160"/>
      <c r="J6" s="160"/>
      <c r="K6" s="160"/>
      <c r="L6" s="160"/>
      <c r="M6" s="160"/>
      <c r="N6" s="160"/>
      <c r="O6" s="160"/>
      <c r="P6" s="160"/>
      <c r="Q6" s="160"/>
      <c r="R6" s="160"/>
      <c r="S6" s="160"/>
      <c r="T6" s="160"/>
      <c r="U6" s="160"/>
      <c r="V6" s="160"/>
      <c r="W6" s="160"/>
      <c r="X6" s="160"/>
      <c r="Y6" s="160"/>
      <c r="Z6" s="160"/>
      <c r="AA6" s="160"/>
    </row>
    <row r="7" spans="1:27" s="160" customFormat="1" ht="45" customHeight="1" x14ac:dyDescent="0.25">
      <c r="B7" s="167" t="s">
        <v>242</v>
      </c>
      <c r="C7" s="167">
        <v>2018</v>
      </c>
      <c r="D7" s="167">
        <v>2019</v>
      </c>
      <c r="E7" s="167">
        <v>2020</v>
      </c>
      <c r="F7" s="167">
        <v>2021</v>
      </c>
      <c r="G7" s="167">
        <v>2022</v>
      </c>
      <c r="H7" s="167">
        <v>2023</v>
      </c>
      <c r="I7" s="167">
        <v>2024</v>
      </c>
      <c r="J7" s="167">
        <v>2025</v>
      </c>
      <c r="K7" s="167" t="s">
        <v>49</v>
      </c>
      <c r="L7" s="490" t="s">
        <v>243</v>
      </c>
    </row>
    <row r="8" spans="1:27" ht="12.75" customHeight="1" x14ac:dyDescent="0.2">
      <c r="A8" s="160"/>
      <c r="B8" s="168" t="s">
        <v>244</v>
      </c>
      <c r="C8" s="169">
        <v>0</v>
      </c>
      <c r="D8" s="170">
        <v>0</v>
      </c>
      <c r="E8" s="171">
        <v>0</v>
      </c>
      <c r="F8" s="170">
        <v>0</v>
      </c>
      <c r="G8" s="170">
        <v>0</v>
      </c>
      <c r="H8" s="170">
        <v>3012</v>
      </c>
      <c r="I8" s="170">
        <v>8221</v>
      </c>
      <c r="J8" s="170">
        <v>35028</v>
      </c>
      <c r="K8" s="172">
        <v>11233</v>
      </c>
      <c r="L8" s="173">
        <f t="shared" ref="L8:L19" si="0">+K8/$K$19</f>
        <v>8.3303836225829707E-4</v>
      </c>
      <c r="M8" s="160"/>
      <c r="N8" s="160"/>
      <c r="O8" s="160"/>
      <c r="P8" s="160"/>
      <c r="Q8" s="160"/>
      <c r="R8" s="160"/>
      <c r="S8" s="160"/>
      <c r="T8" s="160"/>
      <c r="U8" s="160"/>
      <c r="V8" s="160"/>
      <c r="W8" s="160"/>
      <c r="X8" s="160"/>
      <c r="Y8" s="160"/>
      <c r="Z8" s="160"/>
      <c r="AA8" s="160"/>
    </row>
    <row r="9" spans="1:27" ht="12.75" customHeight="1" x14ac:dyDescent="0.2">
      <c r="A9" s="160"/>
      <c r="B9" s="168" t="s">
        <v>245</v>
      </c>
      <c r="C9" s="169">
        <v>64934</v>
      </c>
      <c r="D9" s="170">
        <v>58029</v>
      </c>
      <c r="E9" s="171">
        <v>14587</v>
      </c>
      <c r="F9" s="170">
        <v>3649</v>
      </c>
      <c r="G9" s="170">
        <v>21432</v>
      </c>
      <c r="H9" s="170">
        <v>43036</v>
      </c>
      <c r="I9" s="170">
        <v>30517</v>
      </c>
      <c r="J9" s="170">
        <v>20964</v>
      </c>
      <c r="K9" s="172">
        <v>236184</v>
      </c>
      <c r="L9" s="173">
        <f t="shared" si="0"/>
        <v>1.7515386143649392E-2</v>
      </c>
      <c r="M9" s="160"/>
      <c r="N9" s="160"/>
      <c r="O9" s="160"/>
      <c r="P9" s="160"/>
      <c r="Q9" s="160"/>
      <c r="R9" s="160"/>
      <c r="S9" s="160"/>
      <c r="T9" s="160"/>
      <c r="U9" s="160"/>
      <c r="V9" s="160"/>
      <c r="W9" s="160"/>
      <c r="X9" s="160"/>
      <c r="Y9" s="160"/>
      <c r="Z9" s="160"/>
      <c r="AA9" s="160"/>
    </row>
    <row r="10" spans="1:27" ht="12.75" customHeight="1" x14ac:dyDescent="0.2">
      <c r="A10" s="160"/>
      <c r="B10" s="168" t="s">
        <v>246</v>
      </c>
      <c r="C10" s="169">
        <v>152587</v>
      </c>
      <c r="D10" s="170">
        <v>302366</v>
      </c>
      <c r="E10" s="171">
        <v>17918</v>
      </c>
      <c r="F10" s="170">
        <v>1810</v>
      </c>
      <c r="G10" s="170">
        <v>192172</v>
      </c>
      <c r="H10" s="170">
        <v>86796</v>
      </c>
      <c r="I10" s="170">
        <v>50918</v>
      </c>
      <c r="J10" s="170">
        <v>32821</v>
      </c>
      <c r="K10" s="172">
        <v>804567</v>
      </c>
      <c r="L10" s="173">
        <f t="shared" si="0"/>
        <v>5.9666622986474786E-2</v>
      </c>
      <c r="M10" s="160"/>
      <c r="N10" s="160"/>
      <c r="O10" s="160"/>
      <c r="P10" s="160"/>
      <c r="Q10" s="160"/>
      <c r="R10" s="160"/>
      <c r="S10" s="160"/>
      <c r="T10" s="160"/>
      <c r="U10" s="160"/>
      <c r="V10" s="160"/>
      <c r="W10" s="160"/>
      <c r="X10" s="160"/>
      <c r="Y10" s="160"/>
      <c r="Z10" s="160"/>
      <c r="AA10" s="160"/>
    </row>
    <row r="11" spans="1:27" ht="12.75" customHeight="1" x14ac:dyDescent="0.2">
      <c r="A11" s="160"/>
      <c r="B11" s="168" t="s">
        <v>247</v>
      </c>
      <c r="C11" s="169">
        <v>0</v>
      </c>
      <c r="D11" s="170">
        <v>0</v>
      </c>
      <c r="E11" s="171">
        <v>0</v>
      </c>
      <c r="F11" s="170">
        <v>0</v>
      </c>
      <c r="G11" s="170">
        <v>0</v>
      </c>
      <c r="H11" s="170">
        <v>156</v>
      </c>
      <c r="I11" s="170">
        <v>170</v>
      </c>
      <c r="J11" s="170">
        <v>36</v>
      </c>
      <c r="K11" s="172">
        <v>326</v>
      </c>
      <c r="L11" s="173">
        <f t="shared" si="0"/>
        <v>2.4176133365637395E-5</v>
      </c>
      <c r="M11" s="160"/>
      <c r="N11" s="160"/>
      <c r="O11" s="160"/>
      <c r="P11" s="160"/>
      <c r="Q11" s="160"/>
      <c r="R11" s="160"/>
      <c r="S11" s="160"/>
      <c r="T11" s="160"/>
      <c r="U11" s="160"/>
      <c r="V11" s="160"/>
      <c r="W11" s="160"/>
      <c r="X11" s="160"/>
      <c r="Y11" s="160"/>
      <c r="Z11" s="160"/>
      <c r="AA11" s="160"/>
    </row>
    <row r="12" spans="1:27" ht="12.75" customHeight="1" x14ac:dyDescent="0.2">
      <c r="A12" s="160"/>
      <c r="B12" s="168" t="s">
        <v>248</v>
      </c>
      <c r="C12" s="169">
        <v>0</v>
      </c>
      <c r="D12" s="170">
        <v>0</v>
      </c>
      <c r="E12" s="171">
        <v>0</v>
      </c>
      <c r="F12" s="170">
        <v>0</v>
      </c>
      <c r="G12" s="170">
        <v>0</v>
      </c>
      <c r="H12" s="170">
        <v>469</v>
      </c>
      <c r="I12" s="170">
        <v>279</v>
      </c>
      <c r="J12" s="170">
        <v>128</v>
      </c>
      <c r="K12" s="172">
        <v>748</v>
      </c>
      <c r="L12" s="173">
        <f t="shared" si="0"/>
        <v>5.5471618888026904E-5</v>
      </c>
      <c r="M12" s="160"/>
      <c r="N12" s="160"/>
      <c r="O12" s="160"/>
      <c r="P12" s="160"/>
      <c r="Q12" s="160"/>
      <c r="R12" s="160"/>
      <c r="S12" s="160"/>
      <c r="T12" s="160"/>
      <c r="U12" s="160"/>
      <c r="V12" s="160"/>
      <c r="W12" s="160"/>
      <c r="X12" s="160"/>
      <c r="Y12" s="160"/>
      <c r="Z12" s="160"/>
      <c r="AA12" s="160"/>
    </row>
    <row r="13" spans="1:27" ht="12.75" customHeight="1" x14ac:dyDescent="0.2">
      <c r="A13" s="160"/>
      <c r="B13" s="168" t="s">
        <v>249</v>
      </c>
      <c r="C13" s="169">
        <v>1789131</v>
      </c>
      <c r="D13" s="170">
        <v>1658544</v>
      </c>
      <c r="E13" s="171">
        <v>1105359</v>
      </c>
      <c r="F13" s="170">
        <v>1375973</v>
      </c>
      <c r="G13" s="170">
        <v>1143710</v>
      </c>
      <c r="H13" s="170">
        <v>1071500</v>
      </c>
      <c r="I13" s="170">
        <v>4101879</v>
      </c>
      <c r="J13" s="170">
        <v>971802</v>
      </c>
      <c r="K13" s="172">
        <v>12246096</v>
      </c>
      <c r="L13" s="173">
        <f t="shared" si="0"/>
        <v>0.90816947884784849</v>
      </c>
      <c r="M13" s="160"/>
      <c r="N13" s="160"/>
      <c r="O13" s="160"/>
      <c r="P13" s="160"/>
      <c r="Q13" s="160"/>
      <c r="R13" s="160"/>
      <c r="S13" s="160"/>
      <c r="T13" s="160"/>
      <c r="U13" s="160"/>
      <c r="V13" s="160"/>
      <c r="W13" s="160"/>
      <c r="X13" s="160"/>
      <c r="Y13" s="160"/>
      <c r="Z13" s="160"/>
      <c r="AA13" s="160"/>
    </row>
    <row r="14" spans="1:27" ht="12.75" customHeight="1" x14ac:dyDescent="0.2">
      <c r="A14" s="160"/>
      <c r="B14" s="168" t="s">
        <v>250</v>
      </c>
      <c r="C14" s="169">
        <v>0</v>
      </c>
      <c r="D14" s="170">
        <v>0</v>
      </c>
      <c r="E14" s="171">
        <v>0</v>
      </c>
      <c r="F14" s="170">
        <v>0</v>
      </c>
      <c r="G14" s="170">
        <v>0</v>
      </c>
      <c r="H14" s="170">
        <v>26</v>
      </c>
      <c r="I14" s="170">
        <v>58</v>
      </c>
      <c r="J14" s="170">
        <v>106</v>
      </c>
      <c r="K14" s="172">
        <v>84</v>
      </c>
      <c r="L14" s="173">
        <f t="shared" si="0"/>
        <v>6.2294331371581015E-6</v>
      </c>
      <c r="M14" s="160"/>
      <c r="N14" s="160"/>
      <c r="O14" s="160"/>
      <c r="P14" s="160"/>
      <c r="Q14" s="160"/>
      <c r="R14" s="160"/>
      <c r="S14" s="160"/>
      <c r="T14" s="160"/>
      <c r="U14" s="160"/>
      <c r="V14" s="160"/>
      <c r="W14" s="160"/>
      <c r="X14" s="160"/>
      <c r="Y14" s="160"/>
      <c r="Z14" s="160"/>
      <c r="AA14" s="160"/>
    </row>
    <row r="15" spans="1:27" ht="12.75" customHeight="1" x14ac:dyDescent="0.2">
      <c r="A15" s="160"/>
      <c r="B15" s="168" t="s">
        <v>251</v>
      </c>
      <c r="C15" s="169">
        <v>0</v>
      </c>
      <c r="D15" s="170">
        <v>0</v>
      </c>
      <c r="E15" s="171">
        <v>1504</v>
      </c>
      <c r="F15" s="170">
        <v>12</v>
      </c>
      <c r="G15" s="170">
        <v>76</v>
      </c>
      <c r="H15" s="170">
        <v>482</v>
      </c>
      <c r="I15" s="170">
        <v>3116</v>
      </c>
      <c r="J15" s="170">
        <v>334</v>
      </c>
      <c r="K15" s="172">
        <v>5190</v>
      </c>
      <c r="L15" s="173">
        <f t="shared" si="0"/>
        <v>3.8488997597441128E-4</v>
      </c>
      <c r="M15" s="160"/>
      <c r="N15" s="160"/>
      <c r="O15" s="160"/>
      <c r="P15" s="160"/>
      <c r="Q15" s="160"/>
      <c r="R15" s="160"/>
      <c r="S15" s="160"/>
      <c r="T15" s="160"/>
      <c r="U15" s="160"/>
      <c r="V15" s="160"/>
      <c r="W15" s="160"/>
      <c r="X15" s="160"/>
      <c r="Y15" s="160"/>
      <c r="Z15" s="160"/>
      <c r="AA15" s="160"/>
    </row>
    <row r="16" spans="1:27" ht="12.75" customHeight="1" x14ac:dyDescent="0.2">
      <c r="A16" s="160"/>
      <c r="B16" s="168" t="s">
        <v>252</v>
      </c>
      <c r="C16" s="169">
        <v>9935</v>
      </c>
      <c r="D16" s="170">
        <v>16687</v>
      </c>
      <c r="E16" s="171">
        <v>2212</v>
      </c>
      <c r="F16" s="170">
        <v>1715</v>
      </c>
      <c r="G16" s="170">
        <v>9169</v>
      </c>
      <c r="H16" s="170">
        <v>7859</v>
      </c>
      <c r="I16" s="170">
        <v>13436</v>
      </c>
      <c r="J16" s="170">
        <v>55269</v>
      </c>
      <c r="K16" s="172">
        <v>61013</v>
      </c>
      <c r="L16" s="173">
        <f t="shared" si="0"/>
        <v>4.5247190952074669E-3</v>
      </c>
      <c r="M16" s="160"/>
      <c r="N16" s="160"/>
      <c r="O16" s="160"/>
      <c r="P16" s="160"/>
      <c r="Q16" s="160"/>
      <c r="R16" s="160"/>
      <c r="S16" s="160"/>
      <c r="T16" s="160"/>
      <c r="U16" s="160"/>
      <c r="V16" s="160"/>
      <c r="W16" s="160"/>
      <c r="X16" s="160"/>
      <c r="Y16" s="160"/>
      <c r="Z16" s="160"/>
      <c r="AA16" s="160"/>
    </row>
    <row r="17" spans="1:27" ht="12.75" customHeight="1" x14ac:dyDescent="0.2">
      <c r="A17" s="160"/>
      <c r="B17" s="168" t="s">
        <v>253</v>
      </c>
      <c r="C17" s="169">
        <v>3004</v>
      </c>
      <c r="D17" s="170">
        <v>468</v>
      </c>
      <c r="E17" s="171">
        <v>5913</v>
      </c>
      <c r="F17" s="170">
        <v>4858</v>
      </c>
      <c r="G17" s="170">
        <v>13993</v>
      </c>
      <c r="H17" s="170">
        <v>63350</v>
      </c>
      <c r="I17" s="170">
        <v>9376</v>
      </c>
      <c r="J17" s="170">
        <v>54926</v>
      </c>
      <c r="K17" s="172">
        <v>100962</v>
      </c>
      <c r="L17" s="173">
        <f t="shared" si="0"/>
        <v>7.487333671354241E-3</v>
      </c>
      <c r="M17" s="160"/>
      <c r="N17" s="160"/>
      <c r="O17" s="160"/>
      <c r="P17" s="160"/>
      <c r="Q17" s="160"/>
      <c r="R17" s="160"/>
      <c r="S17" s="160"/>
      <c r="T17" s="160"/>
      <c r="U17" s="160"/>
      <c r="V17" s="160"/>
      <c r="W17" s="160"/>
      <c r="X17" s="160"/>
      <c r="Y17" s="160"/>
      <c r="Z17" s="160"/>
      <c r="AA17" s="160"/>
    </row>
    <row r="18" spans="1:27" ht="12.75" customHeight="1" x14ac:dyDescent="0.2">
      <c r="A18" s="160"/>
      <c r="B18" s="168" t="s">
        <v>254</v>
      </c>
      <c r="C18" s="169">
        <v>0</v>
      </c>
      <c r="D18" s="170">
        <v>0</v>
      </c>
      <c r="E18" s="171">
        <v>0</v>
      </c>
      <c r="F18" s="170">
        <v>26</v>
      </c>
      <c r="G18" s="170">
        <v>299</v>
      </c>
      <c r="H18" s="170">
        <v>131</v>
      </c>
      <c r="I18" s="170">
        <v>17514</v>
      </c>
      <c r="J18" s="170">
        <v>937</v>
      </c>
      <c r="K18" s="172">
        <v>17970</v>
      </c>
      <c r="L18" s="173">
        <f t="shared" si="0"/>
        <v>1.3326537318420367E-3</v>
      </c>
      <c r="M18" s="160"/>
      <c r="N18" s="160"/>
      <c r="O18" s="160"/>
      <c r="P18" s="160"/>
      <c r="Q18" s="160"/>
      <c r="R18" s="160"/>
      <c r="S18" s="160"/>
      <c r="T18" s="160"/>
      <c r="U18" s="160"/>
      <c r="V18" s="160"/>
      <c r="W18" s="160"/>
      <c r="X18" s="160"/>
      <c r="Y18" s="160"/>
      <c r="Z18" s="160"/>
      <c r="AA18" s="160"/>
    </row>
    <row r="19" spans="1:27" ht="12.75" customHeight="1" x14ac:dyDescent="0.2">
      <c r="A19" s="160"/>
      <c r="B19" s="174" t="s">
        <v>49</v>
      </c>
      <c r="C19" s="175">
        <f t="shared" ref="C19:I19" si="1">+SUM(C8:C18)</f>
        <v>2019591</v>
      </c>
      <c r="D19" s="176">
        <f t="shared" si="1"/>
        <v>2036094</v>
      </c>
      <c r="E19" s="177">
        <f t="shared" si="1"/>
        <v>1147493</v>
      </c>
      <c r="F19" s="176">
        <f t="shared" si="1"/>
        <v>1388043</v>
      </c>
      <c r="G19" s="176">
        <f t="shared" si="1"/>
        <v>1380851</v>
      </c>
      <c r="H19" s="176">
        <f t="shared" si="1"/>
        <v>1276817</v>
      </c>
      <c r="I19" s="176">
        <f t="shared" si="1"/>
        <v>4235484</v>
      </c>
      <c r="J19" s="176">
        <f>+SUM(J8:J18)</f>
        <v>1172351</v>
      </c>
      <c r="K19" s="176">
        <f>+SUM(K8:K18)</f>
        <v>13484373</v>
      </c>
      <c r="L19" s="173">
        <f t="shared" si="0"/>
        <v>1</v>
      </c>
      <c r="M19" s="160"/>
      <c r="N19" s="160"/>
      <c r="O19" s="160"/>
      <c r="P19" s="160"/>
      <c r="Q19" s="160"/>
      <c r="R19" s="160"/>
      <c r="S19" s="160"/>
      <c r="T19" s="160"/>
      <c r="U19" s="160"/>
      <c r="V19" s="160"/>
      <c r="W19" s="160"/>
      <c r="X19" s="160"/>
      <c r="Y19" s="160"/>
      <c r="Z19" s="160"/>
      <c r="AA19" s="160"/>
    </row>
    <row r="20" spans="1:27" s="222" customFormat="1" ht="15.75" customHeight="1" x14ac:dyDescent="0.2">
      <c r="A20" s="317"/>
      <c r="B20" s="320" t="s">
        <v>786</v>
      </c>
      <c r="C20" s="318"/>
      <c r="D20" s="317"/>
      <c r="E20" s="319"/>
      <c r="F20" s="317"/>
      <c r="G20" s="317"/>
      <c r="H20" s="317"/>
      <c r="I20" s="317"/>
      <c r="J20" s="317"/>
      <c r="K20" s="317"/>
      <c r="L20" s="317"/>
      <c r="M20" s="317"/>
      <c r="N20" s="317"/>
      <c r="O20" s="317"/>
      <c r="P20" s="317"/>
      <c r="Q20" s="317"/>
      <c r="R20" s="317"/>
      <c r="S20" s="317"/>
      <c r="T20" s="317"/>
      <c r="U20" s="317"/>
      <c r="V20" s="317"/>
      <c r="W20" s="317"/>
      <c r="X20" s="317"/>
      <c r="Y20" s="317"/>
      <c r="Z20" s="317"/>
      <c r="AA20" s="317"/>
    </row>
    <row r="21" spans="1:27" ht="12.75" customHeight="1" x14ac:dyDescent="0.2">
      <c r="A21" s="160"/>
      <c r="B21" s="160"/>
      <c r="D21" s="160"/>
      <c r="F21" s="160"/>
      <c r="G21" s="160"/>
      <c r="H21" s="160"/>
      <c r="I21" s="160"/>
      <c r="J21" s="160"/>
      <c r="K21" s="160"/>
      <c r="L21" s="160"/>
      <c r="M21" s="160"/>
      <c r="N21" s="160"/>
      <c r="O21" s="160"/>
      <c r="P21" s="160"/>
      <c r="Q21" s="160"/>
      <c r="R21" s="160"/>
      <c r="S21" s="160"/>
      <c r="T21" s="160"/>
      <c r="U21" s="160"/>
      <c r="V21" s="160"/>
      <c r="W21" s="160"/>
      <c r="X21" s="160"/>
      <c r="Y21" s="160"/>
      <c r="Z21" s="160"/>
      <c r="AA21" s="160"/>
    </row>
    <row r="22" spans="1:27" ht="12.75" customHeight="1" x14ac:dyDescent="0.2">
      <c r="A22" s="160"/>
      <c r="B22" s="160"/>
      <c r="D22" s="160"/>
      <c r="F22" s="160"/>
      <c r="G22" s="160"/>
      <c r="H22" s="160"/>
      <c r="I22" s="160"/>
      <c r="J22" s="160"/>
      <c r="K22" s="160"/>
      <c r="L22" s="160"/>
      <c r="M22" s="160"/>
      <c r="N22" s="160"/>
      <c r="O22" s="160"/>
      <c r="P22" s="160"/>
      <c r="Q22" s="160"/>
      <c r="R22" s="160"/>
      <c r="S22" s="160"/>
      <c r="T22" s="160"/>
      <c r="U22" s="160"/>
      <c r="V22" s="160"/>
      <c r="W22" s="160"/>
      <c r="X22" s="160"/>
      <c r="Y22" s="160"/>
      <c r="Z22" s="160"/>
      <c r="AA22" s="160"/>
    </row>
    <row r="23" spans="1:27" s="1" customFormat="1" ht="31.5" customHeight="1" x14ac:dyDescent="0.2">
      <c r="A23" s="491" t="s">
        <v>255</v>
      </c>
      <c r="B23" s="491" t="s">
        <v>256</v>
      </c>
      <c r="C23" s="321" t="s">
        <v>257</v>
      </c>
      <c r="D23" s="492"/>
      <c r="E23" s="493" t="s">
        <v>258</v>
      </c>
      <c r="F23" s="492" t="s">
        <v>259</v>
      </c>
      <c r="G23" s="494" t="s">
        <v>260</v>
      </c>
      <c r="H23" s="494" t="s">
        <v>261</v>
      </c>
      <c r="I23" s="495" t="s">
        <v>262</v>
      </c>
      <c r="J23" s="492">
        <v>2018</v>
      </c>
      <c r="K23" s="492">
        <v>2019</v>
      </c>
      <c r="L23" s="492">
        <v>2020</v>
      </c>
      <c r="M23" s="492">
        <v>2021</v>
      </c>
      <c r="N23" s="492">
        <v>2022</v>
      </c>
      <c r="O23" s="492">
        <v>2023</v>
      </c>
      <c r="P23" s="492">
        <v>2024</v>
      </c>
      <c r="Q23" s="492">
        <v>2025</v>
      </c>
      <c r="R23" s="492" t="s">
        <v>49</v>
      </c>
      <c r="S23" s="320"/>
      <c r="T23" s="320"/>
      <c r="U23" s="320"/>
      <c r="V23" s="320"/>
      <c r="W23" s="320"/>
      <c r="X23" s="320"/>
      <c r="Y23" s="320"/>
      <c r="Z23" s="320"/>
    </row>
    <row r="24" spans="1:27" s="1" customFormat="1" ht="12.75" customHeight="1" x14ac:dyDescent="0.2">
      <c r="A24" s="618">
        <v>1</v>
      </c>
      <c r="B24" s="619" t="s">
        <v>263</v>
      </c>
      <c r="C24" s="622" t="s">
        <v>264</v>
      </c>
      <c r="D24" s="322" t="s">
        <v>265</v>
      </c>
      <c r="E24" s="625" t="s">
        <v>266</v>
      </c>
      <c r="F24" s="496">
        <v>2023</v>
      </c>
      <c r="G24" s="497" t="s">
        <v>63</v>
      </c>
      <c r="H24" s="497" t="s">
        <v>99</v>
      </c>
      <c r="I24" s="497" t="s">
        <v>267</v>
      </c>
      <c r="J24" s="496" t="s">
        <v>63</v>
      </c>
      <c r="K24" s="496" t="s">
        <v>63</v>
      </c>
      <c r="L24" s="496" t="s">
        <v>63</v>
      </c>
      <c r="M24" s="496" t="s">
        <v>63</v>
      </c>
      <c r="N24" s="496" t="s">
        <v>63</v>
      </c>
      <c r="O24" s="498">
        <v>832</v>
      </c>
      <c r="P24" s="498">
        <v>1718</v>
      </c>
      <c r="Q24" s="499">
        <v>2477</v>
      </c>
      <c r="R24" s="500">
        <f>+SUM(J24:Q24)</f>
        <v>5027</v>
      </c>
      <c r="S24" s="320"/>
      <c r="T24" s="320"/>
      <c r="U24" s="320"/>
      <c r="V24" s="320"/>
      <c r="W24" s="320"/>
      <c r="X24" s="320"/>
      <c r="Y24" s="320"/>
      <c r="Z24" s="320"/>
    </row>
    <row r="25" spans="1:27" s="1" customFormat="1" ht="12.75" customHeight="1" x14ac:dyDescent="0.2">
      <c r="A25" s="590"/>
      <c r="B25" s="620"/>
      <c r="C25" s="623"/>
      <c r="D25" s="323" t="s">
        <v>635</v>
      </c>
      <c r="E25" s="626"/>
      <c r="F25" s="501">
        <v>2023</v>
      </c>
      <c r="G25" s="502" t="s">
        <v>63</v>
      </c>
      <c r="H25" s="502" t="s">
        <v>99</v>
      </c>
      <c r="I25" s="503" t="s">
        <v>267</v>
      </c>
      <c r="J25" s="504">
        <v>6987</v>
      </c>
      <c r="K25" s="505">
        <v>2515</v>
      </c>
      <c r="L25" s="506">
        <v>865</v>
      </c>
      <c r="M25" s="506">
        <v>834</v>
      </c>
      <c r="N25" s="504">
        <v>1217</v>
      </c>
      <c r="O25" s="507">
        <v>846</v>
      </c>
      <c r="P25" s="508">
        <v>897</v>
      </c>
      <c r="Q25" s="508">
        <v>656</v>
      </c>
      <c r="R25" s="500">
        <f t="shared" ref="R25:R88" si="2">+SUM(J25:Q25)</f>
        <v>14817</v>
      </c>
      <c r="S25" s="320"/>
      <c r="T25" s="320"/>
      <c r="U25" s="320"/>
      <c r="V25" s="320"/>
      <c r="W25" s="320"/>
      <c r="X25" s="320"/>
      <c r="Y25" s="320"/>
      <c r="Z25" s="320"/>
    </row>
    <row r="26" spans="1:27" s="1" customFormat="1" ht="12.75" customHeight="1" x14ac:dyDescent="0.2">
      <c r="A26" s="590"/>
      <c r="B26" s="620"/>
      <c r="C26" s="623"/>
      <c r="D26" s="323" t="s">
        <v>268</v>
      </c>
      <c r="E26" s="626"/>
      <c r="F26" s="501">
        <v>2024</v>
      </c>
      <c r="G26" s="502" t="s">
        <v>99</v>
      </c>
      <c r="H26" s="502"/>
      <c r="I26" s="503" t="s">
        <v>267</v>
      </c>
      <c r="J26" s="501"/>
      <c r="K26" s="501"/>
      <c r="L26" s="501"/>
      <c r="M26" s="501"/>
      <c r="N26" s="501"/>
      <c r="O26" s="508"/>
      <c r="P26" s="508">
        <v>1939</v>
      </c>
      <c r="Q26" s="508">
        <v>1304</v>
      </c>
      <c r="R26" s="500">
        <f t="shared" si="2"/>
        <v>3243</v>
      </c>
      <c r="S26" s="320"/>
      <c r="T26" s="320"/>
      <c r="U26" s="320"/>
      <c r="V26" s="320"/>
      <c r="W26" s="320"/>
      <c r="X26" s="320"/>
      <c r="Y26" s="320"/>
      <c r="Z26" s="320"/>
    </row>
    <row r="27" spans="1:27" s="1" customFormat="1" ht="12.75" customHeight="1" x14ac:dyDescent="0.2">
      <c r="A27" s="590"/>
      <c r="B27" s="620"/>
      <c r="C27" s="623"/>
      <c r="D27" s="323" t="s">
        <v>269</v>
      </c>
      <c r="E27" s="626"/>
      <c r="F27" s="501">
        <v>2023</v>
      </c>
      <c r="G27" s="502" t="s">
        <v>63</v>
      </c>
      <c r="H27" s="502" t="s">
        <v>99</v>
      </c>
      <c r="I27" s="503" t="s">
        <v>267</v>
      </c>
      <c r="J27" s="501" t="s">
        <v>63</v>
      </c>
      <c r="K27" s="501" t="s">
        <v>63</v>
      </c>
      <c r="L27" s="501" t="s">
        <v>63</v>
      </c>
      <c r="M27" s="501" t="s">
        <v>63</v>
      </c>
      <c r="N27" s="501" t="s">
        <v>63</v>
      </c>
      <c r="O27" s="508">
        <v>1006</v>
      </c>
      <c r="P27" s="508">
        <v>1332</v>
      </c>
      <c r="Q27" s="508">
        <v>21418</v>
      </c>
      <c r="R27" s="500">
        <f t="shared" si="2"/>
        <v>23756</v>
      </c>
      <c r="S27" s="320"/>
      <c r="T27" s="320"/>
      <c r="U27" s="320"/>
      <c r="V27" s="320"/>
      <c r="W27" s="320"/>
      <c r="X27" s="320"/>
      <c r="Y27" s="320"/>
      <c r="Z27" s="320"/>
    </row>
    <row r="28" spans="1:27" s="1" customFormat="1" ht="12.75" customHeight="1" x14ac:dyDescent="0.2">
      <c r="A28" s="590"/>
      <c r="B28" s="620"/>
      <c r="C28" s="623"/>
      <c r="D28" s="323" t="s">
        <v>270</v>
      </c>
      <c r="E28" s="626"/>
      <c r="F28" s="501">
        <v>2023</v>
      </c>
      <c r="G28" s="502" t="s">
        <v>63</v>
      </c>
      <c r="H28" s="502" t="s">
        <v>99</v>
      </c>
      <c r="I28" s="503" t="s">
        <v>267</v>
      </c>
      <c r="J28" s="501" t="s">
        <v>63</v>
      </c>
      <c r="K28" s="501" t="s">
        <v>63</v>
      </c>
      <c r="L28" s="501" t="s">
        <v>63</v>
      </c>
      <c r="M28" s="501" t="s">
        <v>63</v>
      </c>
      <c r="N28" s="501" t="s">
        <v>63</v>
      </c>
      <c r="O28" s="508">
        <v>662</v>
      </c>
      <c r="P28" s="508">
        <v>1298</v>
      </c>
      <c r="Q28" s="508">
        <v>466</v>
      </c>
      <c r="R28" s="500">
        <f t="shared" si="2"/>
        <v>2426</v>
      </c>
      <c r="S28" s="320"/>
      <c r="T28" s="320"/>
      <c r="U28" s="320"/>
      <c r="V28" s="320"/>
      <c r="W28" s="320"/>
      <c r="X28" s="320"/>
      <c r="Y28" s="320"/>
      <c r="Z28" s="320"/>
    </row>
    <row r="29" spans="1:27" s="1" customFormat="1" ht="12.75" customHeight="1" x14ac:dyDescent="0.2">
      <c r="A29" s="591"/>
      <c r="B29" s="621"/>
      <c r="C29" s="624"/>
      <c r="D29" s="323" t="s">
        <v>271</v>
      </c>
      <c r="E29" s="627"/>
      <c r="F29" s="509">
        <v>2023</v>
      </c>
      <c r="G29" s="510"/>
      <c r="H29" s="510" t="s">
        <v>99</v>
      </c>
      <c r="I29" s="503" t="s">
        <v>267</v>
      </c>
      <c r="J29" s="509" t="s">
        <v>63</v>
      </c>
      <c r="K29" s="509" t="s">
        <v>63</v>
      </c>
      <c r="L29" s="509" t="s">
        <v>63</v>
      </c>
      <c r="M29" s="509" t="s">
        <v>63</v>
      </c>
      <c r="N29" s="509" t="s">
        <v>63</v>
      </c>
      <c r="O29" s="508">
        <v>512</v>
      </c>
      <c r="P29" s="508">
        <v>1037</v>
      </c>
      <c r="Q29" s="508">
        <v>8707</v>
      </c>
      <c r="R29" s="500">
        <f t="shared" si="2"/>
        <v>10256</v>
      </c>
      <c r="S29" s="320"/>
      <c r="T29" s="320"/>
      <c r="U29" s="320"/>
      <c r="V29" s="320"/>
      <c r="W29" s="320"/>
      <c r="X29" s="320"/>
      <c r="Y29" s="320"/>
      <c r="Z29" s="320"/>
    </row>
    <row r="30" spans="1:27" s="1" customFormat="1" ht="12.75" customHeight="1" x14ac:dyDescent="0.2">
      <c r="A30" s="589">
        <v>2</v>
      </c>
      <c r="B30" s="592" t="s">
        <v>272</v>
      </c>
      <c r="C30" s="628" t="s">
        <v>273</v>
      </c>
      <c r="D30" s="323" t="s">
        <v>274</v>
      </c>
      <c r="E30" s="631" t="s">
        <v>275</v>
      </c>
      <c r="F30" s="511">
        <v>1964</v>
      </c>
      <c r="G30" s="512" t="s">
        <v>99</v>
      </c>
      <c r="H30" s="512" t="s">
        <v>63</v>
      </c>
      <c r="I30" s="503" t="s">
        <v>267</v>
      </c>
      <c r="J30" s="511">
        <v>30784</v>
      </c>
      <c r="K30" s="513">
        <v>29615</v>
      </c>
      <c r="L30" s="511">
        <v>3535</v>
      </c>
      <c r="M30" s="514">
        <v>39</v>
      </c>
      <c r="N30" s="515">
        <v>2769</v>
      </c>
      <c r="O30" s="515">
        <v>17854</v>
      </c>
      <c r="P30" s="515">
        <v>11470</v>
      </c>
      <c r="Q30" s="515">
        <f>3837+357</f>
        <v>4194</v>
      </c>
      <c r="R30" s="500">
        <f t="shared" si="2"/>
        <v>100260</v>
      </c>
      <c r="S30" s="320"/>
      <c r="T30" s="320"/>
      <c r="U30" s="320"/>
      <c r="V30" s="320"/>
      <c r="W30" s="320"/>
      <c r="X30" s="320"/>
      <c r="Y30" s="320"/>
      <c r="Z30" s="320"/>
    </row>
    <row r="31" spans="1:27" s="1" customFormat="1" ht="12.75" customHeight="1" x14ac:dyDescent="0.2">
      <c r="A31" s="590"/>
      <c r="B31" s="593"/>
      <c r="C31" s="629"/>
      <c r="D31" s="324" t="s">
        <v>276</v>
      </c>
      <c r="E31" s="632"/>
      <c r="F31" s="504">
        <v>1964</v>
      </c>
      <c r="G31" s="516" t="s">
        <v>99</v>
      </c>
      <c r="H31" s="516" t="s">
        <v>63</v>
      </c>
      <c r="I31" s="503" t="s">
        <v>267</v>
      </c>
      <c r="J31" s="504">
        <v>24729</v>
      </c>
      <c r="K31" s="505">
        <v>23495</v>
      </c>
      <c r="L31" s="504">
        <v>2869</v>
      </c>
      <c r="M31" s="504">
        <v>1305</v>
      </c>
      <c r="N31" s="517">
        <v>9208</v>
      </c>
      <c r="O31" s="515">
        <v>8597</v>
      </c>
      <c r="P31" s="515">
        <v>7522</v>
      </c>
      <c r="Q31" s="515">
        <v>8801</v>
      </c>
      <c r="R31" s="500">
        <f t="shared" si="2"/>
        <v>86526</v>
      </c>
      <c r="S31" s="320"/>
      <c r="T31" s="320"/>
      <c r="U31" s="320"/>
      <c r="V31" s="320"/>
      <c r="W31" s="320"/>
      <c r="X31" s="320"/>
      <c r="Y31" s="320"/>
      <c r="Z31" s="320"/>
    </row>
    <row r="32" spans="1:27" s="1" customFormat="1" ht="12.75" customHeight="1" x14ac:dyDescent="0.2">
      <c r="A32" s="590"/>
      <c r="B32" s="593"/>
      <c r="C32" s="629"/>
      <c r="D32" s="324" t="s">
        <v>277</v>
      </c>
      <c r="E32" s="632"/>
      <c r="F32" s="504">
        <v>2009</v>
      </c>
      <c r="G32" s="516" t="s">
        <v>99</v>
      </c>
      <c r="H32" s="516" t="s">
        <v>99</v>
      </c>
      <c r="I32" s="503" t="s">
        <v>267</v>
      </c>
      <c r="J32" s="506">
        <v>182</v>
      </c>
      <c r="K32" s="518">
        <v>62</v>
      </c>
      <c r="L32" s="506" t="s">
        <v>63</v>
      </c>
      <c r="M32" s="506" t="s">
        <v>278</v>
      </c>
      <c r="N32" s="506">
        <v>129</v>
      </c>
      <c r="O32" s="507">
        <v>15</v>
      </c>
      <c r="P32" s="507">
        <v>58</v>
      </c>
      <c r="Q32" s="507">
        <v>89</v>
      </c>
      <c r="R32" s="500">
        <f t="shared" si="2"/>
        <v>535</v>
      </c>
      <c r="S32" s="320"/>
      <c r="T32" s="320"/>
      <c r="U32" s="320"/>
      <c r="V32" s="320"/>
      <c r="W32" s="320"/>
      <c r="X32" s="320"/>
      <c r="Y32" s="320"/>
      <c r="Z32" s="320"/>
    </row>
    <row r="33" spans="1:26" s="1" customFormat="1" ht="12.75" customHeight="1" x14ac:dyDescent="0.2">
      <c r="A33" s="590"/>
      <c r="B33" s="593"/>
      <c r="C33" s="629"/>
      <c r="D33" s="324" t="s">
        <v>279</v>
      </c>
      <c r="E33" s="632"/>
      <c r="F33" s="506" t="s">
        <v>63</v>
      </c>
      <c r="G33" s="516" t="s">
        <v>63</v>
      </c>
      <c r="H33" s="516" t="s">
        <v>99</v>
      </c>
      <c r="I33" s="503" t="s">
        <v>267</v>
      </c>
      <c r="J33" s="506" t="s">
        <v>63</v>
      </c>
      <c r="K33" s="518" t="s">
        <v>63</v>
      </c>
      <c r="L33" s="506" t="s">
        <v>63</v>
      </c>
      <c r="M33" s="506" t="s">
        <v>63</v>
      </c>
      <c r="N33" s="506" t="s">
        <v>63</v>
      </c>
      <c r="O33" s="507" t="s">
        <v>63</v>
      </c>
      <c r="P33" s="507">
        <v>49</v>
      </c>
      <c r="Q33" s="507">
        <v>51</v>
      </c>
      <c r="R33" s="500">
        <f t="shared" si="2"/>
        <v>100</v>
      </c>
      <c r="S33" s="320"/>
      <c r="T33" s="320"/>
      <c r="U33" s="320"/>
      <c r="V33" s="320"/>
      <c r="W33" s="320"/>
      <c r="X33" s="320"/>
      <c r="Y33" s="320"/>
      <c r="Z33" s="320"/>
    </row>
    <row r="34" spans="1:26" s="1" customFormat="1" ht="12.75" customHeight="1" x14ac:dyDescent="0.2">
      <c r="A34" s="590"/>
      <c r="B34" s="593"/>
      <c r="C34" s="629"/>
      <c r="D34" s="324" t="s">
        <v>280</v>
      </c>
      <c r="E34" s="632"/>
      <c r="F34" s="504">
        <v>2009</v>
      </c>
      <c r="G34" s="516" t="s">
        <v>99</v>
      </c>
      <c r="H34" s="516" t="s">
        <v>99</v>
      </c>
      <c r="I34" s="503" t="s">
        <v>267</v>
      </c>
      <c r="J34" s="506">
        <v>894</v>
      </c>
      <c r="K34" s="505">
        <v>1286</v>
      </c>
      <c r="L34" s="506" t="s">
        <v>63</v>
      </c>
      <c r="M34" s="506" t="s">
        <v>63</v>
      </c>
      <c r="N34" s="519">
        <v>284</v>
      </c>
      <c r="O34" s="507">
        <v>854</v>
      </c>
      <c r="P34" s="507">
        <v>3024</v>
      </c>
      <c r="Q34" s="507">
        <v>1666</v>
      </c>
      <c r="R34" s="500">
        <f t="shared" si="2"/>
        <v>8008</v>
      </c>
      <c r="S34" s="320"/>
      <c r="T34" s="320"/>
      <c r="U34" s="320"/>
      <c r="V34" s="320"/>
      <c r="W34" s="320"/>
      <c r="X34" s="320"/>
      <c r="Y34" s="320"/>
      <c r="Z34" s="320"/>
    </row>
    <row r="35" spans="1:26" s="1" customFormat="1" ht="12.75" customHeight="1" x14ac:dyDescent="0.2">
      <c r="A35" s="590"/>
      <c r="B35" s="593"/>
      <c r="C35" s="629"/>
      <c r="D35" s="324" t="s">
        <v>284</v>
      </c>
      <c r="E35" s="632"/>
      <c r="F35" s="506" t="s">
        <v>285</v>
      </c>
      <c r="G35" s="516" t="s">
        <v>99</v>
      </c>
      <c r="H35" s="516" t="s">
        <v>281</v>
      </c>
      <c r="I35" s="516" t="s">
        <v>267</v>
      </c>
      <c r="J35" s="506">
        <v>375</v>
      </c>
      <c r="K35" s="518">
        <v>301</v>
      </c>
      <c r="L35" s="506">
        <v>107</v>
      </c>
      <c r="M35" s="506">
        <v>187</v>
      </c>
      <c r="N35" s="506">
        <v>223</v>
      </c>
      <c r="O35" s="507">
        <v>122</v>
      </c>
      <c r="P35" s="507">
        <v>13</v>
      </c>
      <c r="Q35" s="507">
        <v>8</v>
      </c>
      <c r="R35" s="500">
        <f t="shared" si="2"/>
        <v>1336</v>
      </c>
      <c r="S35" s="320"/>
      <c r="T35" s="320"/>
      <c r="U35" s="320"/>
      <c r="V35" s="320"/>
      <c r="W35" s="320"/>
      <c r="X35" s="320"/>
      <c r="Y35" s="320"/>
      <c r="Z35" s="320"/>
    </row>
    <row r="36" spans="1:26" s="1" customFormat="1" ht="12.75" customHeight="1" x14ac:dyDescent="0.2">
      <c r="A36" s="590"/>
      <c r="B36" s="593"/>
      <c r="C36" s="630"/>
      <c r="D36" s="324" t="s">
        <v>286</v>
      </c>
      <c r="E36" s="632"/>
      <c r="F36" s="504">
        <v>2013</v>
      </c>
      <c r="G36" s="516" t="s">
        <v>99</v>
      </c>
      <c r="H36" s="516" t="s">
        <v>281</v>
      </c>
      <c r="I36" s="516" t="s">
        <v>283</v>
      </c>
      <c r="J36" s="506">
        <v>30</v>
      </c>
      <c r="K36" s="518">
        <v>33</v>
      </c>
      <c r="L36" s="506" t="s">
        <v>63</v>
      </c>
      <c r="M36" s="506">
        <v>261</v>
      </c>
      <c r="N36" s="506">
        <v>109</v>
      </c>
      <c r="O36" s="507">
        <v>75</v>
      </c>
      <c r="P36" s="507">
        <v>4</v>
      </c>
      <c r="Q36" s="507"/>
      <c r="R36" s="500">
        <f t="shared" si="2"/>
        <v>512</v>
      </c>
      <c r="S36" s="320"/>
      <c r="T36" s="320"/>
      <c r="U36" s="320"/>
      <c r="V36" s="320"/>
      <c r="W36" s="320"/>
      <c r="X36" s="320"/>
      <c r="Y36" s="320"/>
      <c r="Z36" s="320"/>
    </row>
    <row r="37" spans="1:26" s="1" customFormat="1" ht="12.75" customHeight="1" x14ac:dyDescent="0.2">
      <c r="A37" s="590"/>
      <c r="B37" s="593"/>
      <c r="C37" s="603" t="s">
        <v>287</v>
      </c>
      <c r="D37" s="324" t="s">
        <v>288</v>
      </c>
      <c r="E37" s="632"/>
      <c r="F37" s="504">
        <v>2006</v>
      </c>
      <c r="G37" s="516" t="s">
        <v>99</v>
      </c>
      <c r="H37" s="516" t="s">
        <v>281</v>
      </c>
      <c r="I37" s="516" t="s">
        <v>267</v>
      </c>
      <c r="J37" s="506" t="s">
        <v>63</v>
      </c>
      <c r="K37" s="518" t="s">
        <v>63</v>
      </c>
      <c r="L37" s="506" t="s">
        <v>63</v>
      </c>
      <c r="M37" s="506" t="s">
        <v>63</v>
      </c>
      <c r="N37" s="519" t="s">
        <v>63</v>
      </c>
      <c r="O37" s="515">
        <f>5754+2002+802</f>
        <v>8558</v>
      </c>
      <c r="P37" s="508">
        <v>1075</v>
      </c>
      <c r="Q37" s="508">
        <v>880</v>
      </c>
      <c r="R37" s="500">
        <f t="shared" si="2"/>
        <v>10513</v>
      </c>
      <c r="S37" s="320"/>
      <c r="T37" s="320"/>
      <c r="U37" s="320"/>
      <c r="V37" s="320"/>
      <c r="W37" s="320"/>
      <c r="X37" s="320"/>
      <c r="Y37" s="320"/>
      <c r="Z37" s="320"/>
    </row>
    <row r="38" spans="1:26" s="1" customFormat="1" ht="12.75" customHeight="1" x14ac:dyDescent="0.2">
      <c r="A38" s="590"/>
      <c r="B38" s="593"/>
      <c r="C38" s="634"/>
      <c r="D38" s="324" t="s">
        <v>289</v>
      </c>
      <c r="E38" s="632"/>
      <c r="F38" s="504">
        <v>2006</v>
      </c>
      <c r="G38" s="516"/>
      <c r="H38" s="516" t="s">
        <v>281</v>
      </c>
      <c r="I38" s="516" t="s">
        <v>267</v>
      </c>
      <c r="J38" s="506" t="s">
        <v>63</v>
      </c>
      <c r="K38" s="518" t="s">
        <v>63</v>
      </c>
      <c r="L38" s="506" t="s">
        <v>63</v>
      </c>
      <c r="M38" s="506" t="s">
        <v>63</v>
      </c>
      <c r="N38" s="519" t="s">
        <v>63</v>
      </c>
      <c r="O38" s="515">
        <v>3524</v>
      </c>
      <c r="P38" s="508">
        <v>1997</v>
      </c>
      <c r="Q38" s="508">
        <v>2962</v>
      </c>
      <c r="R38" s="500">
        <f t="shared" si="2"/>
        <v>8483</v>
      </c>
      <c r="S38" s="320"/>
      <c r="T38" s="320"/>
      <c r="U38" s="320"/>
      <c r="V38" s="320"/>
      <c r="W38" s="320"/>
      <c r="X38" s="320"/>
      <c r="Y38" s="320"/>
      <c r="Z38" s="320"/>
    </row>
    <row r="39" spans="1:26" s="1" customFormat="1" ht="12.75" customHeight="1" x14ac:dyDescent="0.2">
      <c r="A39" s="590"/>
      <c r="B39" s="593"/>
      <c r="C39" s="604"/>
      <c r="D39" s="324" t="s">
        <v>290</v>
      </c>
      <c r="E39" s="633"/>
      <c r="F39" s="504">
        <v>2006</v>
      </c>
      <c r="G39" s="516"/>
      <c r="H39" s="516" t="s">
        <v>281</v>
      </c>
      <c r="I39" s="516" t="s">
        <v>267</v>
      </c>
      <c r="J39" s="506" t="s">
        <v>63</v>
      </c>
      <c r="K39" s="518" t="s">
        <v>63</v>
      </c>
      <c r="L39" s="504">
        <v>7200</v>
      </c>
      <c r="M39" s="504">
        <v>1002</v>
      </c>
      <c r="N39" s="504">
        <v>7068</v>
      </c>
      <c r="O39" s="508">
        <v>2400</v>
      </c>
      <c r="P39" s="508">
        <v>4778</v>
      </c>
      <c r="Q39" s="508">
        <v>1595</v>
      </c>
      <c r="R39" s="500">
        <f t="shared" si="2"/>
        <v>24043</v>
      </c>
      <c r="S39" s="320"/>
      <c r="T39" s="320"/>
      <c r="U39" s="320"/>
      <c r="V39" s="320"/>
      <c r="W39" s="320"/>
      <c r="X39" s="320"/>
      <c r="Y39" s="320"/>
      <c r="Z39" s="320"/>
    </row>
    <row r="40" spans="1:26" s="1" customFormat="1" ht="25.5" customHeight="1" x14ac:dyDescent="0.2">
      <c r="A40" s="591"/>
      <c r="B40" s="594"/>
      <c r="C40" s="325" t="s">
        <v>291</v>
      </c>
      <c r="D40" s="324" t="s">
        <v>291</v>
      </c>
      <c r="E40" s="520" t="s">
        <v>292</v>
      </c>
      <c r="F40" s="504">
        <v>2018</v>
      </c>
      <c r="G40" s="516" t="s">
        <v>99</v>
      </c>
      <c r="H40" s="516" t="s">
        <v>63</v>
      </c>
      <c r="I40" s="516" t="s">
        <v>267</v>
      </c>
      <c r="J40" s="506">
        <v>614</v>
      </c>
      <c r="K40" s="518">
        <v>643</v>
      </c>
      <c r="L40" s="506" t="s">
        <v>63</v>
      </c>
      <c r="M40" s="506" t="s">
        <v>63</v>
      </c>
      <c r="N40" s="506" t="s">
        <v>293</v>
      </c>
      <c r="O40" s="519">
        <v>68</v>
      </c>
      <c r="P40" s="519">
        <v>490</v>
      </c>
      <c r="Q40" s="519">
        <v>718</v>
      </c>
      <c r="R40" s="500">
        <f t="shared" si="2"/>
        <v>2533</v>
      </c>
      <c r="S40" s="320"/>
      <c r="T40" s="320"/>
      <c r="U40" s="320"/>
      <c r="V40" s="320"/>
      <c r="W40" s="320"/>
      <c r="X40" s="320"/>
      <c r="Y40" s="320"/>
      <c r="Z40" s="320"/>
    </row>
    <row r="41" spans="1:26" s="1" customFormat="1" ht="12.75" customHeight="1" x14ac:dyDescent="0.2">
      <c r="A41" s="589">
        <v>3</v>
      </c>
      <c r="B41" s="639" t="s">
        <v>294</v>
      </c>
      <c r="C41" s="603" t="s">
        <v>295</v>
      </c>
      <c r="D41" s="324" t="s">
        <v>296</v>
      </c>
      <c r="E41" s="636" t="s">
        <v>297</v>
      </c>
      <c r="F41" s="504">
        <v>2012</v>
      </c>
      <c r="G41" s="516" t="s">
        <v>99</v>
      </c>
      <c r="H41" s="516" t="s">
        <v>63</v>
      </c>
      <c r="I41" s="516" t="s">
        <v>267</v>
      </c>
      <c r="J41" s="504">
        <v>71455</v>
      </c>
      <c r="K41" s="504">
        <v>94599</v>
      </c>
      <c r="L41" s="504">
        <v>9845</v>
      </c>
      <c r="M41" s="504">
        <v>1800</v>
      </c>
      <c r="N41" s="517">
        <v>86239</v>
      </c>
      <c r="O41" s="521">
        <v>76589</v>
      </c>
      <c r="P41" s="521">
        <v>38117</v>
      </c>
      <c r="Q41" s="521">
        <v>20039</v>
      </c>
      <c r="R41" s="500">
        <f t="shared" si="2"/>
        <v>398683</v>
      </c>
      <c r="S41" s="320"/>
      <c r="T41" s="320"/>
      <c r="U41" s="320"/>
      <c r="V41" s="320"/>
      <c r="W41" s="320"/>
      <c r="X41" s="320"/>
      <c r="Y41" s="320"/>
      <c r="Z41" s="320"/>
    </row>
    <row r="42" spans="1:26" s="1" customFormat="1" ht="12.75" customHeight="1" x14ac:dyDescent="0.2">
      <c r="A42" s="590"/>
      <c r="B42" s="640"/>
      <c r="C42" s="634"/>
      <c r="D42" s="324" t="s">
        <v>298</v>
      </c>
      <c r="E42" s="637"/>
      <c r="F42" s="504">
        <v>2018</v>
      </c>
      <c r="G42" s="516" t="s">
        <v>99</v>
      </c>
      <c r="H42" s="516" t="s">
        <v>63</v>
      </c>
      <c r="I42" s="516" t="s">
        <v>267</v>
      </c>
      <c r="J42" s="506">
        <v>96</v>
      </c>
      <c r="K42" s="506">
        <v>842</v>
      </c>
      <c r="L42" s="506" t="s">
        <v>299</v>
      </c>
      <c r="M42" s="506" t="s">
        <v>278</v>
      </c>
      <c r="N42" s="519">
        <v>593</v>
      </c>
      <c r="O42" s="521">
        <v>2678</v>
      </c>
      <c r="P42" s="521">
        <v>5731</v>
      </c>
      <c r="Q42" s="521">
        <v>4586</v>
      </c>
      <c r="R42" s="500">
        <f t="shared" si="2"/>
        <v>14526</v>
      </c>
      <c r="S42" s="320"/>
      <c r="T42" s="320"/>
      <c r="U42" s="320"/>
      <c r="V42" s="320"/>
      <c r="W42" s="320"/>
      <c r="X42" s="320"/>
      <c r="Y42" s="320"/>
      <c r="Z42" s="320"/>
    </row>
    <row r="43" spans="1:26" s="1" customFormat="1" ht="12.75" customHeight="1" x14ac:dyDescent="0.2">
      <c r="A43" s="590"/>
      <c r="B43" s="640"/>
      <c r="C43" s="634"/>
      <c r="D43" s="324" t="s">
        <v>300</v>
      </c>
      <c r="E43" s="637"/>
      <c r="F43" s="504">
        <v>2022</v>
      </c>
      <c r="G43" s="516" t="s">
        <v>99</v>
      </c>
      <c r="H43" s="516" t="s">
        <v>63</v>
      </c>
      <c r="I43" s="516" t="s">
        <v>267</v>
      </c>
      <c r="J43" s="506" t="s">
        <v>63</v>
      </c>
      <c r="K43" s="506" t="s">
        <v>63</v>
      </c>
      <c r="L43" s="506" t="s">
        <v>63</v>
      </c>
      <c r="M43" s="506" t="s">
        <v>63</v>
      </c>
      <c r="N43" s="519">
        <v>664</v>
      </c>
      <c r="O43" s="521">
        <v>3180</v>
      </c>
      <c r="P43" s="507">
        <v>1658</v>
      </c>
      <c r="Q43" s="507">
        <v>459</v>
      </c>
      <c r="R43" s="500">
        <f t="shared" si="2"/>
        <v>5961</v>
      </c>
      <c r="S43" s="320"/>
      <c r="T43" s="320"/>
      <c r="U43" s="320"/>
      <c r="V43" s="320"/>
      <c r="W43" s="320"/>
      <c r="X43" s="320"/>
      <c r="Y43" s="320"/>
      <c r="Z43" s="320"/>
    </row>
    <row r="44" spans="1:26" s="1" customFormat="1" ht="12.75" customHeight="1" x14ac:dyDescent="0.2">
      <c r="A44" s="590"/>
      <c r="B44" s="640"/>
      <c r="C44" s="634"/>
      <c r="D44" s="324" t="s">
        <v>301</v>
      </c>
      <c r="E44" s="637"/>
      <c r="F44" s="504">
        <v>2014</v>
      </c>
      <c r="G44" s="516" t="s">
        <v>99</v>
      </c>
      <c r="H44" s="516" t="s">
        <v>63</v>
      </c>
      <c r="I44" s="516" t="s">
        <v>267</v>
      </c>
      <c r="J44" s="504">
        <v>1639</v>
      </c>
      <c r="K44" s="504">
        <v>1701</v>
      </c>
      <c r="L44" s="506">
        <v>356</v>
      </c>
      <c r="M44" s="506">
        <v>5</v>
      </c>
      <c r="N44" s="521">
        <v>7786</v>
      </c>
      <c r="O44" s="507">
        <v>268</v>
      </c>
      <c r="P44" s="507">
        <v>943</v>
      </c>
      <c r="Q44" s="507">
        <v>492</v>
      </c>
      <c r="R44" s="500">
        <f t="shared" si="2"/>
        <v>13190</v>
      </c>
      <c r="S44" s="320"/>
      <c r="T44" s="320"/>
      <c r="U44" s="320"/>
      <c r="V44" s="320"/>
      <c r="W44" s="320"/>
      <c r="X44" s="320"/>
      <c r="Y44" s="320"/>
      <c r="Z44" s="320"/>
    </row>
    <row r="45" spans="1:26" s="1" customFormat="1" ht="12.75" customHeight="1" x14ac:dyDescent="0.2">
      <c r="A45" s="590"/>
      <c r="B45" s="640"/>
      <c r="C45" s="634"/>
      <c r="D45" s="324" t="s">
        <v>302</v>
      </c>
      <c r="E45" s="637"/>
      <c r="F45" s="504">
        <v>2010</v>
      </c>
      <c r="G45" s="516" t="s">
        <v>99</v>
      </c>
      <c r="H45" s="516" t="s">
        <v>63</v>
      </c>
      <c r="I45" s="516" t="s">
        <v>267</v>
      </c>
      <c r="J45" s="504">
        <v>11605</v>
      </c>
      <c r="K45" s="504">
        <v>34925</v>
      </c>
      <c r="L45" s="506">
        <v>908</v>
      </c>
      <c r="M45" s="506" t="s">
        <v>278</v>
      </c>
      <c r="N45" s="517">
        <v>3687</v>
      </c>
      <c r="O45" s="507">
        <v>733</v>
      </c>
      <c r="P45" s="507">
        <v>1522</v>
      </c>
      <c r="Q45" s="507">
        <v>4425</v>
      </c>
      <c r="R45" s="500">
        <f t="shared" si="2"/>
        <v>57805</v>
      </c>
      <c r="S45" s="320"/>
      <c r="T45" s="320"/>
      <c r="U45" s="320"/>
      <c r="V45" s="320"/>
      <c r="W45" s="320"/>
      <c r="X45" s="320"/>
      <c r="Y45" s="320"/>
      <c r="Z45" s="320"/>
    </row>
    <row r="46" spans="1:26" s="1" customFormat="1" ht="12.75" customHeight="1" x14ac:dyDescent="0.2">
      <c r="A46" s="590"/>
      <c r="B46" s="640"/>
      <c r="C46" s="604"/>
      <c r="D46" s="324" t="s">
        <v>303</v>
      </c>
      <c r="E46" s="637"/>
      <c r="F46" s="504">
        <v>2010</v>
      </c>
      <c r="G46" s="516" t="s">
        <v>99</v>
      </c>
      <c r="H46" s="516" t="s">
        <v>281</v>
      </c>
      <c r="I46" s="516" t="s">
        <v>267</v>
      </c>
      <c r="J46" s="504">
        <v>67792</v>
      </c>
      <c r="K46" s="504">
        <v>170299</v>
      </c>
      <c r="L46" s="504">
        <v>6809</v>
      </c>
      <c r="M46" s="506">
        <v>5</v>
      </c>
      <c r="N46" s="504">
        <v>93203</v>
      </c>
      <c r="O46" s="521">
        <v>2320</v>
      </c>
      <c r="P46" s="507">
        <v>1908</v>
      </c>
      <c r="Q46" s="507">
        <v>1956</v>
      </c>
      <c r="R46" s="500">
        <f t="shared" si="2"/>
        <v>344292</v>
      </c>
      <c r="S46" s="320"/>
      <c r="T46" s="320"/>
      <c r="U46" s="320"/>
      <c r="V46" s="320"/>
      <c r="W46" s="320"/>
      <c r="X46" s="320"/>
      <c r="Y46" s="320"/>
      <c r="Z46" s="320"/>
    </row>
    <row r="47" spans="1:26" s="1" customFormat="1" ht="12.75" customHeight="1" x14ac:dyDescent="0.2">
      <c r="A47" s="590"/>
      <c r="B47" s="640"/>
      <c r="C47" s="603" t="s">
        <v>304</v>
      </c>
      <c r="D47" s="324" t="s">
        <v>305</v>
      </c>
      <c r="E47" s="637"/>
      <c r="F47" s="504">
        <v>2022</v>
      </c>
      <c r="G47" s="516" t="s">
        <v>99</v>
      </c>
      <c r="H47" s="516" t="s">
        <v>281</v>
      </c>
      <c r="I47" s="516" t="s">
        <v>267</v>
      </c>
      <c r="J47" s="506" t="s">
        <v>63</v>
      </c>
      <c r="K47" s="506" t="s">
        <v>63</v>
      </c>
      <c r="L47" s="506" t="s">
        <v>63</v>
      </c>
      <c r="M47" s="506" t="s">
        <v>63</v>
      </c>
      <c r="N47" s="506" t="s">
        <v>63</v>
      </c>
      <c r="O47" s="507">
        <v>244</v>
      </c>
      <c r="P47" s="507">
        <v>504</v>
      </c>
      <c r="Q47" s="507">
        <v>543</v>
      </c>
      <c r="R47" s="500">
        <f t="shared" si="2"/>
        <v>1291</v>
      </c>
      <c r="S47" s="320"/>
      <c r="T47" s="320"/>
      <c r="U47" s="320"/>
      <c r="V47" s="320"/>
      <c r="W47" s="320"/>
      <c r="X47" s="320"/>
      <c r="Y47" s="320"/>
      <c r="Z47" s="320"/>
    </row>
    <row r="48" spans="1:26" s="1" customFormat="1" ht="12.75" customHeight="1" x14ac:dyDescent="0.2">
      <c r="A48" s="590"/>
      <c r="B48" s="640"/>
      <c r="C48" s="634"/>
      <c r="D48" s="324" t="s">
        <v>306</v>
      </c>
      <c r="E48" s="637"/>
      <c r="F48" s="504">
        <v>2022</v>
      </c>
      <c r="G48" s="516" t="s">
        <v>99</v>
      </c>
      <c r="H48" s="516" t="s">
        <v>281</v>
      </c>
      <c r="I48" s="516" t="s">
        <v>267</v>
      </c>
      <c r="J48" s="506" t="s">
        <v>63</v>
      </c>
      <c r="K48" s="506" t="s">
        <v>63</v>
      </c>
      <c r="L48" s="506" t="s">
        <v>63</v>
      </c>
      <c r="M48" s="506" t="s">
        <v>63</v>
      </c>
      <c r="N48" s="506" t="s">
        <v>63</v>
      </c>
      <c r="O48" s="507">
        <v>552</v>
      </c>
      <c r="P48" s="507">
        <v>465</v>
      </c>
      <c r="Q48" s="507">
        <v>321</v>
      </c>
      <c r="R48" s="500">
        <f t="shared" si="2"/>
        <v>1338</v>
      </c>
      <c r="S48" s="320"/>
      <c r="T48" s="320"/>
      <c r="U48" s="320"/>
      <c r="V48" s="320"/>
      <c r="W48" s="320"/>
      <c r="X48" s="320"/>
      <c r="Y48" s="320"/>
      <c r="Z48" s="320"/>
    </row>
    <row r="49" spans="1:26" s="1" customFormat="1" ht="12.75" customHeight="1" x14ac:dyDescent="0.2">
      <c r="A49" s="590"/>
      <c r="B49" s="640"/>
      <c r="C49" s="634"/>
      <c r="D49" s="324" t="s">
        <v>307</v>
      </c>
      <c r="E49" s="637"/>
      <c r="F49" s="504">
        <v>2022</v>
      </c>
      <c r="G49" s="516" t="s">
        <v>99</v>
      </c>
      <c r="H49" s="516" t="s">
        <v>281</v>
      </c>
      <c r="I49" s="516" t="s">
        <v>267</v>
      </c>
      <c r="J49" s="506" t="s">
        <v>63</v>
      </c>
      <c r="K49" s="506" t="s">
        <v>63</v>
      </c>
      <c r="L49" s="506" t="s">
        <v>63</v>
      </c>
      <c r="M49" s="506" t="s">
        <v>63</v>
      </c>
      <c r="N49" s="506" t="s">
        <v>63</v>
      </c>
      <c r="O49" s="507">
        <v>144</v>
      </c>
      <c r="P49" s="507">
        <v>13</v>
      </c>
      <c r="Q49" s="507"/>
      <c r="R49" s="500">
        <f t="shared" si="2"/>
        <v>157</v>
      </c>
      <c r="S49" s="320"/>
      <c r="T49" s="320"/>
      <c r="U49" s="320"/>
      <c r="V49" s="320"/>
      <c r="W49" s="320"/>
      <c r="X49" s="320"/>
      <c r="Y49" s="320"/>
      <c r="Z49" s="320"/>
    </row>
    <row r="50" spans="1:26" s="1" customFormat="1" ht="12.75" customHeight="1" x14ac:dyDescent="0.2">
      <c r="A50" s="591"/>
      <c r="B50" s="641"/>
      <c r="C50" s="604"/>
      <c r="D50" s="324" t="s">
        <v>308</v>
      </c>
      <c r="E50" s="638"/>
      <c r="F50" s="504">
        <v>2022</v>
      </c>
      <c r="G50" s="516"/>
      <c r="H50" s="516" t="s">
        <v>281</v>
      </c>
      <c r="I50" s="516" t="s">
        <v>267</v>
      </c>
      <c r="J50" s="506" t="s">
        <v>63</v>
      </c>
      <c r="K50" s="506" t="s">
        <v>63</v>
      </c>
      <c r="L50" s="506" t="s">
        <v>63</v>
      </c>
      <c r="M50" s="506" t="s">
        <v>63</v>
      </c>
      <c r="N50" s="506" t="s">
        <v>63</v>
      </c>
      <c r="O50" s="507">
        <v>88</v>
      </c>
      <c r="P50" s="507">
        <v>57</v>
      </c>
      <c r="Q50" s="507"/>
      <c r="R50" s="500">
        <f t="shared" si="2"/>
        <v>145</v>
      </c>
      <c r="S50" s="320"/>
      <c r="T50" s="320"/>
      <c r="U50" s="320"/>
      <c r="V50" s="320"/>
      <c r="W50" s="320"/>
      <c r="X50" s="320"/>
      <c r="Y50" s="320"/>
      <c r="Z50" s="320"/>
    </row>
    <row r="51" spans="1:26" s="1" customFormat="1" ht="12.75" customHeight="1" x14ac:dyDescent="0.2">
      <c r="A51" s="589">
        <v>4</v>
      </c>
      <c r="B51" s="635" t="s">
        <v>309</v>
      </c>
      <c r="C51" s="603" t="s">
        <v>310</v>
      </c>
      <c r="D51" s="324" t="s">
        <v>311</v>
      </c>
      <c r="E51" s="636" t="s">
        <v>312</v>
      </c>
      <c r="F51" s="522">
        <v>2023</v>
      </c>
      <c r="G51" s="516" t="s">
        <v>99</v>
      </c>
      <c r="H51" s="516" t="s">
        <v>63</v>
      </c>
      <c r="I51" s="516" t="s">
        <v>283</v>
      </c>
      <c r="J51" s="506" t="s">
        <v>63</v>
      </c>
      <c r="K51" s="506" t="s">
        <v>63</v>
      </c>
      <c r="L51" s="506" t="s">
        <v>63</v>
      </c>
      <c r="M51" s="506" t="s">
        <v>63</v>
      </c>
      <c r="N51" s="506" t="s">
        <v>63</v>
      </c>
      <c r="O51" s="507">
        <v>73</v>
      </c>
      <c r="P51" s="507">
        <v>30</v>
      </c>
      <c r="Q51" s="507"/>
      <c r="R51" s="500">
        <f t="shared" si="2"/>
        <v>103</v>
      </c>
      <c r="S51" s="320"/>
      <c r="T51" s="320"/>
      <c r="U51" s="320"/>
      <c r="V51" s="320"/>
      <c r="W51" s="320"/>
      <c r="X51" s="320"/>
      <c r="Y51" s="320"/>
      <c r="Z51" s="320"/>
    </row>
    <row r="52" spans="1:26" s="1" customFormat="1" ht="12.75" customHeight="1" x14ac:dyDescent="0.2">
      <c r="A52" s="590"/>
      <c r="B52" s="620"/>
      <c r="C52" s="634"/>
      <c r="D52" s="324" t="s">
        <v>313</v>
      </c>
      <c r="E52" s="637"/>
      <c r="F52" s="522">
        <v>2023</v>
      </c>
      <c r="G52" s="516" t="s">
        <v>99</v>
      </c>
      <c r="H52" s="516" t="s">
        <v>63</v>
      </c>
      <c r="I52" s="516" t="s">
        <v>283</v>
      </c>
      <c r="J52" s="506" t="s">
        <v>63</v>
      </c>
      <c r="K52" s="506" t="s">
        <v>63</v>
      </c>
      <c r="L52" s="506" t="s">
        <v>63</v>
      </c>
      <c r="M52" s="506" t="s">
        <v>63</v>
      </c>
      <c r="N52" s="506" t="s">
        <v>63</v>
      </c>
      <c r="O52" s="507">
        <v>25</v>
      </c>
      <c r="P52" s="507" t="s">
        <v>63</v>
      </c>
      <c r="Q52" s="507"/>
      <c r="R52" s="500">
        <f t="shared" si="2"/>
        <v>25</v>
      </c>
      <c r="S52" s="320"/>
      <c r="T52" s="320"/>
      <c r="U52" s="320"/>
      <c r="V52" s="320"/>
      <c r="W52" s="320"/>
      <c r="X52" s="320"/>
      <c r="Y52" s="320"/>
      <c r="Z52" s="320"/>
    </row>
    <row r="53" spans="1:26" s="1" customFormat="1" ht="12.75" customHeight="1" x14ac:dyDescent="0.2">
      <c r="A53" s="590"/>
      <c r="B53" s="620"/>
      <c r="C53" s="634"/>
      <c r="D53" s="324" t="s">
        <v>636</v>
      </c>
      <c r="E53" s="637"/>
      <c r="F53" s="522">
        <v>2023</v>
      </c>
      <c r="G53" s="516" t="s">
        <v>99</v>
      </c>
      <c r="H53" s="516" t="s">
        <v>63</v>
      </c>
      <c r="I53" s="516" t="s">
        <v>267</v>
      </c>
      <c r="J53" s="506" t="s">
        <v>63</v>
      </c>
      <c r="K53" s="506" t="s">
        <v>63</v>
      </c>
      <c r="L53" s="506" t="s">
        <v>63</v>
      </c>
      <c r="M53" s="506" t="s">
        <v>63</v>
      </c>
      <c r="N53" s="506" t="s">
        <v>63</v>
      </c>
      <c r="O53" s="507">
        <v>46</v>
      </c>
      <c r="P53" s="507">
        <v>22</v>
      </c>
      <c r="Q53" s="507">
        <v>16</v>
      </c>
      <c r="R53" s="500">
        <f t="shared" si="2"/>
        <v>84</v>
      </c>
      <c r="S53" s="320"/>
      <c r="T53" s="320"/>
      <c r="U53" s="320"/>
      <c r="V53" s="320"/>
      <c r="W53" s="320"/>
      <c r="X53" s="320"/>
      <c r="Y53" s="320"/>
      <c r="Z53" s="320"/>
    </row>
    <row r="54" spans="1:26" s="1" customFormat="1" ht="12.75" customHeight="1" x14ac:dyDescent="0.2">
      <c r="A54" s="590"/>
      <c r="B54" s="620"/>
      <c r="C54" s="604"/>
      <c r="D54" s="324" t="s">
        <v>315</v>
      </c>
      <c r="E54" s="637"/>
      <c r="F54" s="522">
        <v>2024</v>
      </c>
      <c r="G54" s="516" t="s">
        <v>99</v>
      </c>
      <c r="H54" s="516" t="s">
        <v>63</v>
      </c>
      <c r="I54" s="516" t="s">
        <v>267</v>
      </c>
      <c r="J54" s="506" t="s">
        <v>63</v>
      </c>
      <c r="K54" s="506" t="s">
        <v>63</v>
      </c>
      <c r="L54" s="506" t="s">
        <v>63</v>
      </c>
      <c r="M54" s="506" t="s">
        <v>63</v>
      </c>
      <c r="N54" s="506" t="s">
        <v>63</v>
      </c>
      <c r="O54" s="507">
        <v>12</v>
      </c>
      <c r="P54" s="507"/>
      <c r="Q54" s="507"/>
      <c r="R54" s="500">
        <f t="shared" si="2"/>
        <v>12</v>
      </c>
      <c r="S54" s="320"/>
      <c r="T54" s="320"/>
      <c r="U54" s="320"/>
      <c r="V54" s="320"/>
      <c r="W54" s="320"/>
      <c r="X54" s="320"/>
      <c r="Y54" s="320"/>
      <c r="Z54" s="320"/>
    </row>
    <row r="55" spans="1:26" s="1" customFormat="1" ht="23.25" customHeight="1" x14ac:dyDescent="0.2">
      <c r="A55" s="591"/>
      <c r="B55" s="621"/>
      <c r="C55" s="523" t="s">
        <v>316</v>
      </c>
      <c r="D55" s="324" t="s">
        <v>317</v>
      </c>
      <c r="E55" s="638"/>
      <c r="F55" s="522">
        <v>2023</v>
      </c>
      <c r="G55" s="516" t="s">
        <v>99</v>
      </c>
      <c r="H55" s="516" t="s">
        <v>63</v>
      </c>
      <c r="I55" s="516" t="s">
        <v>267</v>
      </c>
      <c r="J55" s="506" t="s">
        <v>63</v>
      </c>
      <c r="K55" s="506" t="s">
        <v>63</v>
      </c>
      <c r="L55" s="506" t="s">
        <v>63</v>
      </c>
      <c r="M55" s="506" t="s">
        <v>63</v>
      </c>
      <c r="N55" s="506" t="s">
        <v>63</v>
      </c>
      <c r="O55" s="507"/>
      <c r="P55" s="507">
        <v>118</v>
      </c>
      <c r="Q55" s="507">
        <v>20</v>
      </c>
      <c r="R55" s="500">
        <f t="shared" si="2"/>
        <v>138</v>
      </c>
      <c r="S55" s="320"/>
      <c r="T55" s="320"/>
      <c r="U55" s="320"/>
      <c r="V55" s="320"/>
      <c r="W55" s="320"/>
      <c r="X55" s="320"/>
      <c r="Y55" s="320"/>
      <c r="Z55" s="320"/>
    </row>
    <row r="56" spans="1:26" s="1" customFormat="1" ht="45" customHeight="1" x14ac:dyDescent="0.2">
      <c r="A56" s="589">
        <v>5</v>
      </c>
      <c r="B56" s="601" t="s">
        <v>318</v>
      </c>
      <c r="C56" s="603" t="s">
        <v>319</v>
      </c>
      <c r="D56" s="524" t="s">
        <v>314</v>
      </c>
      <c r="E56" s="605" t="s">
        <v>320</v>
      </c>
      <c r="F56" s="522">
        <v>2023</v>
      </c>
      <c r="G56" s="516" t="s">
        <v>99</v>
      </c>
      <c r="H56" s="516" t="s">
        <v>63</v>
      </c>
      <c r="I56" s="516" t="s">
        <v>267</v>
      </c>
      <c r="J56" s="506" t="s">
        <v>63</v>
      </c>
      <c r="K56" s="506" t="s">
        <v>63</v>
      </c>
      <c r="L56" s="506" t="s">
        <v>63</v>
      </c>
      <c r="M56" s="506" t="s">
        <v>63</v>
      </c>
      <c r="N56" s="506" t="s">
        <v>63</v>
      </c>
      <c r="O56" s="507">
        <f>27+440</f>
        <v>467</v>
      </c>
      <c r="P56" s="507">
        <v>277</v>
      </c>
      <c r="Q56" s="507">
        <v>124</v>
      </c>
      <c r="R56" s="500">
        <f t="shared" si="2"/>
        <v>868</v>
      </c>
      <c r="S56" s="320"/>
      <c r="T56" s="320"/>
      <c r="U56" s="320"/>
      <c r="V56" s="320"/>
      <c r="W56" s="320"/>
      <c r="X56" s="320"/>
      <c r="Y56" s="320"/>
      <c r="Z56" s="320"/>
    </row>
    <row r="57" spans="1:26" s="1" customFormat="1" ht="31.5" customHeight="1" x14ac:dyDescent="0.2">
      <c r="A57" s="591"/>
      <c r="B57" s="602"/>
      <c r="C57" s="604"/>
      <c r="D57" s="525" t="s">
        <v>321</v>
      </c>
      <c r="E57" s="606"/>
      <c r="F57" s="526">
        <v>2023</v>
      </c>
      <c r="G57" s="527" t="s">
        <v>99</v>
      </c>
      <c r="H57" s="527" t="s">
        <v>63</v>
      </c>
      <c r="I57" s="527" t="s">
        <v>267</v>
      </c>
      <c r="J57" s="528" t="s">
        <v>63</v>
      </c>
      <c r="K57" s="528" t="s">
        <v>63</v>
      </c>
      <c r="L57" s="528" t="s">
        <v>63</v>
      </c>
      <c r="M57" s="528" t="s">
        <v>63</v>
      </c>
      <c r="N57" s="528" t="s">
        <v>63</v>
      </c>
      <c r="O57" s="529">
        <v>2</v>
      </c>
      <c r="P57" s="529">
        <v>2</v>
      </c>
      <c r="Q57" s="529">
        <v>4</v>
      </c>
      <c r="R57" s="500">
        <f t="shared" si="2"/>
        <v>8</v>
      </c>
      <c r="S57" s="320"/>
      <c r="T57" s="320"/>
      <c r="U57" s="320"/>
      <c r="V57" s="320"/>
      <c r="W57" s="320"/>
      <c r="X57" s="320"/>
      <c r="Y57" s="320"/>
      <c r="Z57" s="320"/>
    </row>
    <row r="58" spans="1:26" s="1" customFormat="1" ht="12.75" customHeight="1" x14ac:dyDescent="0.2">
      <c r="A58" s="589">
        <v>6</v>
      </c>
      <c r="B58" s="607" t="s">
        <v>322</v>
      </c>
      <c r="C58" s="610" t="s">
        <v>637</v>
      </c>
      <c r="D58" s="530" t="s">
        <v>324</v>
      </c>
      <c r="E58" s="531" t="s">
        <v>325</v>
      </c>
      <c r="F58" s="532">
        <v>2004</v>
      </c>
      <c r="G58" s="533" t="s">
        <v>63</v>
      </c>
      <c r="H58" s="533" t="s">
        <v>99</v>
      </c>
      <c r="I58" s="533" t="s">
        <v>267</v>
      </c>
      <c r="J58" s="534">
        <v>1063790</v>
      </c>
      <c r="K58" s="534">
        <v>785338</v>
      </c>
      <c r="L58" s="534">
        <v>341610</v>
      </c>
      <c r="M58" s="534">
        <v>157409</v>
      </c>
      <c r="N58" s="532">
        <v>481226</v>
      </c>
      <c r="O58" s="535">
        <v>496576</v>
      </c>
      <c r="P58" s="535">
        <v>3183742</v>
      </c>
      <c r="Q58" s="535">
        <f>+'[1]d.CRAI+6_Biblioteca_digital'!L105</f>
        <v>853059</v>
      </c>
      <c r="R58" s="500">
        <f t="shared" si="2"/>
        <v>7362750</v>
      </c>
      <c r="S58" s="320"/>
      <c r="T58" s="320"/>
      <c r="U58" s="320"/>
      <c r="V58" s="320"/>
      <c r="W58" s="320"/>
      <c r="X58" s="320"/>
      <c r="Y58" s="320"/>
      <c r="Z58" s="320"/>
    </row>
    <row r="59" spans="1:26" s="1" customFormat="1" ht="12.75" customHeight="1" x14ac:dyDescent="0.2">
      <c r="A59" s="590"/>
      <c r="B59" s="608"/>
      <c r="C59" s="611"/>
      <c r="D59" s="530" t="s">
        <v>326</v>
      </c>
      <c r="E59" s="531" t="s">
        <v>327</v>
      </c>
      <c r="F59" s="532">
        <v>2004</v>
      </c>
      <c r="G59" s="533" t="s">
        <v>63</v>
      </c>
      <c r="H59" s="533" t="s">
        <v>99</v>
      </c>
      <c r="I59" s="533" t="s">
        <v>267</v>
      </c>
      <c r="J59" s="532">
        <v>486067</v>
      </c>
      <c r="K59" s="534">
        <v>613212</v>
      </c>
      <c r="L59" s="532">
        <v>386456</v>
      </c>
      <c r="M59" s="532">
        <v>784376</v>
      </c>
      <c r="N59" s="532">
        <v>415530</v>
      </c>
      <c r="O59" s="535">
        <v>30711</v>
      </c>
      <c r="P59" s="535">
        <v>180444</v>
      </c>
      <c r="Q59" s="535"/>
      <c r="R59" s="500">
        <f t="shared" si="2"/>
        <v>2896796</v>
      </c>
      <c r="S59" s="320"/>
      <c r="T59" s="320"/>
      <c r="U59" s="320"/>
      <c r="V59" s="320"/>
      <c r="W59" s="320"/>
      <c r="X59" s="320"/>
      <c r="Y59" s="320"/>
      <c r="Z59" s="320"/>
    </row>
    <row r="60" spans="1:26" s="1" customFormat="1" ht="12.75" customHeight="1" x14ac:dyDescent="0.2">
      <c r="A60" s="590"/>
      <c r="B60" s="608"/>
      <c r="C60" s="611"/>
      <c r="D60" s="530"/>
      <c r="E60" s="531"/>
      <c r="F60" s="532"/>
      <c r="G60" s="533"/>
      <c r="H60" s="533"/>
      <c r="I60" s="533"/>
      <c r="J60" s="532"/>
      <c r="K60" s="534"/>
      <c r="L60" s="532"/>
      <c r="M60" s="532"/>
      <c r="N60" s="532"/>
      <c r="O60" s="535"/>
      <c r="P60" s="535"/>
      <c r="Q60" s="535"/>
      <c r="R60" s="500"/>
      <c r="S60" s="320"/>
      <c r="T60" s="320"/>
      <c r="U60" s="320"/>
      <c r="V60" s="320"/>
      <c r="W60" s="320"/>
      <c r="X60" s="320"/>
      <c r="Y60" s="320"/>
      <c r="Z60" s="320"/>
    </row>
    <row r="61" spans="1:26" s="1" customFormat="1" ht="12.75" customHeight="1" x14ac:dyDescent="0.2">
      <c r="A61" s="590"/>
      <c r="B61" s="608"/>
      <c r="C61" s="612"/>
      <c r="D61" s="530" t="s">
        <v>328</v>
      </c>
      <c r="E61" s="531" t="s">
        <v>329</v>
      </c>
      <c r="F61" s="532">
        <v>2015</v>
      </c>
      <c r="G61" s="533" t="s">
        <v>63</v>
      </c>
      <c r="H61" s="533" t="s">
        <v>99</v>
      </c>
      <c r="I61" s="533" t="s">
        <v>267</v>
      </c>
      <c r="J61" s="532">
        <v>8723</v>
      </c>
      <c r="K61" s="534">
        <v>1785</v>
      </c>
      <c r="L61" s="532">
        <v>14785</v>
      </c>
      <c r="M61" s="536" t="s">
        <v>278</v>
      </c>
      <c r="N61" s="532">
        <v>2303</v>
      </c>
      <c r="O61" s="535">
        <v>60662</v>
      </c>
      <c r="P61" s="535">
        <v>56195</v>
      </c>
      <c r="Q61" s="535"/>
      <c r="R61" s="500">
        <f t="shared" si="2"/>
        <v>144453</v>
      </c>
      <c r="S61" s="320"/>
      <c r="T61" s="320"/>
      <c r="U61" s="320"/>
      <c r="V61" s="320"/>
      <c r="W61" s="320"/>
      <c r="X61" s="320"/>
      <c r="Y61" s="320"/>
      <c r="Z61" s="320"/>
    </row>
    <row r="62" spans="1:26" s="1" customFormat="1" ht="50.25" customHeight="1" x14ac:dyDescent="0.2">
      <c r="A62" s="590"/>
      <c r="B62" s="608"/>
      <c r="C62" s="595" t="s">
        <v>323</v>
      </c>
      <c r="D62" s="530" t="s">
        <v>330</v>
      </c>
      <c r="E62" s="531" t="s">
        <v>331</v>
      </c>
      <c r="F62" s="536" t="s">
        <v>332</v>
      </c>
      <c r="G62" s="533" t="s">
        <v>99</v>
      </c>
      <c r="H62" s="533" t="s">
        <v>99</v>
      </c>
      <c r="I62" s="533" t="s">
        <v>267</v>
      </c>
      <c r="J62" s="532">
        <v>230551</v>
      </c>
      <c r="K62" s="534">
        <v>258209</v>
      </c>
      <c r="L62" s="532">
        <v>362508</v>
      </c>
      <c r="M62" s="532">
        <v>434188</v>
      </c>
      <c r="N62" s="532">
        <v>244651</v>
      </c>
      <c r="O62" s="535">
        <v>439893</v>
      </c>
      <c r="P62" s="535">
        <v>551352</v>
      </c>
      <c r="Q62" s="535">
        <f>+'[1]e.CRAI+6_RIUD_Repositorio'!G14</f>
        <v>117902</v>
      </c>
      <c r="R62" s="500">
        <f t="shared" si="2"/>
        <v>2639254</v>
      </c>
      <c r="S62" s="320"/>
      <c r="T62" s="320"/>
      <c r="U62" s="320"/>
      <c r="V62" s="320"/>
      <c r="W62" s="320"/>
      <c r="X62" s="320"/>
      <c r="Y62" s="320"/>
      <c r="Z62" s="320"/>
    </row>
    <row r="63" spans="1:26" s="1" customFormat="1" ht="42.75" customHeight="1" x14ac:dyDescent="0.2">
      <c r="A63" s="590"/>
      <c r="B63" s="608"/>
      <c r="C63" s="597"/>
      <c r="D63" s="530" t="s">
        <v>333</v>
      </c>
      <c r="E63" s="613" t="s">
        <v>334</v>
      </c>
      <c r="F63" s="532">
        <v>2022</v>
      </c>
      <c r="G63" s="533" t="s">
        <v>63</v>
      </c>
      <c r="H63" s="533" t="s">
        <v>99</v>
      </c>
      <c r="I63" s="533" t="s">
        <v>267</v>
      </c>
      <c r="J63" s="536" t="s">
        <v>63</v>
      </c>
      <c r="K63" s="537" t="s">
        <v>63</v>
      </c>
      <c r="L63" s="536" t="s">
        <v>63</v>
      </c>
      <c r="M63" s="536" t="s">
        <v>63</v>
      </c>
      <c r="N63" s="536" t="s">
        <v>63</v>
      </c>
      <c r="O63" s="535">
        <v>1885</v>
      </c>
      <c r="P63" s="538">
        <v>2124</v>
      </c>
      <c r="Q63" s="538">
        <v>841</v>
      </c>
      <c r="R63" s="500">
        <f t="shared" si="2"/>
        <v>4850</v>
      </c>
      <c r="S63" s="320"/>
      <c r="T63" s="320"/>
      <c r="U63" s="320"/>
      <c r="V63" s="320"/>
      <c r="W63" s="320"/>
      <c r="X63" s="320"/>
      <c r="Y63" s="320"/>
      <c r="Z63" s="320"/>
    </row>
    <row r="64" spans="1:26" s="1" customFormat="1" ht="12.75" hidden="1" customHeight="1" x14ac:dyDescent="0.2">
      <c r="A64" s="590"/>
      <c r="B64" s="608"/>
      <c r="C64" s="539"/>
      <c r="D64" s="36"/>
      <c r="E64" s="614"/>
      <c r="F64" s="532">
        <v>2022</v>
      </c>
      <c r="G64" s="533" t="s">
        <v>63</v>
      </c>
      <c r="H64" s="533" t="s">
        <v>99</v>
      </c>
      <c r="I64" s="533" t="s">
        <v>267</v>
      </c>
      <c r="J64" s="536" t="s">
        <v>63</v>
      </c>
      <c r="K64" s="537" t="s">
        <v>63</v>
      </c>
      <c r="L64" s="536" t="s">
        <v>63</v>
      </c>
      <c r="M64" s="536" t="s">
        <v>63</v>
      </c>
      <c r="N64" s="536" t="s">
        <v>63</v>
      </c>
      <c r="O64" s="538">
        <v>122</v>
      </c>
      <c r="P64" s="538">
        <v>15</v>
      </c>
      <c r="Q64" s="538"/>
      <c r="R64" s="500">
        <f t="shared" si="2"/>
        <v>137</v>
      </c>
      <c r="S64" s="320"/>
      <c r="T64" s="320"/>
      <c r="U64" s="320"/>
      <c r="V64" s="320"/>
      <c r="W64" s="320"/>
      <c r="X64" s="320"/>
      <c r="Y64" s="320"/>
      <c r="Z64" s="320"/>
    </row>
    <row r="65" spans="1:26" s="1" customFormat="1" ht="12.75" hidden="1" customHeight="1" x14ac:dyDescent="0.2">
      <c r="A65" s="590"/>
      <c r="B65" s="608"/>
      <c r="C65" s="350"/>
      <c r="D65" s="36"/>
      <c r="E65" s="614"/>
      <c r="F65" s="532">
        <v>2022</v>
      </c>
      <c r="G65" s="533" t="s">
        <v>63</v>
      </c>
      <c r="H65" s="533" t="s">
        <v>99</v>
      </c>
      <c r="I65" s="533" t="s">
        <v>267</v>
      </c>
      <c r="J65" s="536" t="s">
        <v>63</v>
      </c>
      <c r="K65" s="537" t="s">
        <v>63</v>
      </c>
      <c r="L65" s="536" t="s">
        <v>63</v>
      </c>
      <c r="M65" s="536" t="s">
        <v>63</v>
      </c>
      <c r="N65" s="536" t="s">
        <v>63</v>
      </c>
      <c r="O65" s="535">
        <v>2276</v>
      </c>
      <c r="P65" s="538">
        <v>1997</v>
      </c>
      <c r="Q65" s="538"/>
      <c r="R65" s="500">
        <f t="shared" si="2"/>
        <v>4273</v>
      </c>
      <c r="S65" s="320"/>
      <c r="T65" s="320"/>
      <c r="U65" s="320"/>
      <c r="V65" s="320"/>
      <c r="W65" s="320"/>
      <c r="X65" s="320"/>
      <c r="Y65" s="320"/>
      <c r="Z65" s="320"/>
    </row>
    <row r="66" spans="1:26" s="1" customFormat="1" ht="12.75" hidden="1" customHeight="1" x14ac:dyDescent="0.2">
      <c r="A66" s="590"/>
      <c r="B66" s="608"/>
      <c r="C66" s="350"/>
      <c r="D66" s="36"/>
      <c r="E66" s="614"/>
      <c r="F66" s="532">
        <v>2022</v>
      </c>
      <c r="G66" s="533" t="s">
        <v>63</v>
      </c>
      <c r="H66" s="533" t="s">
        <v>99</v>
      </c>
      <c r="I66" s="533" t="s">
        <v>267</v>
      </c>
      <c r="J66" s="536" t="s">
        <v>63</v>
      </c>
      <c r="K66" s="537" t="s">
        <v>63</v>
      </c>
      <c r="L66" s="536" t="s">
        <v>63</v>
      </c>
      <c r="M66" s="536" t="s">
        <v>63</v>
      </c>
      <c r="N66" s="536" t="s">
        <v>63</v>
      </c>
      <c r="O66" s="538">
        <v>418</v>
      </c>
      <c r="P66" s="538">
        <v>440</v>
      </c>
      <c r="Q66" s="538"/>
      <c r="R66" s="500">
        <f t="shared" si="2"/>
        <v>858</v>
      </c>
      <c r="S66" s="320"/>
      <c r="T66" s="320"/>
      <c r="U66" s="320"/>
      <c r="V66" s="320"/>
      <c r="W66" s="320"/>
      <c r="X66" s="320"/>
      <c r="Y66" s="320"/>
      <c r="Z66" s="320"/>
    </row>
    <row r="67" spans="1:26" s="1" customFormat="1" ht="12.75" hidden="1" customHeight="1" x14ac:dyDescent="0.2">
      <c r="A67" s="590"/>
      <c r="B67" s="608"/>
      <c r="C67" s="350"/>
      <c r="D67" s="36"/>
      <c r="E67" s="614"/>
      <c r="F67" s="532">
        <v>2022</v>
      </c>
      <c r="G67" s="533" t="s">
        <v>63</v>
      </c>
      <c r="H67" s="533" t="s">
        <v>99</v>
      </c>
      <c r="I67" s="533" t="s">
        <v>267</v>
      </c>
      <c r="J67" s="536" t="s">
        <v>63</v>
      </c>
      <c r="K67" s="537" t="s">
        <v>63</v>
      </c>
      <c r="L67" s="536" t="s">
        <v>63</v>
      </c>
      <c r="M67" s="536" t="s">
        <v>63</v>
      </c>
      <c r="N67" s="536" t="s">
        <v>63</v>
      </c>
      <c r="O67" s="535">
        <v>1884</v>
      </c>
      <c r="P67" s="538">
        <v>1911</v>
      </c>
      <c r="Q67" s="538"/>
      <c r="R67" s="500">
        <f t="shared" si="2"/>
        <v>3795</v>
      </c>
      <c r="S67" s="320"/>
      <c r="T67" s="320"/>
      <c r="U67" s="320"/>
      <c r="V67" s="320"/>
      <c r="W67" s="320"/>
      <c r="X67" s="320"/>
      <c r="Y67" s="320"/>
      <c r="Z67" s="320"/>
    </row>
    <row r="68" spans="1:26" s="1" customFormat="1" ht="12.75" hidden="1" customHeight="1" x14ac:dyDescent="0.2">
      <c r="A68" s="591"/>
      <c r="B68" s="609"/>
      <c r="C68" s="350"/>
      <c r="D68" s="36"/>
      <c r="E68" s="615"/>
      <c r="F68" s="532">
        <v>2023</v>
      </c>
      <c r="G68" s="533" t="s">
        <v>63</v>
      </c>
      <c r="H68" s="533" t="s">
        <v>99</v>
      </c>
      <c r="I68" s="533" t="s">
        <v>267</v>
      </c>
      <c r="J68" s="536" t="s">
        <v>63</v>
      </c>
      <c r="K68" s="537" t="s">
        <v>63</v>
      </c>
      <c r="L68" s="536" t="s">
        <v>63</v>
      </c>
      <c r="M68" s="536" t="s">
        <v>63</v>
      </c>
      <c r="N68" s="536" t="s">
        <v>63</v>
      </c>
      <c r="O68" s="535">
        <v>37073</v>
      </c>
      <c r="P68" s="538">
        <v>123659</v>
      </c>
      <c r="Q68" s="538"/>
      <c r="R68" s="500">
        <f t="shared" si="2"/>
        <v>160732</v>
      </c>
      <c r="S68" s="320"/>
      <c r="T68" s="320"/>
      <c r="U68" s="320"/>
      <c r="V68" s="320"/>
      <c r="W68" s="320"/>
      <c r="X68" s="320"/>
      <c r="Y68" s="320"/>
      <c r="Z68" s="320"/>
    </row>
    <row r="69" spans="1:26" s="1" customFormat="1" ht="25.5" customHeight="1" x14ac:dyDescent="0.2">
      <c r="A69" s="589">
        <v>7</v>
      </c>
      <c r="B69" s="592" t="s">
        <v>335</v>
      </c>
      <c r="C69" s="616" t="s">
        <v>336</v>
      </c>
      <c r="D69" s="395" t="s">
        <v>337</v>
      </c>
      <c r="E69" s="646" t="s">
        <v>338</v>
      </c>
      <c r="F69" s="540">
        <v>2023</v>
      </c>
      <c r="G69" s="541" t="s">
        <v>99</v>
      </c>
      <c r="H69" s="541" t="s">
        <v>63</v>
      </c>
      <c r="I69" s="541" t="s">
        <v>267</v>
      </c>
      <c r="J69" s="542" t="s">
        <v>63</v>
      </c>
      <c r="K69" s="543" t="s">
        <v>63</v>
      </c>
      <c r="L69" s="542" t="s">
        <v>63</v>
      </c>
      <c r="M69" s="542" t="s">
        <v>63</v>
      </c>
      <c r="N69" s="542" t="s">
        <v>63</v>
      </c>
      <c r="O69" s="544">
        <v>26</v>
      </c>
      <c r="P69" s="544">
        <v>12</v>
      </c>
      <c r="Q69" s="544">
        <v>30</v>
      </c>
      <c r="R69" s="500">
        <f t="shared" si="2"/>
        <v>68</v>
      </c>
      <c r="S69" s="320"/>
      <c r="T69" s="320"/>
      <c r="U69" s="320"/>
      <c r="V69" s="320"/>
      <c r="W69" s="320"/>
      <c r="X69" s="320"/>
      <c r="Y69" s="320"/>
      <c r="Z69" s="320"/>
    </row>
    <row r="70" spans="1:26" s="1" customFormat="1" ht="24.75" customHeight="1" x14ac:dyDescent="0.2">
      <c r="A70" s="591"/>
      <c r="B70" s="594"/>
      <c r="C70" s="617"/>
      <c r="D70" s="324" t="s">
        <v>339</v>
      </c>
      <c r="E70" s="647"/>
      <c r="F70" s="522"/>
      <c r="G70" s="516" t="s">
        <v>99</v>
      </c>
      <c r="H70" s="516" t="s">
        <v>99</v>
      </c>
      <c r="I70" s="516" t="s">
        <v>267</v>
      </c>
      <c r="J70" s="506"/>
      <c r="K70" s="518"/>
      <c r="L70" s="506"/>
      <c r="M70" s="506"/>
      <c r="N70" s="506"/>
      <c r="O70" s="519"/>
      <c r="P70" s="519">
        <v>46</v>
      </c>
      <c r="Q70" s="519">
        <v>76</v>
      </c>
      <c r="R70" s="500">
        <f t="shared" si="2"/>
        <v>122</v>
      </c>
      <c r="S70" s="320"/>
      <c r="T70" s="320"/>
      <c r="U70" s="320"/>
      <c r="V70" s="320"/>
      <c r="W70" s="320"/>
      <c r="X70" s="320"/>
      <c r="Y70" s="320"/>
      <c r="Z70" s="320"/>
    </row>
    <row r="71" spans="1:26" s="1" customFormat="1" ht="27.75" customHeight="1" x14ac:dyDescent="0.2">
      <c r="A71" s="589">
        <v>8</v>
      </c>
      <c r="B71" s="592" t="s">
        <v>340</v>
      </c>
      <c r="C71" s="392" t="s">
        <v>63</v>
      </c>
      <c r="D71" s="324" t="s">
        <v>341</v>
      </c>
      <c r="E71" s="636" t="s">
        <v>342</v>
      </c>
      <c r="F71" s="504">
        <v>2023</v>
      </c>
      <c r="G71" s="516" t="s">
        <v>99</v>
      </c>
      <c r="H71" s="516" t="s">
        <v>99</v>
      </c>
      <c r="I71" s="516" t="s">
        <v>267</v>
      </c>
      <c r="J71" s="506" t="s">
        <v>63</v>
      </c>
      <c r="K71" s="506" t="s">
        <v>63</v>
      </c>
      <c r="L71" s="545" t="s">
        <v>63</v>
      </c>
      <c r="M71" s="545" t="s">
        <v>63</v>
      </c>
      <c r="N71" s="545" t="s">
        <v>63</v>
      </c>
      <c r="O71" s="519">
        <v>9</v>
      </c>
      <c r="P71" s="519">
        <v>355</v>
      </c>
      <c r="Q71" s="519">
        <v>13</v>
      </c>
      <c r="R71" s="500">
        <f t="shared" si="2"/>
        <v>377</v>
      </c>
      <c r="S71" s="320"/>
      <c r="T71" s="320"/>
      <c r="U71" s="320"/>
      <c r="V71" s="320"/>
      <c r="W71" s="320"/>
      <c r="X71" s="320"/>
      <c r="Y71" s="320"/>
      <c r="Z71" s="320"/>
    </row>
    <row r="72" spans="1:26" s="1" customFormat="1" ht="27" customHeight="1" x14ac:dyDescent="0.2">
      <c r="A72" s="590"/>
      <c r="B72" s="593"/>
      <c r="C72" s="393"/>
      <c r="D72" s="324" t="s">
        <v>638</v>
      </c>
      <c r="E72" s="637"/>
      <c r="F72" s="504">
        <v>2020</v>
      </c>
      <c r="G72" s="516" t="s">
        <v>99</v>
      </c>
      <c r="H72" s="516" t="s">
        <v>99</v>
      </c>
      <c r="I72" s="516" t="s">
        <v>343</v>
      </c>
      <c r="J72" s="506" t="s">
        <v>63</v>
      </c>
      <c r="K72" s="518" t="s">
        <v>63</v>
      </c>
      <c r="L72" s="504">
        <v>1504</v>
      </c>
      <c r="M72" s="506">
        <v>12</v>
      </c>
      <c r="N72" s="506">
        <v>76</v>
      </c>
      <c r="O72" s="519">
        <v>144</v>
      </c>
      <c r="P72" s="519"/>
      <c r="Q72" s="519">
        <v>13</v>
      </c>
      <c r="R72" s="500">
        <f t="shared" si="2"/>
        <v>1749</v>
      </c>
      <c r="S72" s="320"/>
      <c r="T72" s="320"/>
      <c r="U72" s="320"/>
      <c r="V72" s="320"/>
      <c r="W72" s="320"/>
      <c r="X72" s="320"/>
      <c r="Y72" s="320"/>
      <c r="Z72" s="320"/>
    </row>
    <row r="73" spans="1:26" s="1" customFormat="1" ht="34.5" customHeight="1" x14ac:dyDescent="0.2">
      <c r="A73" s="590"/>
      <c r="B73" s="593"/>
      <c r="C73" s="393"/>
      <c r="D73" s="324" t="s">
        <v>344</v>
      </c>
      <c r="E73" s="637"/>
      <c r="F73" s="504">
        <v>2023</v>
      </c>
      <c r="G73" s="516" t="s">
        <v>99</v>
      </c>
      <c r="H73" s="516" t="s">
        <v>99</v>
      </c>
      <c r="I73" s="516" t="s">
        <v>267</v>
      </c>
      <c r="J73" s="506" t="s">
        <v>63</v>
      </c>
      <c r="K73" s="518" t="s">
        <v>63</v>
      </c>
      <c r="L73" s="506" t="s">
        <v>63</v>
      </c>
      <c r="M73" s="506" t="s">
        <v>63</v>
      </c>
      <c r="N73" s="506" t="s">
        <v>63</v>
      </c>
      <c r="O73" s="519">
        <v>8</v>
      </c>
      <c r="P73" s="545">
        <v>127</v>
      </c>
      <c r="Q73" s="519">
        <v>8</v>
      </c>
      <c r="R73" s="500">
        <f t="shared" si="2"/>
        <v>143</v>
      </c>
      <c r="S73" s="320"/>
      <c r="T73" s="320"/>
      <c r="U73" s="320"/>
      <c r="V73" s="320"/>
      <c r="W73" s="320"/>
      <c r="X73" s="320"/>
      <c r="Y73" s="320"/>
      <c r="Z73" s="320"/>
    </row>
    <row r="74" spans="1:26" s="1" customFormat="1" ht="24.75" customHeight="1" x14ac:dyDescent="0.2">
      <c r="A74" s="591"/>
      <c r="B74" s="594"/>
      <c r="C74" s="394"/>
      <c r="D74" s="324" t="s">
        <v>345</v>
      </c>
      <c r="E74" s="638"/>
      <c r="F74" s="504">
        <v>2023</v>
      </c>
      <c r="G74" s="516" t="s">
        <v>99</v>
      </c>
      <c r="H74" s="516" t="s">
        <v>99</v>
      </c>
      <c r="I74" s="516" t="s">
        <v>267</v>
      </c>
      <c r="J74" s="506" t="s">
        <v>63</v>
      </c>
      <c r="K74" s="518" t="s">
        <v>63</v>
      </c>
      <c r="L74" s="506" t="s">
        <v>63</v>
      </c>
      <c r="M74" s="506" t="s">
        <v>63</v>
      </c>
      <c r="N74" s="506" t="s">
        <v>63</v>
      </c>
      <c r="O74" s="519">
        <v>321</v>
      </c>
      <c r="P74" s="519">
        <v>2634</v>
      </c>
      <c r="Q74" s="545">
        <v>300</v>
      </c>
      <c r="R74" s="500">
        <f t="shared" si="2"/>
        <v>3255</v>
      </c>
      <c r="S74" s="320"/>
      <c r="T74" s="320"/>
      <c r="U74" s="320"/>
      <c r="V74" s="320"/>
      <c r="W74" s="320"/>
      <c r="X74" s="320"/>
      <c r="Y74" s="320"/>
      <c r="Z74" s="320"/>
    </row>
    <row r="75" spans="1:26" s="1" customFormat="1" ht="21" customHeight="1" x14ac:dyDescent="0.2">
      <c r="A75" s="648">
        <v>9</v>
      </c>
      <c r="B75" s="592" t="s">
        <v>346</v>
      </c>
      <c r="C75" s="326" t="s">
        <v>347</v>
      </c>
      <c r="D75" s="324" t="s">
        <v>348</v>
      </c>
      <c r="E75" s="636" t="s">
        <v>349</v>
      </c>
      <c r="F75" s="506" t="s">
        <v>350</v>
      </c>
      <c r="G75" s="516" t="s">
        <v>99</v>
      </c>
      <c r="H75" s="516" t="s">
        <v>99</v>
      </c>
      <c r="I75" s="516" t="s">
        <v>267</v>
      </c>
      <c r="J75" s="506">
        <v>607</v>
      </c>
      <c r="K75" s="505">
        <v>1365</v>
      </c>
      <c r="L75" s="506">
        <v>92</v>
      </c>
      <c r="M75" s="506">
        <v>10</v>
      </c>
      <c r="N75" s="506">
        <v>150</v>
      </c>
      <c r="O75" s="519">
        <v>543</v>
      </c>
      <c r="P75" s="519">
        <v>355</v>
      </c>
      <c r="Q75" s="546">
        <v>40</v>
      </c>
      <c r="R75" s="500">
        <f t="shared" si="2"/>
        <v>3162</v>
      </c>
      <c r="S75" s="320"/>
      <c r="T75" s="320"/>
      <c r="U75" s="320"/>
      <c r="V75" s="320"/>
      <c r="W75" s="320"/>
      <c r="X75" s="320"/>
      <c r="Y75" s="320"/>
      <c r="Z75" s="320"/>
    </row>
    <row r="76" spans="1:26" s="1" customFormat="1" ht="27" customHeight="1" x14ac:dyDescent="0.2">
      <c r="A76" s="649"/>
      <c r="B76" s="593"/>
      <c r="C76" s="326" t="s">
        <v>351</v>
      </c>
      <c r="D76" s="324" t="s">
        <v>352</v>
      </c>
      <c r="E76" s="637"/>
      <c r="F76" s="506" t="s">
        <v>353</v>
      </c>
      <c r="G76" s="516" t="s">
        <v>99</v>
      </c>
      <c r="H76" s="516"/>
      <c r="I76" s="516" t="s">
        <v>267</v>
      </c>
      <c r="J76" s="504">
        <v>4574</v>
      </c>
      <c r="K76" s="505">
        <v>11374</v>
      </c>
      <c r="L76" s="506">
        <v>799</v>
      </c>
      <c r="M76" s="506">
        <v>14</v>
      </c>
      <c r="N76" s="504">
        <v>5057</v>
      </c>
      <c r="O76" s="517">
        <v>3810</v>
      </c>
      <c r="P76" s="519">
        <v>10870</v>
      </c>
      <c r="Q76" s="546">
        <v>235</v>
      </c>
      <c r="R76" s="500">
        <f t="shared" si="2"/>
        <v>36733</v>
      </c>
      <c r="S76" s="320"/>
      <c r="T76" s="320"/>
      <c r="U76" s="320"/>
      <c r="V76" s="320"/>
      <c r="W76" s="320"/>
      <c r="X76" s="320"/>
      <c r="Y76" s="320"/>
      <c r="Z76" s="320"/>
    </row>
    <row r="77" spans="1:26" s="1" customFormat="1" ht="12.75" customHeight="1" x14ac:dyDescent="0.2">
      <c r="A77" s="649"/>
      <c r="B77" s="593"/>
      <c r="C77" s="643" t="s">
        <v>354</v>
      </c>
      <c r="D77" s="324" t="s">
        <v>355</v>
      </c>
      <c r="E77" s="637"/>
      <c r="F77" s="506" t="s">
        <v>353</v>
      </c>
      <c r="G77" s="516" t="s">
        <v>99</v>
      </c>
      <c r="H77" s="516"/>
      <c r="I77" s="516" t="s">
        <v>267</v>
      </c>
      <c r="J77" s="504">
        <f>565+1092</f>
        <v>1657</v>
      </c>
      <c r="K77" s="505">
        <f>919+1645</f>
        <v>2564</v>
      </c>
      <c r="L77" s="506">
        <f>21+248</f>
        <v>269</v>
      </c>
      <c r="M77" s="506">
        <v>154</v>
      </c>
      <c r="N77" s="504">
        <f>40+2439</f>
        <v>2479</v>
      </c>
      <c r="O77" s="519">
        <f>259+661</f>
        <v>920</v>
      </c>
      <c r="P77" s="519">
        <v>432</v>
      </c>
      <c r="Q77" s="546">
        <v>65</v>
      </c>
      <c r="R77" s="500">
        <f t="shared" si="2"/>
        <v>8540</v>
      </c>
      <c r="S77" s="320"/>
      <c r="T77" s="320"/>
      <c r="U77" s="320"/>
      <c r="V77" s="320"/>
      <c r="W77" s="320"/>
      <c r="X77" s="320"/>
      <c r="Y77" s="320"/>
      <c r="Z77" s="320"/>
    </row>
    <row r="78" spans="1:26" s="1" customFormat="1" ht="12.75" customHeight="1" x14ac:dyDescent="0.2">
      <c r="A78" s="649"/>
      <c r="B78" s="593"/>
      <c r="C78" s="651"/>
      <c r="D78" s="324" t="s">
        <v>356</v>
      </c>
      <c r="E78" s="637"/>
      <c r="F78" s="506" t="s">
        <v>357</v>
      </c>
      <c r="G78" s="516" t="s">
        <v>99</v>
      </c>
      <c r="H78" s="516"/>
      <c r="I78" s="516" t="s">
        <v>267</v>
      </c>
      <c r="J78" s="506">
        <v>595</v>
      </c>
      <c r="K78" s="518">
        <v>581</v>
      </c>
      <c r="L78" s="506">
        <v>137</v>
      </c>
      <c r="M78" s="506">
        <v>60</v>
      </c>
      <c r="N78" s="504">
        <v>1153</v>
      </c>
      <c r="O78" s="519">
        <v>408</v>
      </c>
      <c r="P78" s="519">
        <v>358</v>
      </c>
      <c r="Q78" s="546">
        <v>204</v>
      </c>
      <c r="R78" s="500">
        <f t="shared" si="2"/>
        <v>3496</v>
      </c>
      <c r="S78" s="320"/>
      <c r="T78" s="320"/>
      <c r="U78" s="320"/>
      <c r="V78" s="320"/>
      <c r="W78" s="320"/>
      <c r="X78" s="320"/>
      <c r="Y78" s="320"/>
      <c r="Z78" s="320"/>
    </row>
    <row r="79" spans="1:26" s="1" customFormat="1" ht="12.75" customHeight="1" x14ac:dyDescent="0.2">
      <c r="A79" s="649"/>
      <c r="B79" s="593"/>
      <c r="C79" s="651"/>
      <c r="D79" s="324" t="s">
        <v>358</v>
      </c>
      <c r="E79" s="637"/>
      <c r="F79" s="506" t="s">
        <v>353</v>
      </c>
      <c r="G79" s="516" t="s">
        <v>99</v>
      </c>
      <c r="H79" s="516"/>
      <c r="I79" s="516" t="s">
        <v>267</v>
      </c>
      <c r="J79" s="506">
        <v>660</v>
      </c>
      <c r="K79" s="518">
        <v>402</v>
      </c>
      <c r="L79" s="506">
        <v>915</v>
      </c>
      <c r="M79" s="504">
        <v>1399</v>
      </c>
      <c r="N79" s="506">
        <v>83</v>
      </c>
      <c r="O79" s="519">
        <v>275</v>
      </c>
      <c r="P79" s="519">
        <v>232</v>
      </c>
      <c r="Q79" s="547">
        <v>3646</v>
      </c>
      <c r="R79" s="500">
        <f t="shared" si="2"/>
        <v>7612</v>
      </c>
      <c r="S79" s="320"/>
      <c r="T79" s="320"/>
      <c r="U79" s="320"/>
      <c r="V79" s="320"/>
      <c r="W79" s="320"/>
      <c r="X79" s="320"/>
      <c r="Y79" s="320"/>
      <c r="Z79" s="320"/>
    </row>
    <row r="80" spans="1:26" s="1" customFormat="1" ht="12.75" customHeight="1" x14ac:dyDescent="0.2">
      <c r="A80" s="649"/>
      <c r="B80" s="593"/>
      <c r="C80" s="651"/>
      <c r="D80" s="324" t="s">
        <v>359</v>
      </c>
      <c r="E80" s="637"/>
      <c r="F80" s="504">
        <v>2017</v>
      </c>
      <c r="G80" s="516" t="s">
        <v>281</v>
      </c>
      <c r="H80" s="516"/>
      <c r="I80" s="516" t="s">
        <v>267</v>
      </c>
      <c r="J80" s="504">
        <v>1842</v>
      </c>
      <c r="K80" s="518">
        <v>401</v>
      </c>
      <c r="L80" s="506" t="s">
        <v>63</v>
      </c>
      <c r="M80" s="506">
        <v>78</v>
      </c>
      <c r="N80" s="506">
        <v>215</v>
      </c>
      <c r="O80" s="519">
        <v>453</v>
      </c>
      <c r="P80" s="519">
        <v>33</v>
      </c>
      <c r="Q80" s="547">
        <v>51076</v>
      </c>
      <c r="R80" s="500">
        <f t="shared" si="2"/>
        <v>54098</v>
      </c>
      <c r="S80" s="320"/>
      <c r="T80" s="320"/>
      <c r="U80" s="320"/>
      <c r="V80" s="320"/>
      <c r="W80" s="320"/>
      <c r="X80" s="320"/>
      <c r="Y80" s="320"/>
      <c r="Z80" s="320"/>
    </row>
    <row r="81" spans="1:26" s="1" customFormat="1" ht="12.75" customHeight="1" x14ac:dyDescent="0.2">
      <c r="A81" s="649"/>
      <c r="B81" s="593"/>
      <c r="C81" s="651"/>
      <c r="D81" s="324" t="s">
        <v>360</v>
      </c>
      <c r="E81" s="637"/>
      <c r="F81" s="506" t="s">
        <v>350</v>
      </c>
      <c r="G81" s="516" t="s">
        <v>281</v>
      </c>
      <c r="H81" s="516"/>
      <c r="I81" s="516" t="s">
        <v>267</v>
      </c>
      <c r="J81" s="506" t="s">
        <v>63</v>
      </c>
      <c r="K81" s="518" t="s">
        <v>63</v>
      </c>
      <c r="L81" s="506" t="s">
        <v>63</v>
      </c>
      <c r="M81" s="506" t="s">
        <v>63</v>
      </c>
      <c r="N81" s="506">
        <v>32</v>
      </c>
      <c r="O81" s="519">
        <v>370</v>
      </c>
      <c r="P81" s="519">
        <v>780</v>
      </c>
      <c r="Q81" s="546">
        <v>3</v>
      </c>
      <c r="R81" s="500">
        <f t="shared" si="2"/>
        <v>1185</v>
      </c>
      <c r="S81" s="320"/>
      <c r="T81" s="320"/>
      <c r="U81" s="320"/>
      <c r="V81" s="320"/>
      <c r="W81" s="320"/>
      <c r="X81" s="320"/>
      <c r="Y81" s="320"/>
      <c r="Z81" s="320"/>
    </row>
    <row r="82" spans="1:26" s="1" customFormat="1" ht="12.75" customHeight="1" x14ac:dyDescent="0.2">
      <c r="A82" s="650"/>
      <c r="B82" s="594"/>
      <c r="C82" s="617"/>
      <c r="D82" s="324" t="s">
        <v>361</v>
      </c>
      <c r="E82" s="638"/>
      <c r="F82" s="504">
        <v>2023</v>
      </c>
      <c r="G82" s="516" t="s">
        <v>281</v>
      </c>
      <c r="H82" s="516"/>
      <c r="I82" s="516" t="s">
        <v>267</v>
      </c>
      <c r="J82" s="506" t="s">
        <v>63</v>
      </c>
      <c r="K82" s="518" t="s">
        <v>63</v>
      </c>
      <c r="L82" s="506" t="s">
        <v>63</v>
      </c>
      <c r="M82" s="506" t="s">
        <v>63</v>
      </c>
      <c r="N82" s="506" t="s">
        <v>63</v>
      </c>
      <c r="O82" s="517">
        <v>1080</v>
      </c>
      <c r="P82" s="519">
        <v>376</v>
      </c>
      <c r="Q82" s="546"/>
      <c r="R82" s="500">
        <f t="shared" si="2"/>
        <v>1456</v>
      </c>
      <c r="S82" s="320"/>
      <c r="T82" s="320"/>
      <c r="U82" s="320"/>
      <c r="V82" s="320"/>
      <c r="W82" s="320"/>
      <c r="X82" s="320"/>
      <c r="Y82" s="320"/>
      <c r="Z82" s="320"/>
    </row>
    <row r="83" spans="1:26" s="1" customFormat="1" ht="12.75" customHeight="1" x14ac:dyDescent="0.2">
      <c r="A83" s="589">
        <v>11</v>
      </c>
      <c r="B83" s="592" t="s">
        <v>362</v>
      </c>
      <c r="C83" s="643" t="s">
        <v>363</v>
      </c>
      <c r="D83" s="324" t="s">
        <v>639</v>
      </c>
      <c r="E83" s="605" t="s">
        <v>364</v>
      </c>
      <c r="F83" s="504">
        <v>2020</v>
      </c>
      <c r="G83" s="516" t="s">
        <v>99</v>
      </c>
      <c r="H83" s="516" t="s">
        <v>99</v>
      </c>
      <c r="I83" s="516" t="s">
        <v>267</v>
      </c>
      <c r="J83" s="506">
        <v>3</v>
      </c>
      <c r="K83" s="518">
        <v>8</v>
      </c>
      <c r="L83" s="506">
        <v>11</v>
      </c>
      <c r="M83" s="506">
        <v>14</v>
      </c>
      <c r="N83" s="506">
        <v>15</v>
      </c>
      <c r="O83" s="519">
        <v>74</v>
      </c>
      <c r="P83" s="519"/>
      <c r="Q83" s="519">
        <v>204</v>
      </c>
      <c r="R83" s="500">
        <f t="shared" si="2"/>
        <v>329</v>
      </c>
      <c r="S83" s="320"/>
      <c r="T83" s="320"/>
      <c r="U83" s="320"/>
      <c r="V83" s="320"/>
      <c r="W83" s="320"/>
      <c r="X83" s="320"/>
      <c r="Y83" s="320"/>
      <c r="Z83" s="320"/>
    </row>
    <row r="84" spans="1:26" s="1" customFormat="1" ht="12.75" customHeight="1" x14ac:dyDescent="0.2">
      <c r="A84" s="590"/>
      <c r="B84" s="593"/>
      <c r="C84" s="617"/>
      <c r="D84" s="324" t="s">
        <v>337</v>
      </c>
      <c r="E84" s="644"/>
      <c r="F84" s="504">
        <v>2014</v>
      </c>
      <c r="G84" s="516" t="s">
        <v>99</v>
      </c>
      <c r="H84" s="516" t="s">
        <v>99</v>
      </c>
      <c r="I84" s="516" t="s">
        <v>267</v>
      </c>
      <c r="J84" s="504">
        <v>3001</v>
      </c>
      <c r="K84" s="506">
        <v>460</v>
      </c>
      <c r="L84" s="504">
        <v>5902</v>
      </c>
      <c r="M84" s="504">
        <v>4844</v>
      </c>
      <c r="N84" s="504">
        <v>13978</v>
      </c>
      <c r="O84" s="517">
        <v>5062</v>
      </c>
      <c r="P84" s="517">
        <v>9376</v>
      </c>
      <c r="Q84" s="517">
        <v>3646</v>
      </c>
      <c r="R84" s="500">
        <f t="shared" si="2"/>
        <v>46269</v>
      </c>
      <c r="S84" s="320"/>
      <c r="T84" s="320"/>
      <c r="U84" s="320"/>
      <c r="V84" s="320"/>
      <c r="W84" s="320"/>
      <c r="X84" s="320"/>
      <c r="Y84" s="320"/>
      <c r="Z84" s="320"/>
    </row>
    <row r="85" spans="1:26" s="1" customFormat="1" ht="12.75" customHeight="1" x14ac:dyDescent="0.2">
      <c r="A85" s="591"/>
      <c r="B85" s="594"/>
      <c r="C85" s="326" t="s">
        <v>365</v>
      </c>
      <c r="D85" s="324" t="s">
        <v>783</v>
      </c>
      <c r="E85" s="645"/>
      <c r="F85" s="504">
        <v>2023</v>
      </c>
      <c r="G85" s="516" t="s">
        <v>63</v>
      </c>
      <c r="H85" s="516" t="s">
        <v>99</v>
      </c>
      <c r="I85" s="516" t="s">
        <v>267</v>
      </c>
      <c r="J85" s="506" t="s">
        <v>63</v>
      </c>
      <c r="K85" s="518" t="s">
        <v>63</v>
      </c>
      <c r="L85" s="506" t="s">
        <v>63</v>
      </c>
      <c r="M85" s="506" t="s">
        <v>63</v>
      </c>
      <c r="N85" s="506" t="s">
        <v>63</v>
      </c>
      <c r="O85" s="517"/>
      <c r="P85" s="517"/>
      <c r="Q85" s="517">
        <v>51076</v>
      </c>
      <c r="R85" s="500">
        <f t="shared" si="2"/>
        <v>51076</v>
      </c>
      <c r="S85" s="320"/>
      <c r="T85" s="320"/>
      <c r="U85" s="320"/>
      <c r="V85" s="320"/>
      <c r="W85" s="320"/>
      <c r="X85" s="320"/>
      <c r="Y85" s="320"/>
      <c r="Z85" s="320"/>
    </row>
    <row r="86" spans="1:26" s="1" customFormat="1" ht="12.75" customHeight="1" x14ac:dyDescent="0.2">
      <c r="A86" s="589">
        <v>12</v>
      </c>
      <c r="B86" s="592" t="s">
        <v>366</v>
      </c>
      <c r="C86" s="595" t="s">
        <v>367</v>
      </c>
      <c r="D86" s="324" t="s">
        <v>784</v>
      </c>
      <c r="E86" s="598" t="s">
        <v>368</v>
      </c>
      <c r="F86" s="522">
        <v>2020</v>
      </c>
      <c r="G86" s="516" t="s">
        <v>99</v>
      </c>
      <c r="H86" s="516" t="s">
        <v>99</v>
      </c>
      <c r="I86" s="516" t="s">
        <v>267</v>
      </c>
      <c r="J86" s="506" t="s">
        <v>63</v>
      </c>
      <c r="K86" s="506" t="s">
        <v>63</v>
      </c>
      <c r="L86" s="506" t="s">
        <v>63</v>
      </c>
      <c r="M86" s="506">
        <v>26</v>
      </c>
      <c r="N86" s="506">
        <v>299</v>
      </c>
      <c r="O86" s="519">
        <v>106</v>
      </c>
      <c r="P86" s="519">
        <v>68</v>
      </c>
      <c r="Q86" s="519">
        <v>3</v>
      </c>
      <c r="R86" s="500">
        <f t="shared" si="2"/>
        <v>502</v>
      </c>
      <c r="S86" s="320"/>
      <c r="T86" s="320"/>
      <c r="U86" s="320"/>
      <c r="V86" s="320"/>
      <c r="W86" s="320"/>
      <c r="X86" s="320"/>
      <c r="Y86" s="320"/>
      <c r="Z86" s="320"/>
    </row>
    <row r="87" spans="1:26" s="1" customFormat="1" ht="12.75" customHeight="1" x14ac:dyDescent="0.2">
      <c r="A87" s="590"/>
      <c r="B87" s="593"/>
      <c r="C87" s="596"/>
      <c r="D87" s="324" t="s">
        <v>369</v>
      </c>
      <c r="E87" s="599"/>
      <c r="F87" s="522">
        <v>2023</v>
      </c>
      <c r="G87" s="516" t="s">
        <v>99</v>
      </c>
      <c r="H87" s="516" t="s">
        <v>99</v>
      </c>
      <c r="I87" s="516" t="s">
        <v>267</v>
      </c>
      <c r="J87" s="506" t="s">
        <v>63</v>
      </c>
      <c r="K87" s="506" t="s">
        <v>63</v>
      </c>
      <c r="L87" s="506" t="s">
        <v>63</v>
      </c>
      <c r="M87" s="506" t="s">
        <v>63</v>
      </c>
      <c r="N87" s="506" t="s">
        <v>63</v>
      </c>
      <c r="O87" s="519">
        <v>18</v>
      </c>
      <c r="P87" s="519">
        <v>9259</v>
      </c>
      <c r="Q87" s="519"/>
      <c r="R87" s="500">
        <f t="shared" si="2"/>
        <v>9277</v>
      </c>
      <c r="S87" s="320"/>
      <c r="T87" s="320"/>
      <c r="U87" s="320"/>
      <c r="V87" s="320"/>
      <c r="W87" s="320"/>
      <c r="X87" s="320"/>
      <c r="Y87" s="320"/>
      <c r="Z87" s="320"/>
    </row>
    <row r="88" spans="1:26" s="1" customFormat="1" ht="12.75" customHeight="1" x14ac:dyDescent="0.2">
      <c r="A88" s="590"/>
      <c r="B88" s="593"/>
      <c r="C88" s="596"/>
      <c r="D88" s="324" t="s">
        <v>640</v>
      </c>
      <c r="E88" s="599"/>
      <c r="F88" s="522">
        <v>2023</v>
      </c>
      <c r="G88" s="516" t="s">
        <v>99</v>
      </c>
      <c r="H88" s="516" t="s">
        <v>99</v>
      </c>
      <c r="I88" s="516" t="s">
        <v>267</v>
      </c>
      <c r="J88" s="506" t="s">
        <v>63</v>
      </c>
      <c r="K88" s="506" t="s">
        <v>63</v>
      </c>
      <c r="L88" s="506" t="s">
        <v>63</v>
      </c>
      <c r="M88" s="506" t="s">
        <v>63</v>
      </c>
      <c r="N88" s="506" t="s">
        <v>63</v>
      </c>
      <c r="O88" s="519">
        <v>5</v>
      </c>
      <c r="P88" s="519">
        <v>1576</v>
      </c>
      <c r="Q88" s="519">
        <v>819</v>
      </c>
      <c r="R88" s="500">
        <f t="shared" si="2"/>
        <v>2400</v>
      </c>
      <c r="S88" s="320"/>
      <c r="T88" s="320"/>
      <c r="U88" s="320"/>
      <c r="V88" s="320"/>
      <c r="W88" s="320"/>
      <c r="X88" s="320"/>
      <c r="Y88" s="320"/>
      <c r="Z88" s="320"/>
    </row>
    <row r="89" spans="1:26" s="1" customFormat="1" ht="24" customHeight="1" x14ac:dyDescent="0.2">
      <c r="A89" s="590"/>
      <c r="B89" s="593"/>
      <c r="C89" s="596"/>
      <c r="D89" s="324" t="s">
        <v>370</v>
      </c>
      <c r="E89" s="599"/>
      <c r="F89" s="522">
        <v>2023</v>
      </c>
      <c r="G89" s="516"/>
      <c r="H89" s="516" t="s">
        <v>99</v>
      </c>
      <c r="I89" s="516" t="s">
        <v>267</v>
      </c>
      <c r="J89" s="506" t="s">
        <v>63</v>
      </c>
      <c r="K89" s="506" t="s">
        <v>63</v>
      </c>
      <c r="L89" s="506" t="s">
        <v>63</v>
      </c>
      <c r="M89" s="506" t="s">
        <v>63</v>
      </c>
      <c r="N89" s="506" t="s">
        <v>63</v>
      </c>
      <c r="O89" s="519">
        <v>2</v>
      </c>
      <c r="P89" s="519">
        <v>6679</v>
      </c>
      <c r="Q89" s="519"/>
      <c r="R89" s="500">
        <f t="shared" ref="R89:R96" si="3">+SUM(J89:Q89)</f>
        <v>6681</v>
      </c>
      <c r="S89" s="320"/>
      <c r="T89" s="320"/>
      <c r="U89" s="320"/>
      <c r="V89" s="320"/>
      <c r="W89" s="320"/>
      <c r="X89" s="320"/>
      <c r="Y89" s="320"/>
      <c r="Z89" s="320"/>
    </row>
    <row r="90" spans="1:26" s="1" customFormat="1" ht="24" customHeight="1" x14ac:dyDescent="0.2">
      <c r="A90" s="590"/>
      <c r="B90" s="593"/>
      <c r="C90" s="596"/>
      <c r="D90" s="324" t="s">
        <v>641</v>
      </c>
      <c r="E90" s="599"/>
      <c r="F90" s="522">
        <v>2024</v>
      </c>
      <c r="G90" s="527" t="s">
        <v>99</v>
      </c>
      <c r="H90" s="527" t="s">
        <v>99</v>
      </c>
      <c r="I90" s="516" t="s">
        <v>267</v>
      </c>
      <c r="J90" s="528"/>
      <c r="K90" s="528"/>
      <c r="L90" s="528"/>
      <c r="M90" s="528"/>
      <c r="N90" s="528"/>
      <c r="O90" s="548"/>
      <c r="P90" s="548"/>
      <c r="Q90" s="548">
        <v>8</v>
      </c>
      <c r="R90" s="500">
        <f t="shared" si="3"/>
        <v>8</v>
      </c>
      <c r="S90" s="320"/>
      <c r="T90" s="320"/>
      <c r="U90" s="320"/>
      <c r="V90" s="320"/>
      <c r="W90" s="320"/>
      <c r="X90" s="320"/>
      <c r="Y90" s="320"/>
      <c r="Z90" s="320"/>
    </row>
    <row r="91" spans="1:26" s="1" customFormat="1" ht="24" customHeight="1" x14ac:dyDescent="0.2">
      <c r="A91" s="590"/>
      <c r="B91" s="593"/>
      <c r="C91" s="596"/>
      <c r="D91" s="324" t="s">
        <v>642</v>
      </c>
      <c r="E91" s="599"/>
      <c r="F91" s="522">
        <v>2024</v>
      </c>
      <c r="G91" s="527" t="s">
        <v>99</v>
      </c>
      <c r="H91" s="527" t="s">
        <v>99</v>
      </c>
      <c r="I91" s="516" t="s">
        <v>267</v>
      </c>
      <c r="J91" s="528"/>
      <c r="K91" s="528"/>
      <c r="L91" s="528"/>
      <c r="M91" s="528"/>
      <c r="N91" s="528"/>
      <c r="O91" s="548"/>
      <c r="P91" s="548"/>
      <c r="Q91" s="548">
        <v>1</v>
      </c>
      <c r="R91" s="500">
        <f t="shared" si="3"/>
        <v>1</v>
      </c>
      <c r="S91" s="320"/>
      <c r="T91" s="320"/>
      <c r="U91" s="320"/>
      <c r="V91" s="320"/>
      <c r="W91" s="320"/>
      <c r="X91" s="320"/>
      <c r="Y91" s="320"/>
      <c r="Z91" s="320"/>
    </row>
    <row r="92" spans="1:26" s="1" customFormat="1" ht="24" customHeight="1" x14ac:dyDescent="0.2">
      <c r="A92" s="590"/>
      <c r="B92" s="593"/>
      <c r="C92" s="596"/>
      <c r="D92" s="324" t="s">
        <v>643</v>
      </c>
      <c r="E92" s="599"/>
      <c r="F92" s="522">
        <v>2024</v>
      </c>
      <c r="G92" s="527" t="s">
        <v>99</v>
      </c>
      <c r="H92" s="527" t="s">
        <v>99</v>
      </c>
      <c r="I92" s="516" t="s">
        <v>267</v>
      </c>
      <c r="J92" s="528"/>
      <c r="K92" s="528"/>
      <c r="L92" s="528"/>
      <c r="M92" s="528"/>
      <c r="N92" s="528"/>
      <c r="O92" s="548"/>
      <c r="P92" s="548"/>
      <c r="Q92" s="548">
        <v>16</v>
      </c>
      <c r="R92" s="500">
        <f t="shared" si="3"/>
        <v>16</v>
      </c>
      <c r="S92" s="320"/>
      <c r="T92" s="320"/>
      <c r="U92" s="320"/>
      <c r="V92" s="320"/>
      <c r="W92" s="320"/>
      <c r="X92" s="320"/>
      <c r="Y92" s="320"/>
      <c r="Z92" s="320"/>
    </row>
    <row r="93" spans="1:26" s="1" customFormat="1" ht="24" customHeight="1" x14ac:dyDescent="0.2">
      <c r="A93" s="590"/>
      <c r="B93" s="593"/>
      <c r="C93" s="596"/>
      <c r="D93" s="324" t="s">
        <v>644</v>
      </c>
      <c r="E93" s="599"/>
      <c r="F93" s="522">
        <v>2024</v>
      </c>
      <c r="G93" s="527" t="s">
        <v>99</v>
      </c>
      <c r="H93" s="527" t="s">
        <v>99</v>
      </c>
      <c r="I93" s="516" t="s">
        <v>267</v>
      </c>
      <c r="J93" s="528"/>
      <c r="K93" s="528"/>
      <c r="L93" s="528"/>
      <c r="M93" s="528"/>
      <c r="N93" s="528"/>
      <c r="O93" s="548"/>
      <c r="P93" s="548"/>
      <c r="Q93" s="548">
        <v>1</v>
      </c>
      <c r="R93" s="500">
        <f t="shared" si="3"/>
        <v>1</v>
      </c>
      <c r="S93" s="320"/>
      <c r="T93" s="320"/>
      <c r="U93" s="320"/>
      <c r="V93" s="320"/>
      <c r="W93" s="320"/>
      <c r="X93" s="320"/>
      <c r="Y93" s="320"/>
      <c r="Z93" s="320"/>
    </row>
    <row r="94" spans="1:26" s="1" customFormat="1" ht="24" customHeight="1" x14ac:dyDescent="0.2">
      <c r="A94" s="590"/>
      <c r="B94" s="593"/>
      <c r="C94" s="596"/>
      <c r="D94" s="324" t="s">
        <v>645</v>
      </c>
      <c r="E94" s="599"/>
      <c r="F94" s="522">
        <v>2024</v>
      </c>
      <c r="G94" s="527"/>
      <c r="H94" s="527" t="s">
        <v>99</v>
      </c>
      <c r="I94" s="516" t="s">
        <v>267</v>
      </c>
      <c r="J94" s="528"/>
      <c r="K94" s="528"/>
      <c r="L94" s="528"/>
      <c r="M94" s="528"/>
      <c r="N94" s="528"/>
      <c r="O94" s="548"/>
      <c r="P94" s="548"/>
      <c r="Q94" s="548">
        <v>77</v>
      </c>
      <c r="R94" s="500">
        <f t="shared" si="3"/>
        <v>77</v>
      </c>
      <c r="S94" s="320"/>
      <c r="T94" s="320"/>
      <c r="U94" s="320"/>
      <c r="V94" s="320"/>
      <c r="W94" s="320"/>
      <c r="X94" s="320"/>
      <c r="Y94" s="320"/>
      <c r="Z94" s="320"/>
    </row>
    <row r="95" spans="1:26" s="1" customFormat="1" ht="24" customHeight="1" x14ac:dyDescent="0.2">
      <c r="A95" s="590"/>
      <c r="B95" s="593"/>
      <c r="C95" s="596"/>
      <c r="D95" s="324" t="s">
        <v>785</v>
      </c>
      <c r="E95" s="599"/>
      <c r="F95" s="522"/>
      <c r="G95" s="527"/>
      <c r="H95" s="527"/>
      <c r="I95" s="516"/>
      <c r="J95" s="528"/>
      <c r="K95" s="528"/>
      <c r="L95" s="528"/>
      <c r="M95" s="528"/>
      <c r="N95" s="528"/>
      <c r="O95" s="548"/>
      <c r="P95" s="548"/>
      <c r="Q95" s="548">
        <v>4</v>
      </c>
      <c r="R95" s="500">
        <f t="shared" si="3"/>
        <v>4</v>
      </c>
      <c r="S95" s="320"/>
      <c r="T95" s="320"/>
      <c r="U95" s="320"/>
      <c r="V95" s="320"/>
      <c r="W95" s="320"/>
      <c r="X95" s="320"/>
      <c r="Y95" s="320"/>
      <c r="Z95" s="320"/>
    </row>
    <row r="96" spans="1:26" s="1" customFormat="1" ht="24" customHeight="1" x14ac:dyDescent="0.2">
      <c r="A96" s="591"/>
      <c r="B96" s="594"/>
      <c r="C96" s="597"/>
      <c r="D96" s="324" t="s">
        <v>646</v>
      </c>
      <c r="E96" s="600"/>
      <c r="F96" s="504">
        <v>2009</v>
      </c>
      <c r="G96" s="516" t="s">
        <v>99</v>
      </c>
      <c r="H96" s="516" t="s">
        <v>281</v>
      </c>
      <c r="I96" s="503" t="s">
        <v>282</v>
      </c>
      <c r="J96" s="506">
        <v>339</v>
      </c>
      <c r="K96" s="518">
        <v>79</v>
      </c>
      <c r="L96" s="506">
        <v>11</v>
      </c>
      <c r="M96" s="506">
        <v>21</v>
      </c>
      <c r="N96" s="506">
        <v>425</v>
      </c>
      <c r="O96" s="507">
        <v>111</v>
      </c>
      <c r="P96" s="507">
        <v>2</v>
      </c>
      <c r="Q96" s="548">
        <v>11</v>
      </c>
      <c r="R96" s="500">
        <f t="shared" si="3"/>
        <v>999</v>
      </c>
      <c r="S96" s="320"/>
      <c r="T96" s="320"/>
      <c r="U96" s="320"/>
      <c r="V96" s="320"/>
      <c r="W96" s="320"/>
      <c r="X96" s="320"/>
      <c r="Y96" s="320"/>
      <c r="Z96" s="320"/>
    </row>
    <row r="97" spans="1:27" s="1" customFormat="1" ht="12.75" customHeight="1" x14ac:dyDescent="0.2">
      <c r="A97" s="327" t="s">
        <v>49</v>
      </c>
      <c r="B97" s="328"/>
      <c r="C97" s="327"/>
      <c r="D97" s="328"/>
      <c r="E97" s="549"/>
      <c r="F97" s="550" t="s">
        <v>371</v>
      </c>
      <c r="G97" s="551"/>
      <c r="H97" s="551"/>
      <c r="I97" s="551" t="s">
        <v>63</v>
      </c>
      <c r="J97" s="552">
        <f t="shared" ref="J97:R97" si="4">+SUM(J24:J96)</f>
        <v>2019591</v>
      </c>
      <c r="K97" s="552">
        <f t="shared" si="4"/>
        <v>2036094</v>
      </c>
      <c r="L97" s="552">
        <f t="shared" si="4"/>
        <v>1147493</v>
      </c>
      <c r="M97" s="552">
        <f t="shared" si="4"/>
        <v>1388043</v>
      </c>
      <c r="N97" s="552">
        <f t="shared" si="4"/>
        <v>1380851</v>
      </c>
      <c r="O97" s="552">
        <f t="shared" si="4"/>
        <v>1218591</v>
      </c>
      <c r="P97" s="552">
        <f t="shared" si="4"/>
        <v>4235517</v>
      </c>
      <c r="Q97" s="552">
        <f t="shared" si="4"/>
        <v>1172354</v>
      </c>
      <c r="R97" s="552">
        <f t="shared" si="4"/>
        <v>14598534</v>
      </c>
      <c r="S97" s="320"/>
      <c r="T97" s="320"/>
      <c r="U97" s="320"/>
      <c r="V97" s="320"/>
      <c r="W97" s="320"/>
      <c r="X97" s="320"/>
      <c r="Y97" s="320"/>
      <c r="Z97" s="320"/>
    </row>
    <row r="98" spans="1:27" s="1" customFormat="1" ht="12.75" customHeight="1" x14ac:dyDescent="0.2">
      <c r="A98" s="327"/>
      <c r="B98" s="328"/>
      <c r="C98" s="327"/>
      <c r="D98" s="328"/>
      <c r="E98" s="549"/>
      <c r="F98" s="553" t="s">
        <v>372</v>
      </c>
      <c r="G98" s="554">
        <f>+COUNTIF(G24:G96,"x")</f>
        <v>47</v>
      </c>
      <c r="H98" s="554">
        <f>+COUNTIF(H24:H96,"x")</f>
        <v>36</v>
      </c>
      <c r="I98" s="555">
        <f>+COUNTIF(I24:I89,"&gt;1")</f>
        <v>0</v>
      </c>
      <c r="J98" s="555">
        <f t="shared" ref="J98:R98" si="5">+COUNTIF(J24:J96,"&gt;1")</f>
        <v>26</v>
      </c>
      <c r="K98" s="555">
        <f t="shared" si="5"/>
        <v>26</v>
      </c>
      <c r="L98" s="555">
        <f t="shared" si="5"/>
        <v>22</v>
      </c>
      <c r="M98" s="555">
        <f t="shared" si="5"/>
        <v>23</v>
      </c>
      <c r="N98" s="555">
        <f t="shared" si="5"/>
        <v>30</v>
      </c>
      <c r="O98" s="555">
        <f t="shared" si="5"/>
        <v>61</v>
      </c>
      <c r="P98" s="555">
        <f t="shared" si="5"/>
        <v>61</v>
      </c>
      <c r="Q98" s="555">
        <f t="shared" si="5"/>
        <v>54</v>
      </c>
      <c r="R98" s="555">
        <f t="shared" si="5"/>
        <v>70</v>
      </c>
      <c r="S98" s="320"/>
      <c r="T98" s="320"/>
      <c r="U98" s="320"/>
      <c r="V98" s="320"/>
      <c r="W98" s="320"/>
      <c r="X98" s="320"/>
      <c r="Y98" s="320"/>
      <c r="Z98" s="320"/>
    </row>
    <row r="99" spans="1:27" ht="12.75" customHeight="1" x14ac:dyDescent="0.2">
      <c r="A99" s="160"/>
      <c r="B99" s="160"/>
      <c r="D99" s="160"/>
      <c r="F99" s="160"/>
      <c r="G99" s="160"/>
      <c r="H99" s="160"/>
      <c r="I99" s="160"/>
      <c r="J99" s="160"/>
      <c r="K99" s="160"/>
      <c r="L99" s="160"/>
      <c r="M99" s="160"/>
      <c r="N99" s="160"/>
      <c r="O99" s="160"/>
      <c r="P99" s="160"/>
      <c r="Q99" s="160"/>
      <c r="R99" s="160"/>
      <c r="S99" s="160"/>
      <c r="T99" s="160"/>
      <c r="U99" s="160"/>
      <c r="V99" s="160"/>
      <c r="W99" s="160"/>
      <c r="X99" s="160"/>
      <c r="Y99" s="160"/>
      <c r="Z99" s="160"/>
      <c r="AA99" s="160"/>
    </row>
    <row r="100" spans="1:27" ht="12.75" customHeight="1" x14ac:dyDescent="0.2">
      <c r="A100" s="160"/>
      <c r="B100" s="160"/>
      <c r="D100" s="160"/>
      <c r="F100" s="160"/>
      <c r="G100" s="160"/>
      <c r="H100" s="160"/>
      <c r="I100" s="160"/>
      <c r="J100" s="160"/>
      <c r="K100" s="160"/>
      <c r="L100" s="160"/>
      <c r="M100" s="160"/>
      <c r="N100" s="160"/>
      <c r="O100" s="160"/>
      <c r="P100" s="160"/>
      <c r="Q100" s="160"/>
      <c r="R100" s="160"/>
      <c r="S100" s="160"/>
      <c r="T100" s="160"/>
      <c r="U100" s="160"/>
      <c r="V100" s="160"/>
      <c r="W100" s="160"/>
      <c r="X100" s="160"/>
      <c r="Y100" s="160"/>
      <c r="Z100" s="160"/>
      <c r="AA100" s="160"/>
    </row>
    <row r="101" spans="1:27" ht="12.75" customHeight="1" x14ac:dyDescent="0.2">
      <c r="A101" s="160"/>
      <c r="B101" s="160"/>
      <c r="D101" s="160"/>
      <c r="F101" s="160"/>
      <c r="G101" s="160"/>
      <c r="H101" s="160"/>
      <c r="I101" s="160"/>
      <c r="J101" s="160"/>
      <c r="K101" s="160"/>
      <c r="L101" s="160"/>
      <c r="M101" s="160"/>
      <c r="N101" s="160"/>
      <c r="O101" s="160"/>
      <c r="P101" s="160"/>
      <c r="Q101" s="160"/>
      <c r="R101" s="160"/>
      <c r="S101" s="160"/>
      <c r="T101" s="160"/>
      <c r="U101" s="160"/>
      <c r="V101" s="160"/>
      <c r="W101" s="160"/>
      <c r="X101" s="160"/>
      <c r="Y101" s="160"/>
      <c r="Z101" s="160"/>
      <c r="AA101" s="160"/>
    </row>
    <row r="102" spans="1:27" ht="12.75" customHeight="1" x14ac:dyDescent="0.2">
      <c r="A102" s="160"/>
      <c r="B102" s="160"/>
      <c r="D102" s="160"/>
      <c r="F102" s="160"/>
      <c r="G102" s="160"/>
      <c r="H102" s="160"/>
      <c r="I102" s="160"/>
      <c r="J102" s="160"/>
      <c r="K102" s="160"/>
      <c r="L102" s="160"/>
      <c r="M102" s="160"/>
      <c r="N102" s="160"/>
      <c r="O102" s="160"/>
      <c r="P102" s="160"/>
      <c r="Q102" s="160"/>
      <c r="R102" s="160"/>
      <c r="S102" s="160"/>
      <c r="T102" s="160"/>
      <c r="U102" s="160"/>
      <c r="V102" s="160"/>
      <c r="W102" s="160"/>
      <c r="X102" s="160"/>
      <c r="Y102" s="160"/>
      <c r="Z102" s="160"/>
      <c r="AA102" s="160"/>
    </row>
    <row r="103" spans="1:27" ht="12.75" customHeight="1" x14ac:dyDescent="0.2">
      <c r="A103" s="160"/>
      <c r="B103" s="160"/>
      <c r="D103" s="160"/>
      <c r="F103" s="160"/>
      <c r="G103" s="160"/>
      <c r="H103" s="160"/>
      <c r="I103" s="160"/>
      <c r="J103" s="160"/>
      <c r="K103" s="160"/>
      <c r="L103" s="160"/>
      <c r="M103" s="160"/>
      <c r="N103" s="160"/>
      <c r="O103" s="160"/>
      <c r="P103" s="160"/>
      <c r="Q103" s="160"/>
      <c r="R103" s="160"/>
      <c r="S103" s="160"/>
      <c r="T103" s="160"/>
      <c r="U103" s="160"/>
      <c r="V103" s="160"/>
      <c r="W103" s="160"/>
      <c r="X103" s="160"/>
      <c r="Y103" s="160"/>
      <c r="Z103" s="160"/>
      <c r="AA103" s="160"/>
    </row>
    <row r="104" spans="1:27" ht="12.75" customHeight="1" x14ac:dyDescent="0.2">
      <c r="A104" s="160"/>
      <c r="B104" s="160"/>
      <c r="D104" s="160"/>
      <c r="F104" s="160"/>
      <c r="G104" s="160"/>
      <c r="H104" s="160"/>
      <c r="I104" s="160"/>
      <c r="J104" s="160"/>
      <c r="K104" s="160"/>
      <c r="L104" s="160"/>
      <c r="M104" s="160"/>
      <c r="N104" s="160"/>
      <c r="O104" s="160"/>
      <c r="P104" s="160"/>
      <c r="Q104" s="160"/>
      <c r="R104" s="160"/>
      <c r="S104" s="160"/>
      <c r="T104" s="160"/>
      <c r="U104" s="160"/>
      <c r="V104" s="160"/>
      <c r="W104" s="160"/>
      <c r="X104" s="160"/>
      <c r="Y104" s="160"/>
      <c r="Z104" s="160"/>
      <c r="AA104" s="160"/>
    </row>
    <row r="105" spans="1:27" ht="12.75" customHeight="1" x14ac:dyDescent="0.2">
      <c r="A105" s="160"/>
      <c r="B105" s="160"/>
      <c r="D105" s="160"/>
      <c r="F105" s="160"/>
      <c r="G105" s="160"/>
      <c r="H105" s="160"/>
      <c r="I105" s="160"/>
      <c r="J105" s="160"/>
      <c r="K105" s="160"/>
      <c r="L105" s="160"/>
      <c r="M105" s="160"/>
      <c r="N105" s="160"/>
      <c r="O105" s="160"/>
      <c r="P105" s="160"/>
      <c r="Q105" s="160"/>
      <c r="R105" s="160"/>
      <c r="S105" s="160"/>
      <c r="T105" s="160"/>
      <c r="U105" s="160"/>
      <c r="V105" s="160"/>
      <c r="W105" s="160"/>
      <c r="X105" s="160"/>
      <c r="Y105" s="160"/>
      <c r="Z105" s="160"/>
      <c r="AA105" s="160"/>
    </row>
    <row r="106" spans="1:27" ht="12.75" customHeight="1" x14ac:dyDescent="0.2">
      <c r="A106" s="160"/>
      <c r="B106" s="160"/>
      <c r="D106" s="160"/>
      <c r="F106" s="160"/>
      <c r="G106" s="160"/>
      <c r="H106" s="160"/>
      <c r="I106" s="160"/>
      <c r="J106" s="160"/>
      <c r="K106" s="160"/>
      <c r="L106" s="160"/>
      <c r="M106" s="160"/>
      <c r="N106" s="160"/>
      <c r="O106" s="160"/>
      <c r="P106" s="160"/>
      <c r="Q106" s="160"/>
      <c r="R106" s="160"/>
      <c r="S106" s="160"/>
      <c r="T106" s="160"/>
      <c r="U106" s="160"/>
      <c r="V106" s="160"/>
      <c r="W106" s="160"/>
      <c r="X106" s="160"/>
      <c r="Y106" s="160"/>
      <c r="Z106" s="160"/>
      <c r="AA106" s="160"/>
    </row>
    <row r="107" spans="1:27" ht="12.75" customHeight="1" x14ac:dyDescent="0.2">
      <c r="A107" s="160"/>
      <c r="B107" s="160"/>
      <c r="D107" s="160"/>
      <c r="F107" s="160"/>
      <c r="G107" s="160"/>
      <c r="H107" s="160"/>
      <c r="I107" s="160"/>
      <c r="J107" s="160"/>
      <c r="K107" s="160"/>
      <c r="L107" s="160"/>
      <c r="M107" s="160"/>
      <c r="N107" s="160"/>
      <c r="O107" s="160"/>
      <c r="P107" s="160"/>
      <c r="Q107" s="160"/>
      <c r="R107" s="160"/>
      <c r="S107" s="160"/>
      <c r="T107" s="160"/>
      <c r="U107" s="160"/>
      <c r="V107" s="160"/>
      <c r="W107" s="160"/>
      <c r="X107" s="160"/>
      <c r="Y107" s="160"/>
      <c r="Z107" s="160"/>
      <c r="AA107" s="160"/>
    </row>
    <row r="108" spans="1:27" ht="12.75" customHeight="1" x14ac:dyDescent="0.2">
      <c r="A108" s="160"/>
      <c r="B108" s="160"/>
      <c r="D108" s="160"/>
      <c r="F108" s="160"/>
      <c r="G108" s="160"/>
      <c r="H108" s="160"/>
      <c r="I108" s="160"/>
      <c r="J108" s="160"/>
      <c r="K108" s="160"/>
      <c r="L108" s="160"/>
      <c r="M108" s="160"/>
      <c r="N108" s="160"/>
      <c r="O108" s="160"/>
      <c r="P108" s="160"/>
      <c r="Q108" s="160"/>
      <c r="R108" s="160"/>
      <c r="S108" s="160"/>
      <c r="T108" s="160"/>
      <c r="U108" s="160"/>
      <c r="V108" s="160"/>
      <c r="W108" s="160"/>
      <c r="X108" s="160"/>
      <c r="Y108" s="160"/>
      <c r="Z108" s="160"/>
      <c r="AA108" s="160"/>
    </row>
    <row r="109" spans="1:27" ht="12.75" customHeight="1" x14ac:dyDescent="0.2">
      <c r="A109" s="160"/>
      <c r="B109" s="160"/>
      <c r="D109" s="160"/>
      <c r="F109" s="160"/>
      <c r="G109" s="160"/>
      <c r="H109" s="160"/>
      <c r="I109" s="160"/>
      <c r="J109" s="160"/>
      <c r="K109" s="160"/>
      <c r="L109" s="160"/>
      <c r="M109" s="160"/>
      <c r="N109" s="160"/>
      <c r="O109" s="160"/>
      <c r="P109" s="160"/>
      <c r="Q109" s="160"/>
      <c r="R109" s="160"/>
      <c r="S109" s="160"/>
      <c r="T109" s="160"/>
      <c r="U109" s="160"/>
      <c r="V109" s="160"/>
      <c r="W109" s="160"/>
      <c r="X109" s="160"/>
      <c r="Y109" s="160"/>
      <c r="Z109" s="160"/>
      <c r="AA109" s="160"/>
    </row>
    <row r="110" spans="1:27" ht="12.75" customHeight="1" x14ac:dyDescent="0.2">
      <c r="A110" s="160"/>
      <c r="B110" s="160"/>
      <c r="D110" s="160"/>
      <c r="F110" s="160"/>
      <c r="G110" s="160"/>
      <c r="H110" s="160"/>
      <c r="I110" s="160"/>
      <c r="J110" s="160"/>
      <c r="K110" s="160"/>
      <c r="L110" s="160"/>
      <c r="M110" s="160"/>
      <c r="N110" s="160"/>
      <c r="O110" s="160"/>
      <c r="P110" s="160"/>
      <c r="Q110" s="160"/>
      <c r="R110" s="160"/>
      <c r="S110" s="160"/>
      <c r="T110" s="160"/>
      <c r="U110" s="160"/>
      <c r="V110" s="160"/>
      <c r="W110" s="160"/>
      <c r="X110" s="160"/>
      <c r="Y110" s="160"/>
      <c r="Z110" s="160"/>
      <c r="AA110" s="160"/>
    </row>
    <row r="111" spans="1:27" ht="12.75" customHeight="1" x14ac:dyDescent="0.2">
      <c r="A111" s="160"/>
      <c r="B111" s="160"/>
      <c r="D111" s="160"/>
      <c r="F111" s="160"/>
      <c r="G111" s="160"/>
      <c r="H111" s="160"/>
      <c r="I111" s="160"/>
      <c r="J111" s="160"/>
      <c r="K111" s="160"/>
      <c r="L111" s="160"/>
      <c r="M111" s="160"/>
      <c r="N111" s="160"/>
      <c r="O111" s="160"/>
      <c r="P111" s="160"/>
      <c r="Q111" s="160"/>
      <c r="R111" s="160"/>
      <c r="S111" s="160"/>
      <c r="T111" s="160"/>
      <c r="U111" s="160"/>
      <c r="V111" s="160"/>
      <c r="W111" s="160"/>
      <c r="X111" s="160"/>
      <c r="Y111" s="160"/>
      <c r="Z111" s="160"/>
      <c r="AA111" s="160"/>
    </row>
    <row r="112" spans="1:27" ht="12.75" customHeight="1" x14ac:dyDescent="0.2">
      <c r="A112" s="160"/>
      <c r="B112" s="160"/>
      <c r="D112" s="160"/>
      <c r="F112" s="160"/>
      <c r="G112" s="160"/>
      <c r="H112" s="160"/>
      <c r="I112" s="160"/>
      <c r="J112" s="160"/>
      <c r="K112" s="160"/>
      <c r="L112" s="160"/>
      <c r="M112" s="160"/>
      <c r="N112" s="160"/>
      <c r="O112" s="160"/>
      <c r="P112" s="160"/>
      <c r="Q112" s="160"/>
      <c r="R112" s="160"/>
      <c r="S112" s="160"/>
      <c r="T112" s="160"/>
      <c r="U112" s="160"/>
      <c r="V112" s="160"/>
      <c r="W112" s="160"/>
      <c r="X112" s="160"/>
      <c r="Y112" s="160"/>
      <c r="Z112" s="160"/>
      <c r="AA112" s="160"/>
    </row>
    <row r="113" spans="1:27" ht="12.75" customHeight="1" x14ac:dyDescent="0.2">
      <c r="A113" s="160"/>
      <c r="B113" s="160"/>
      <c r="D113" s="160"/>
      <c r="F113" s="160"/>
      <c r="G113" s="160"/>
      <c r="H113" s="160"/>
      <c r="I113" s="160"/>
      <c r="J113" s="160"/>
      <c r="K113" s="160"/>
      <c r="L113" s="160"/>
      <c r="M113" s="160"/>
      <c r="N113" s="160"/>
      <c r="O113" s="160"/>
      <c r="P113" s="160"/>
      <c r="Q113" s="160"/>
      <c r="R113" s="160"/>
      <c r="S113" s="160"/>
      <c r="T113" s="160"/>
      <c r="U113" s="160"/>
      <c r="V113" s="160"/>
      <c r="W113" s="160"/>
      <c r="X113" s="160"/>
      <c r="Y113" s="160"/>
      <c r="Z113" s="160"/>
      <c r="AA113" s="160"/>
    </row>
    <row r="114" spans="1:27" ht="12.75" customHeight="1" x14ac:dyDescent="0.2">
      <c r="A114" s="160"/>
      <c r="B114" s="160"/>
      <c r="D114" s="160"/>
      <c r="F114" s="160"/>
      <c r="G114" s="160"/>
      <c r="H114" s="160"/>
      <c r="I114" s="160"/>
      <c r="J114" s="160"/>
      <c r="K114" s="160"/>
      <c r="L114" s="160"/>
      <c r="M114" s="160"/>
      <c r="N114" s="160"/>
      <c r="O114" s="160"/>
      <c r="P114" s="160"/>
      <c r="Q114" s="160"/>
      <c r="R114" s="160"/>
      <c r="S114" s="160"/>
      <c r="T114" s="160"/>
      <c r="U114" s="160"/>
      <c r="V114" s="160"/>
      <c r="W114" s="160"/>
      <c r="X114" s="160"/>
      <c r="Y114" s="160"/>
      <c r="Z114" s="160"/>
      <c r="AA114" s="160"/>
    </row>
    <row r="115" spans="1:27" ht="12.75" customHeight="1" x14ac:dyDescent="0.2">
      <c r="A115" s="160"/>
      <c r="B115" s="160"/>
      <c r="D115" s="160"/>
      <c r="F115" s="160"/>
      <c r="G115" s="160"/>
      <c r="H115" s="160"/>
      <c r="I115" s="160"/>
      <c r="J115" s="160"/>
      <c r="K115" s="160"/>
      <c r="L115" s="160"/>
      <c r="M115" s="160"/>
      <c r="N115" s="160"/>
      <c r="O115" s="160"/>
      <c r="P115" s="160"/>
      <c r="Q115" s="160"/>
      <c r="R115" s="160"/>
      <c r="S115" s="160"/>
      <c r="T115" s="160"/>
      <c r="U115" s="160"/>
      <c r="V115" s="160"/>
      <c r="W115" s="160"/>
      <c r="X115" s="160"/>
      <c r="Y115" s="160"/>
      <c r="Z115" s="160"/>
      <c r="AA115" s="160"/>
    </row>
    <row r="116" spans="1:27" ht="12.75" customHeight="1" x14ac:dyDescent="0.2">
      <c r="A116" s="160"/>
      <c r="B116" s="160"/>
      <c r="D116" s="160"/>
      <c r="F116" s="160"/>
      <c r="G116" s="160"/>
      <c r="H116" s="160"/>
      <c r="I116" s="160"/>
      <c r="J116" s="160"/>
      <c r="K116" s="160"/>
      <c r="L116" s="160"/>
      <c r="M116" s="160"/>
      <c r="N116" s="160"/>
      <c r="O116" s="160"/>
      <c r="P116" s="160"/>
      <c r="Q116" s="160"/>
      <c r="R116" s="160"/>
      <c r="S116" s="160"/>
      <c r="T116" s="160"/>
      <c r="U116" s="160"/>
      <c r="V116" s="160"/>
      <c r="W116" s="160"/>
      <c r="X116" s="160"/>
      <c r="Y116" s="160"/>
      <c r="Z116" s="160"/>
      <c r="AA116" s="160"/>
    </row>
    <row r="117" spans="1:27" ht="12.75" customHeight="1" x14ac:dyDescent="0.2">
      <c r="A117" s="160"/>
      <c r="B117" s="160"/>
      <c r="D117" s="160"/>
      <c r="F117" s="160"/>
      <c r="G117" s="160"/>
      <c r="H117" s="160"/>
      <c r="I117" s="160"/>
      <c r="J117" s="160"/>
      <c r="K117" s="160"/>
      <c r="L117" s="160"/>
      <c r="M117" s="160"/>
      <c r="N117" s="160"/>
      <c r="O117" s="160"/>
      <c r="P117" s="160"/>
      <c r="Q117" s="160"/>
      <c r="R117" s="160"/>
      <c r="S117" s="160"/>
      <c r="T117" s="160"/>
      <c r="U117" s="160"/>
      <c r="V117" s="160"/>
      <c r="W117" s="160"/>
      <c r="X117" s="160"/>
      <c r="Y117" s="160"/>
      <c r="Z117" s="160"/>
      <c r="AA117" s="160"/>
    </row>
    <row r="118" spans="1:27" ht="12.75" customHeight="1" x14ac:dyDescent="0.2">
      <c r="A118" s="160"/>
      <c r="B118" s="160"/>
      <c r="D118" s="160"/>
      <c r="F118" s="160"/>
      <c r="G118" s="160"/>
      <c r="H118" s="160"/>
      <c r="I118" s="160"/>
      <c r="J118" s="160"/>
      <c r="K118" s="160"/>
      <c r="L118" s="160"/>
      <c r="M118" s="160"/>
      <c r="N118" s="160"/>
      <c r="O118" s="160"/>
      <c r="P118" s="160"/>
      <c r="Q118" s="160"/>
      <c r="R118" s="160"/>
      <c r="S118" s="160"/>
      <c r="T118" s="160"/>
      <c r="U118" s="160"/>
      <c r="V118" s="160"/>
      <c r="W118" s="160"/>
      <c r="X118" s="160"/>
      <c r="Y118" s="160"/>
      <c r="Z118" s="160"/>
      <c r="AA118" s="160"/>
    </row>
    <row r="119" spans="1:27" ht="12.75" customHeight="1" x14ac:dyDescent="0.2">
      <c r="A119" s="160"/>
      <c r="B119" s="160"/>
      <c r="D119" s="160"/>
      <c r="F119" s="160"/>
      <c r="G119" s="160"/>
      <c r="H119" s="160"/>
      <c r="I119" s="160"/>
      <c r="J119" s="160"/>
      <c r="K119" s="160"/>
      <c r="L119" s="160"/>
      <c r="M119" s="160"/>
      <c r="N119" s="160"/>
      <c r="O119" s="160"/>
      <c r="P119" s="160"/>
      <c r="Q119" s="160"/>
      <c r="R119" s="160"/>
      <c r="S119" s="160"/>
      <c r="T119" s="160"/>
      <c r="U119" s="160"/>
      <c r="V119" s="160"/>
      <c r="W119" s="160"/>
      <c r="X119" s="160"/>
      <c r="Y119" s="160"/>
      <c r="Z119" s="160"/>
      <c r="AA119" s="160"/>
    </row>
    <row r="120" spans="1:27" ht="12.75" customHeight="1" x14ac:dyDescent="0.2">
      <c r="A120" s="160"/>
      <c r="B120" s="160"/>
      <c r="D120" s="160"/>
      <c r="F120" s="160"/>
      <c r="G120" s="160"/>
      <c r="H120" s="160"/>
      <c r="I120" s="160"/>
      <c r="J120" s="160"/>
      <c r="K120" s="160"/>
      <c r="L120" s="160"/>
      <c r="M120" s="160"/>
      <c r="N120" s="160"/>
      <c r="O120" s="160"/>
      <c r="P120" s="160"/>
      <c r="Q120" s="160"/>
      <c r="R120" s="160"/>
      <c r="S120" s="160"/>
      <c r="T120" s="160"/>
      <c r="U120" s="160"/>
      <c r="V120" s="160"/>
      <c r="W120" s="160"/>
      <c r="X120" s="160"/>
      <c r="Y120" s="160"/>
      <c r="Z120" s="160"/>
      <c r="AA120" s="160"/>
    </row>
    <row r="121" spans="1:27" ht="12.75" customHeight="1" x14ac:dyDescent="0.2">
      <c r="A121" s="160"/>
      <c r="B121" s="160"/>
      <c r="D121" s="160"/>
      <c r="F121" s="160"/>
      <c r="G121" s="160"/>
      <c r="H121" s="160"/>
      <c r="I121" s="160"/>
      <c r="J121" s="160"/>
      <c r="K121" s="160"/>
      <c r="L121" s="160"/>
      <c r="M121" s="160"/>
      <c r="N121" s="160"/>
      <c r="O121" s="160"/>
      <c r="P121" s="160"/>
      <c r="Q121" s="160"/>
      <c r="R121" s="160"/>
      <c r="S121" s="160"/>
      <c r="T121" s="160"/>
      <c r="U121" s="160"/>
      <c r="V121" s="160"/>
      <c r="W121" s="160"/>
      <c r="X121" s="160"/>
      <c r="Y121" s="160"/>
      <c r="Z121" s="160"/>
      <c r="AA121" s="160"/>
    </row>
    <row r="122" spans="1:27" ht="12.75" customHeight="1" x14ac:dyDescent="0.2">
      <c r="A122" s="160"/>
      <c r="B122" s="160"/>
      <c r="D122" s="160"/>
      <c r="F122" s="160"/>
      <c r="G122" s="160"/>
      <c r="H122" s="160"/>
      <c r="I122" s="160"/>
      <c r="J122" s="160"/>
      <c r="K122" s="160"/>
      <c r="L122" s="160"/>
      <c r="M122" s="160"/>
      <c r="N122" s="160"/>
      <c r="O122" s="160"/>
      <c r="P122" s="160"/>
      <c r="Q122" s="160"/>
      <c r="R122" s="160"/>
      <c r="S122" s="160"/>
      <c r="T122" s="160"/>
      <c r="U122" s="160"/>
      <c r="V122" s="160"/>
      <c r="W122" s="160"/>
      <c r="X122" s="160"/>
      <c r="Y122" s="160"/>
      <c r="Z122" s="160"/>
      <c r="AA122" s="160"/>
    </row>
    <row r="123" spans="1:27" ht="12.75" customHeight="1" x14ac:dyDescent="0.2">
      <c r="A123" s="160"/>
      <c r="B123" s="160"/>
      <c r="D123" s="160"/>
      <c r="F123" s="160"/>
      <c r="G123" s="160"/>
      <c r="H123" s="160"/>
      <c r="I123" s="160"/>
      <c r="J123" s="160"/>
      <c r="K123" s="160"/>
      <c r="L123" s="160"/>
      <c r="M123" s="160"/>
      <c r="N123" s="160"/>
      <c r="O123" s="160"/>
      <c r="P123" s="160"/>
      <c r="Q123" s="160"/>
      <c r="R123" s="160"/>
      <c r="S123" s="160"/>
      <c r="T123" s="160"/>
      <c r="U123" s="160"/>
      <c r="V123" s="160"/>
      <c r="W123" s="160"/>
      <c r="X123" s="160"/>
      <c r="Y123" s="160"/>
      <c r="Z123" s="160"/>
      <c r="AA123" s="160"/>
    </row>
    <row r="124" spans="1:27" ht="12.75" customHeight="1" x14ac:dyDescent="0.2">
      <c r="A124" s="160"/>
      <c r="B124" s="160"/>
      <c r="D124" s="160"/>
      <c r="F124" s="160"/>
      <c r="G124" s="160"/>
      <c r="H124" s="160"/>
      <c r="I124" s="160"/>
      <c r="J124" s="160"/>
      <c r="K124" s="160"/>
      <c r="L124" s="160"/>
      <c r="M124" s="160"/>
      <c r="N124" s="160"/>
      <c r="O124" s="160"/>
      <c r="P124" s="160"/>
      <c r="Q124" s="160"/>
      <c r="R124" s="160"/>
      <c r="S124" s="160"/>
      <c r="T124" s="160"/>
      <c r="U124" s="160"/>
      <c r="V124" s="160"/>
      <c r="W124" s="160"/>
      <c r="X124" s="160"/>
      <c r="Y124" s="160"/>
      <c r="Z124" s="160"/>
      <c r="AA124" s="160"/>
    </row>
    <row r="125" spans="1:27" ht="12.75" customHeight="1" x14ac:dyDescent="0.2">
      <c r="A125" s="160"/>
      <c r="B125" s="160"/>
      <c r="D125" s="160"/>
      <c r="F125" s="160"/>
      <c r="G125" s="160"/>
      <c r="H125" s="160"/>
      <c r="I125" s="160"/>
      <c r="J125" s="160"/>
      <c r="K125" s="160"/>
      <c r="L125" s="160"/>
      <c r="M125" s="160"/>
      <c r="N125" s="160"/>
      <c r="O125" s="160"/>
      <c r="P125" s="160"/>
      <c r="Q125" s="160"/>
      <c r="R125" s="160"/>
      <c r="S125" s="160"/>
      <c r="T125" s="160"/>
      <c r="U125" s="160"/>
      <c r="V125" s="160"/>
      <c r="W125" s="160"/>
      <c r="X125" s="160"/>
      <c r="Y125" s="160"/>
      <c r="Z125" s="160"/>
      <c r="AA125" s="160"/>
    </row>
    <row r="126" spans="1:27" ht="12.75" customHeight="1" x14ac:dyDescent="0.2">
      <c r="A126" s="160"/>
      <c r="B126" s="160"/>
      <c r="D126" s="160"/>
      <c r="F126" s="160"/>
      <c r="G126" s="160"/>
      <c r="H126" s="160"/>
      <c r="I126" s="160"/>
      <c r="J126" s="160"/>
      <c r="K126" s="160"/>
      <c r="L126" s="160"/>
      <c r="M126" s="160"/>
      <c r="N126" s="160"/>
      <c r="O126" s="160"/>
      <c r="P126" s="160"/>
      <c r="Q126" s="160"/>
      <c r="R126" s="160"/>
      <c r="S126" s="160"/>
      <c r="T126" s="160"/>
      <c r="U126" s="160"/>
      <c r="V126" s="160"/>
      <c r="W126" s="160"/>
      <c r="X126" s="160"/>
      <c r="Y126" s="160"/>
      <c r="Z126" s="160"/>
      <c r="AA126" s="160"/>
    </row>
    <row r="127" spans="1:27" ht="12.75" customHeight="1" x14ac:dyDescent="0.2">
      <c r="A127" s="160"/>
      <c r="B127" s="160"/>
      <c r="D127" s="160"/>
      <c r="F127" s="160"/>
      <c r="G127" s="160"/>
      <c r="H127" s="160"/>
      <c r="I127" s="160"/>
      <c r="J127" s="160"/>
      <c r="K127" s="160"/>
      <c r="L127" s="160"/>
      <c r="M127" s="160"/>
      <c r="N127" s="160"/>
      <c r="O127" s="160"/>
      <c r="P127" s="160"/>
      <c r="Q127" s="160"/>
      <c r="R127" s="160"/>
      <c r="S127" s="160"/>
      <c r="T127" s="160"/>
      <c r="U127" s="160"/>
      <c r="V127" s="160"/>
      <c r="W127" s="160"/>
      <c r="X127" s="160"/>
      <c r="Y127" s="160"/>
      <c r="Z127" s="160"/>
      <c r="AA127" s="160"/>
    </row>
    <row r="128" spans="1:27" ht="12.75" customHeight="1" x14ac:dyDescent="0.2">
      <c r="A128" s="160"/>
      <c r="B128" s="160"/>
      <c r="D128" s="160"/>
      <c r="F128" s="160"/>
      <c r="G128" s="160"/>
      <c r="H128" s="160"/>
      <c r="I128" s="160"/>
      <c r="J128" s="160"/>
      <c r="K128" s="160"/>
      <c r="L128" s="160"/>
      <c r="M128" s="160"/>
      <c r="N128" s="160"/>
      <c r="O128" s="160"/>
      <c r="P128" s="160"/>
      <c r="Q128" s="160"/>
      <c r="R128" s="160"/>
      <c r="S128" s="160"/>
      <c r="T128" s="160"/>
      <c r="U128" s="160"/>
      <c r="V128" s="160"/>
      <c r="W128" s="160"/>
      <c r="X128" s="160"/>
      <c r="Y128" s="160"/>
      <c r="Z128" s="160"/>
      <c r="AA128" s="160"/>
    </row>
    <row r="129" spans="1:27" ht="12.75" customHeight="1" x14ac:dyDescent="0.2">
      <c r="A129" s="160"/>
      <c r="B129" s="160"/>
      <c r="D129" s="160"/>
      <c r="F129" s="160"/>
      <c r="G129" s="160"/>
      <c r="H129" s="160"/>
      <c r="I129" s="160"/>
      <c r="J129" s="160"/>
      <c r="K129" s="160"/>
      <c r="L129" s="160"/>
      <c r="M129" s="160"/>
      <c r="N129" s="160"/>
      <c r="O129" s="160"/>
      <c r="P129" s="160"/>
      <c r="Q129" s="160"/>
      <c r="R129" s="160"/>
      <c r="S129" s="160"/>
      <c r="T129" s="160"/>
      <c r="U129" s="160"/>
      <c r="V129" s="160"/>
      <c r="W129" s="160"/>
      <c r="X129" s="160"/>
      <c r="Y129" s="160"/>
      <c r="Z129" s="160"/>
      <c r="AA129" s="160"/>
    </row>
    <row r="130" spans="1:27" ht="12.75" customHeight="1" x14ac:dyDescent="0.2">
      <c r="A130" s="160"/>
      <c r="B130" s="160"/>
      <c r="D130" s="160"/>
      <c r="F130" s="160"/>
      <c r="G130" s="160"/>
      <c r="H130" s="160"/>
      <c r="I130" s="160"/>
      <c r="J130" s="160"/>
      <c r="K130" s="160"/>
      <c r="L130" s="160"/>
      <c r="M130" s="160"/>
      <c r="N130" s="160"/>
      <c r="O130" s="160"/>
      <c r="P130" s="160"/>
      <c r="Q130" s="160"/>
      <c r="R130" s="160"/>
      <c r="S130" s="160"/>
      <c r="T130" s="160"/>
      <c r="U130" s="160"/>
      <c r="V130" s="160"/>
      <c r="W130" s="160"/>
      <c r="X130" s="160"/>
      <c r="Y130" s="160"/>
      <c r="Z130" s="160"/>
      <c r="AA130" s="160"/>
    </row>
    <row r="131" spans="1:27" ht="12.75" customHeight="1" x14ac:dyDescent="0.2">
      <c r="A131" s="160"/>
      <c r="B131" s="160"/>
      <c r="D131" s="160"/>
      <c r="F131" s="160"/>
      <c r="G131" s="160"/>
      <c r="H131" s="160"/>
      <c r="I131" s="160"/>
      <c r="J131" s="160"/>
      <c r="K131" s="160"/>
      <c r="L131" s="160"/>
      <c r="M131" s="160"/>
      <c r="N131" s="160"/>
      <c r="O131" s="160"/>
      <c r="P131" s="160"/>
      <c r="Q131" s="160"/>
      <c r="R131" s="160"/>
      <c r="S131" s="160"/>
      <c r="T131" s="160"/>
      <c r="U131" s="160"/>
      <c r="V131" s="160"/>
      <c r="W131" s="160"/>
      <c r="X131" s="160"/>
      <c r="Y131" s="160"/>
      <c r="Z131" s="160"/>
      <c r="AA131" s="160"/>
    </row>
    <row r="132" spans="1:27" ht="12.75" customHeight="1" x14ac:dyDescent="0.2">
      <c r="A132" s="160"/>
      <c r="B132" s="160"/>
      <c r="D132" s="160"/>
      <c r="F132" s="160"/>
      <c r="G132" s="160"/>
      <c r="H132" s="160"/>
      <c r="I132" s="160"/>
      <c r="J132" s="160"/>
      <c r="K132" s="160"/>
      <c r="L132" s="160"/>
      <c r="M132" s="160"/>
      <c r="N132" s="160"/>
      <c r="O132" s="160"/>
      <c r="P132" s="160"/>
      <c r="Q132" s="160"/>
      <c r="R132" s="160"/>
      <c r="S132" s="160"/>
      <c r="T132" s="160"/>
      <c r="U132" s="160"/>
      <c r="V132" s="160"/>
      <c r="W132" s="160"/>
      <c r="X132" s="160"/>
      <c r="Y132" s="160"/>
      <c r="Z132" s="160"/>
      <c r="AA132" s="160"/>
    </row>
    <row r="133" spans="1:27" ht="12.75" customHeight="1" x14ac:dyDescent="0.2">
      <c r="A133" s="160"/>
      <c r="B133" s="160"/>
      <c r="D133" s="160"/>
      <c r="F133" s="160"/>
      <c r="G133" s="160"/>
      <c r="H133" s="160"/>
      <c r="I133" s="160"/>
      <c r="J133" s="160"/>
      <c r="K133" s="160"/>
      <c r="L133" s="160"/>
      <c r="M133" s="160"/>
      <c r="N133" s="160"/>
      <c r="O133" s="160"/>
      <c r="P133" s="160"/>
      <c r="Q133" s="160"/>
      <c r="R133" s="160"/>
      <c r="S133" s="160"/>
      <c r="T133" s="160"/>
      <c r="U133" s="160"/>
      <c r="V133" s="160"/>
      <c r="W133" s="160"/>
      <c r="X133" s="160"/>
      <c r="Y133" s="160"/>
      <c r="Z133" s="160"/>
      <c r="AA133" s="160"/>
    </row>
    <row r="134" spans="1:27" ht="12.75" customHeight="1" x14ac:dyDescent="0.2">
      <c r="A134" s="160"/>
      <c r="B134" s="160"/>
      <c r="D134" s="160"/>
      <c r="F134" s="160"/>
      <c r="G134" s="160"/>
      <c r="H134" s="160"/>
      <c r="I134" s="160"/>
      <c r="J134" s="160"/>
      <c r="K134" s="160"/>
      <c r="L134" s="160"/>
      <c r="M134" s="160"/>
      <c r="N134" s="160"/>
      <c r="O134" s="160"/>
      <c r="P134" s="160"/>
      <c r="Q134" s="160"/>
      <c r="R134" s="160"/>
      <c r="S134" s="160"/>
      <c r="T134" s="160"/>
      <c r="U134" s="160"/>
      <c r="V134" s="160"/>
      <c r="W134" s="160"/>
      <c r="X134" s="160"/>
      <c r="Y134" s="160"/>
      <c r="Z134" s="160"/>
      <c r="AA134" s="160"/>
    </row>
    <row r="135" spans="1:27" ht="12.75" customHeight="1" x14ac:dyDescent="0.2">
      <c r="A135" s="160"/>
      <c r="B135" s="160"/>
      <c r="D135" s="160"/>
      <c r="F135" s="160"/>
      <c r="G135" s="160"/>
      <c r="H135" s="160"/>
      <c r="I135" s="160"/>
      <c r="J135" s="160"/>
      <c r="K135" s="160"/>
      <c r="L135" s="160"/>
      <c r="M135" s="160"/>
      <c r="N135" s="160"/>
      <c r="O135" s="160"/>
      <c r="P135" s="160"/>
      <c r="Q135" s="160"/>
      <c r="R135" s="160"/>
      <c r="S135" s="160"/>
      <c r="T135" s="160"/>
      <c r="U135" s="160"/>
      <c r="V135" s="160"/>
      <c r="W135" s="160"/>
      <c r="X135" s="160"/>
      <c r="Y135" s="160"/>
      <c r="Z135" s="160"/>
      <c r="AA135" s="160"/>
    </row>
    <row r="136" spans="1:27" ht="12.75" customHeight="1" x14ac:dyDescent="0.2">
      <c r="A136" s="160"/>
      <c r="B136" s="160"/>
      <c r="D136" s="160"/>
      <c r="F136" s="160"/>
      <c r="G136" s="160"/>
      <c r="H136" s="160"/>
      <c r="I136" s="160"/>
      <c r="J136" s="160"/>
      <c r="K136" s="160"/>
      <c r="L136" s="160"/>
      <c r="M136" s="160"/>
      <c r="N136" s="160"/>
      <c r="O136" s="160"/>
      <c r="P136" s="160"/>
      <c r="Q136" s="160"/>
      <c r="R136" s="160"/>
      <c r="S136" s="160"/>
      <c r="T136" s="160"/>
      <c r="U136" s="160"/>
      <c r="V136" s="160"/>
      <c r="W136" s="160"/>
      <c r="X136" s="160"/>
      <c r="Y136" s="160"/>
      <c r="Z136" s="160"/>
      <c r="AA136" s="160"/>
    </row>
    <row r="137" spans="1:27" ht="12.75" customHeight="1" x14ac:dyDescent="0.2">
      <c r="A137" s="160"/>
      <c r="B137" s="160"/>
      <c r="D137" s="160"/>
      <c r="F137" s="160"/>
      <c r="G137" s="160"/>
      <c r="H137" s="160"/>
      <c r="I137" s="160"/>
      <c r="J137" s="160"/>
      <c r="K137" s="160"/>
      <c r="L137" s="160"/>
      <c r="M137" s="160"/>
      <c r="N137" s="160"/>
      <c r="O137" s="160"/>
      <c r="P137" s="160"/>
      <c r="Q137" s="160"/>
      <c r="R137" s="160"/>
      <c r="S137" s="160"/>
      <c r="T137" s="160"/>
      <c r="U137" s="160"/>
      <c r="V137" s="160"/>
      <c r="W137" s="160"/>
      <c r="X137" s="160"/>
      <c r="Y137" s="160"/>
      <c r="Z137" s="160"/>
      <c r="AA137" s="160"/>
    </row>
    <row r="138" spans="1:27" ht="12.75" customHeight="1" x14ac:dyDescent="0.2">
      <c r="A138" s="160"/>
      <c r="B138" s="160"/>
      <c r="D138" s="160"/>
      <c r="F138" s="160"/>
      <c r="G138" s="160"/>
      <c r="H138" s="160"/>
      <c r="I138" s="160"/>
      <c r="J138" s="160"/>
      <c r="K138" s="160"/>
      <c r="L138" s="160"/>
      <c r="M138" s="160"/>
      <c r="N138" s="160"/>
      <c r="O138" s="160"/>
      <c r="P138" s="160"/>
      <c r="Q138" s="160"/>
      <c r="R138" s="160"/>
      <c r="S138" s="160"/>
      <c r="T138" s="160"/>
      <c r="U138" s="160"/>
      <c r="V138" s="160"/>
      <c r="W138" s="160"/>
      <c r="X138" s="160"/>
      <c r="Y138" s="160"/>
      <c r="Z138" s="160"/>
      <c r="AA138" s="160"/>
    </row>
    <row r="139" spans="1:27" ht="12.75" customHeight="1" x14ac:dyDescent="0.2">
      <c r="A139" s="160"/>
      <c r="B139" s="160"/>
      <c r="D139" s="160"/>
      <c r="F139" s="160"/>
      <c r="G139" s="160"/>
      <c r="H139" s="160"/>
      <c r="I139" s="160"/>
      <c r="J139" s="160"/>
      <c r="K139" s="160"/>
      <c r="L139" s="160"/>
      <c r="M139" s="160"/>
      <c r="N139" s="160"/>
      <c r="O139" s="160"/>
      <c r="P139" s="160"/>
      <c r="Q139" s="160"/>
      <c r="R139" s="160"/>
      <c r="S139" s="160"/>
      <c r="T139" s="160"/>
      <c r="U139" s="160"/>
      <c r="V139" s="160"/>
      <c r="W139" s="160"/>
      <c r="X139" s="160"/>
      <c r="Y139" s="160"/>
      <c r="Z139" s="160"/>
      <c r="AA139" s="160"/>
    </row>
    <row r="140" spans="1:27" ht="12.75" customHeight="1" x14ac:dyDescent="0.2">
      <c r="A140" s="160"/>
      <c r="B140" s="160"/>
      <c r="D140" s="160"/>
      <c r="F140" s="160"/>
      <c r="G140" s="160"/>
      <c r="H140" s="160"/>
      <c r="I140" s="160"/>
      <c r="J140" s="160"/>
      <c r="K140" s="160"/>
      <c r="L140" s="160"/>
      <c r="M140" s="160"/>
      <c r="N140" s="160"/>
      <c r="O140" s="160"/>
      <c r="P140" s="160"/>
      <c r="Q140" s="160"/>
      <c r="R140" s="160"/>
      <c r="S140" s="160"/>
      <c r="T140" s="160"/>
      <c r="U140" s="160"/>
      <c r="V140" s="160"/>
      <c r="W140" s="160"/>
      <c r="X140" s="160"/>
      <c r="Y140" s="160"/>
      <c r="Z140" s="160"/>
      <c r="AA140" s="160"/>
    </row>
    <row r="141" spans="1:27" ht="12.75" customHeight="1" x14ac:dyDescent="0.2">
      <c r="A141" s="160"/>
      <c r="B141" s="160"/>
      <c r="D141" s="160"/>
      <c r="F141" s="160"/>
      <c r="G141" s="160"/>
      <c r="H141" s="160"/>
      <c r="I141" s="160"/>
      <c r="J141" s="160"/>
      <c r="K141" s="160"/>
      <c r="L141" s="160"/>
      <c r="M141" s="160"/>
      <c r="N141" s="160"/>
      <c r="O141" s="160"/>
      <c r="P141" s="160"/>
      <c r="Q141" s="160"/>
      <c r="R141" s="160"/>
      <c r="S141" s="160"/>
      <c r="T141" s="160"/>
      <c r="U141" s="160"/>
      <c r="V141" s="160"/>
      <c r="W141" s="160"/>
      <c r="X141" s="160"/>
      <c r="Y141" s="160"/>
      <c r="Z141" s="160"/>
      <c r="AA141" s="160"/>
    </row>
    <row r="142" spans="1:27" ht="12.75" customHeight="1" x14ac:dyDescent="0.2">
      <c r="A142" s="160"/>
      <c r="B142" s="160"/>
      <c r="D142" s="160"/>
      <c r="F142" s="160"/>
      <c r="G142" s="160"/>
      <c r="H142" s="160"/>
      <c r="I142" s="160"/>
      <c r="J142" s="160"/>
      <c r="K142" s="160"/>
      <c r="L142" s="160"/>
      <c r="M142" s="160"/>
      <c r="N142" s="160"/>
      <c r="O142" s="160"/>
      <c r="P142" s="160"/>
      <c r="Q142" s="160"/>
      <c r="R142" s="160"/>
      <c r="S142" s="160"/>
      <c r="T142" s="160"/>
      <c r="U142" s="160"/>
      <c r="V142" s="160"/>
      <c r="W142" s="160"/>
      <c r="X142" s="160"/>
      <c r="Y142" s="160"/>
      <c r="Z142" s="160"/>
      <c r="AA142" s="160"/>
    </row>
    <row r="143" spans="1:27" ht="12.75" customHeight="1" x14ac:dyDescent="0.2">
      <c r="A143" s="160"/>
      <c r="B143" s="160"/>
      <c r="D143" s="160"/>
      <c r="F143" s="160"/>
      <c r="G143" s="160"/>
      <c r="H143" s="160"/>
      <c r="I143" s="160"/>
      <c r="J143" s="160"/>
      <c r="K143" s="160"/>
      <c r="L143" s="160"/>
      <c r="M143" s="160"/>
      <c r="N143" s="160"/>
      <c r="O143" s="160"/>
      <c r="P143" s="160"/>
      <c r="Q143" s="160"/>
      <c r="R143" s="160"/>
      <c r="S143" s="160"/>
      <c r="T143" s="160"/>
      <c r="U143" s="160"/>
      <c r="V143" s="160"/>
      <c r="W143" s="160"/>
      <c r="X143" s="160"/>
      <c r="Y143" s="160"/>
      <c r="Z143" s="160"/>
      <c r="AA143" s="160"/>
    </row>
    <row r="144" spans="1:27" ht="12.75" customHeight="1" x14ac:dyDescent="0.2">
      <c r="A144" s="160"/>
      <c r="B144" s="160"/>
      <c r="D144" s="160"/>
      <c r="F144" s="160"/>
      <c r="G144" s="160"/>
      <c r="H144" s="160"/>
      <c r="I144" s="160"/>
      <c r="J144" s="160"/>
      <c r="K144" s="160"/>
      <c r="L144" s="160"/>
      <c r="M144" s="160"/>
      <c r="N144" s="160"/>
      <c r="O144" s="160"/>
      <c r="P144" s="160"/>
      <c r="Q144" s="160"/>
      <c r="R144" s="160"/>
      <c r="S144" s="160"/>
      <c r="T144" s="160"/>
      <c r="U144" s="160"/>
      <c r="V144" s="160"/>
      <c r="W144" s="160"/>
      <c r="X144" s="160"/>
      <c r="Y144" s="160"/>
      <c r="Z144" s="160"/>
      <c r="AA144" s="160"/>
    </row>
    <row r="145" spans="1:27" ht="12.75" customHeight="1" x14ac:dyDescent="0.2">
      <c r="A145" s="160"/>
      <c r="B145" s="160"/>
      <c r="D145" s="160"/>
      <c r="F145" s="160"/>
      <c r="G145" s="160"/>
      <c r="H145" s="160"/>
      <c r="I145" s="160"/>
      <c r="J145" s="160"/>
      <c r="K145" s="160"/>
      <c r="L145" s="160"/>
      <c r="M145" s="160"/>
      <c r="N145" s="160"/>
      <c r="O145" s="160"/>
      <c r="P145" s="160"/>
      <c r="Q145" s="160"/>
      <c r="R145" s="160"/>
      <c r="S145" s="160"/>
      <c r="T145" s="160"/>
      <c r="U145" s="160"/>
      <c r="V145" s="160"/>
      <c r="W145" s="160"/>
      <c r="X145" s="160"/>
      <c r="Y145" s="160"/>
      <c r="Z145" s="160"/>
      <c r="AA145" s="160"/>
    </row>
    <row r="146" spans="1:27" ht="12.75" customHeight="1" x14ac:dyDescent="0.2">
      <c r="A146" s="160"/>
      <c r="B146" s="160"/>
      <c r="D146" s="160"/>
      <c r="F146" s="160"/>
      <c r="G146" s="160"/>
      <c r="H146" s="160"/>
      <c r="I146" s="160"/>
      <c r="J146" s="160"/>
      <c r="K146" s="160"/>
      <c r="L146" s="160"/>
      <c r="M146" s="160"/>
      <c r="N146" s="160"/>
      <c r="O146" s="160"/>
      <c r="P146" s="160"/>
      <c r="Q146" s="160"/>
      <c r="R146" s="160"/>
      <c r="S146" s="160"/>
      <c r="T146" s="160"/>
      <c r="U146" s="160"/>
      <c r="V146" s="160"/>
      <c r="W146" s="160"/>
      <c r="X146" s="160"/>
      <c r="Y146" s="160"/>
      <c r="Z146" s="160"/>
      <c r="AA146" s="160"/>
    </row>
    <row r="147" spans="1:27" ht="12.75" customHeight="1" x14ac:dyDescent="0.2">
      <c r="A147" s="160"/>
      <c r="B147" s="160"/>
      <c r="D147" s="160"/>
      <c r="F147" s="160"/>
      <c r="G147" s="160"/>
      <c r="H147" s="160"/>
      <c r="I147" s="160"/>
      <c r="J147" s="160"/>
      <c r="K147" s="160"/>
      <c r="L147" s="160"/>
      <c r="M147" s="160"/>
      <c r="N147" s="160"/>
      <c r="O147" s="160"/>
      <c r="P147" s="160"/>
      <c r="Q147" s="160"/>
      <c r="R147" s="160"/>
      <c r="S147" s="160"/>
      <c r="T147" s="160"/>
      <c r="U147" s="160"/>
      <c r="V147" s="160"/>
      <c r="W147" s="160"/>
      <c r="X147" s="160"/>
      <c r="Y147" s="160"/>
      <c r="Z147" s="160"/>
      <c r="AA147" s="160"/>
    </row>
    <row r="148" spans="1:27" ht="12.75" customHeight="1" x14ac:dyDescent="0.2">
      <c r="A148" s="160"/>
      <c r="B148" s="160"/>
      <c r="D148" s="160"/>
      <c r="F148" s="160"/>
      <c r="G148" s="160"/>
      <c r="H148" s="160"/>
      <c r="I148" s="160"/>
      <c r="J148" s="160"/>
      <c r="K148" s="160"/>
      <c r="L148" s="160"/>
      <c r="M148" s="160"/>
      <c r="N148" s="160"/>
      <c r="O148" s="160"/>
      <c r="P148" s="160"/>
      <c r="Q148" s="160"/>
      <c r="R148" s="160"/>
      <c r="S148" s="160"/>
      <c r="T148" s="160"/>
      <c r="U148" s="160"/>
      <c r="V148" s="160"/>
      <c r="W148" s="160"/>
      <c r="X148" s="160"/>
      <c r="Y148" s="160"/>
      <c r="Z148" s="160"/>
      <c r="AA148" s="160"/>
    </row>
    <row r="149" spans="1:27" ht="12.75" customHeight="1" x14ac:dyDescent="0.2">
      <c r="A149" s="160"/>
      <c r="B149" s="160"/>
      <c r="D149" s="160"/>
      <c r="F149" s="160"/>
      <c r="G149" s="160"/>
      <c r="H149" s="160"/>
      <c r="I149" s="160"/>
      <c r="J149" s="160"/>
      <c r="K149" s="160"/>
      <c r="L149" s="160"/>
      <c r="M149" s="160"/>
      <c r="N149" s="160"/>
      <c r="O149" s="160"/>
      <c r="P149" s="160"/>
      <c r="Q149" s="160"/>
      <c r="R149" s="160"/>
      <c r="S149" s="160"/>
      <c r="T149" s="160"/>
      <c r="U149" s="160"/>
      <c r="V149" s="160"/>
      <c r="W149" s="160"/>
      <c r="X149" s="160"/>
      <c r="Y149" s="160"/>
      <c r="Z149" s="160"/>
      <c r="AA149" s="160"/>
    </row>
    <row r="150" spans="1:27" ht="12.75" customHeight="1" x14ac:dyDescent="0.2">
      <c r="A150" s="160"/>
      <c r="B150" s="160"/>
      <c r="D150" s="160"/>
      <c r="F150" s="160"/>
      <c r="G150" s="160"/>
      <c r="H150" s="160"/>
      <c r="I150" s="160"/>
      <c r="J150" s="160"/>
      <c r="K150" s="160"/>
      <c r="L150" s="160"/>
      <c r="M150" s="160"/>
      <c r="N150" s="160"/>
      <c r="O150" s="160"/>
      <c r="P150" s="160"/>
      <c r="Q150" s="160"/>
      <c r="R150" s="160"/>
      <c r="S150" s="160"/>
      <c r="T150" s="160"/>
      <c r="U150" s="160"/>
      <c r="V150" s="160"/>
      <c r="W150" s="160"/>
      <c r="X150" s="160"/>
      <c r="Y150" s="160"/>
      <c r="Z150" s="160"/>
      <c r="AA150" s="160"/>
    </row>
    <row r="151" spans="1:27" ht="12.75" customHeight="1" x14ac:dyDescent="0.2">
      <c r="A151" s="160"/>
      <c r="B151" s="160"/>
      <c r="D151" s="160"/>
      <c r="F151" s="160"/>
      <c r="G151" s="160"/>
      <c r="H151" s="160"/>
      <c r="I151" s="160"/>
      <c r="J151" s="160"/>
      <c r="K151" s="160"/>
      <c r="L151" s="160"/>
      <c r="M151" s="160"/>
      <c r="N151" s="160"/>
      <c r="O151" s="160"/>
      <c r="P151" s="160"/>
      <c r="Q151" s="160"/>
      <c r="R151" s="160"/>
      <c r="S151" s="160"/>
      <c r="T151" s="160"/>
      <c r="U151" s="160"/>
      <c r="V151" s="160"/>
      <c r="W151" s="160"/>
      <c r="X151" s="160"/>
      <c r="Y151" s="160"/>
      <c r="Z151" s="160"/>
      <c r="AA151" s="160"/>
    </row>
    <row r="152" spans="1:27" ht="12.75" customHeight="1" x14ac:dyDescent="0.2">
      <c r="A152" s="160"/>
      <c r="B152" s="160"/>
      <c r="D152" s="160"/>
      <c r="F152" s="160"/>
      <c r="G152" s="160"/>
      <c r="H152" s="160"/>
      <c r="I152" s="160"/>
      <c r="J152" s="160"/>
      <c r="K152" s="160"/>
      <c r="L152" s="160"/>
      <c r="M152" s="160"/>
      <c r="N152" s="160"/>
      <c r="O152" s="160"/>
      <c r="P152" s="160"/>
      <c r="Q152" s="160"/>
      <c r="R152" s="160"/>
      <c r="S152" s="160"/>
      <c r="T152" s="160"/>
      <c r="U152" s="160"/>
      <c r="V152" s="160"/>
      <c r="W152" s="160"/>
      <c r="X152" s="160"/>
      <c r="Y152" s="160"/>
      <c r="Z152" s="160"/>
      <c r="AA152" s="160"/>
    </row>
    <row r="153" spans="1:27" ht="12.75" customHeight="1" x14ac:dyDescent="0.2">
      <c r="A153" s="160"/>
      <c r="B153" s="160"/>
      <c r="D153" s="160"/>
      <c r="F153" s="160"/>
      <c r="G153" s="160"/>
      <c r="H153" s="160"/>
      <c r="I153" s="160"/>
      <c r="J153" s="160"/>
      <c r="K153" s="160"/>
      <c r="L153" s="160"/>
      <c r="M153" s="160"/>
      <c r="N153" s="160"/>
      <c r="O153" s="160"/>
      <c r="P153" s="160"/>
      <c r="Q153" s="160"/>
      <c r="R153" s="160"/>
      <c r="S153" s="160"/>
      <c r="T153" s="160"/>
      <c r="U153" s="160"/>
      <c r="V153" s="160"/>
      <c r="W153" s="160"/>
      <c r="X153" s="160"/>
      <c r="Y153" s="160"/>
      <c r="Z153" s="160"/>
      <c r="AA153" s="160"/>
    </row>
    <row r="154" spans="1:27" ht="12.75" customHeight="1" x14ac:dyDescent="0.2">
      <c r="A154" s="160"/>
      <c r="B154" s="160"/>
      <c r="D154" s="160"/>
      <c r="F154" s="160"/>
      <c r="G154" s="160"/>
      <c r="H154" s="160"/>
      <c r="I154" s="160"/>
      <c r="J154" s="160"/>
      <c r="K154" s="160"/>
      <c r="L154" s="160"/>
      <c r="M154" s="160"/>
      <c r="N154" s="160"/>
      <c r="O154" s="160"/>
      <c r="P154" s="160"/>
      <c r="Q154" s="160"/>
      <c r="R154" s="160"/>
      <c r="S154" s="160"/>
      <c r="T154" s="160"/>
      <c r="U154" s="160"/>
      <c r="V154" s="160"/>
      <c r="W154" s="160"/>
      <c r="X154" s="160"/>
      <c r="Y154" s="160"/>
      <c r="Z154" s="160"/>
      <c r="AA154" s="160"/>
    </row>
    <row r="155" spans="1:27" ht="12.75" customHeight="1" x14ac:dyDescent="0.2">
      <c r="A155" s="160"/>
      <c r="B155" s="160"/>
      <c r="D155" s="160"/>
      <c r="F155" s="160"/>
      <c r="G155" s="160"/>
      <c r="H155" s="160"/>
      <c r="I155" s="160"/>
      <c r="J155" s="160"/>
      <c r="K155" s="160"/>
      <c r="L155" s="160"/>
      <c r="M155" s="160"/>
      <c r="N155" s="160"/>
      <c r="O155" s="160"/>
      <c r="P155" s="160"/>
      <c r="Q155" s="160"/>
      <c r="R155" s="160"/>
      <c r="S155" s="160"/>
      <c r="T155" s="160"/>
      <c r="U155" s="160"/>
      <c r="V155" s="160"/>
      <c r="W155" s="160"/>
      <c r="X155" s="160"/>
      <c r="Y155" s="160"/>
      <c r="Z155" s="160"/>
      <c r="AA155" s="160"/>
    </row>
    <row r="156" spans="1:27" ht="12.75" customHeight="1" x14ac:dyDescent="0.2">
      <c r="A156" s="160"/>
      <c r="B156" s="160"/>
      <c r="D156" s="160"/>
      <c r="F156" s="160"/>
      <c r="G156" s="160"/>
      <c r="H156" s="160"/>
      <c r="I156" s="160"/>
      <c r="J156" s="160"/>
      <c r="K156" s="160"/>
      <c r="L156" s="160"/>
      <c r="M156" s="160"/>
      <c r="N156" s="160"/>
      <c r="O156" s="160"/>
      <c r="P156" s="160"/>
      <c r="Q156" s="160"/>
      <c r="R156" s="160"/>
      <c r="S156" s="160"/>
      <c r="T156" s="160"/>
      <c r="U156" s="160"/>
      <c r="V156" s="160"/>
      <c r="W156" s="160"/>
      <c r="X156" s="160"/>
      <c r="Y156" s="160"/>
      <c r="Z156" s="160"/>
      <c r="AA156" s="160"/>
    </row>
    <row r="157" spans="1:27" ht="12.75" customHeight="1" x14ac:dyDescent="0.2">
      <c r="A157" s="160"/>
      <c r="B157" s="160"/>
      <c r="D157" s="160"/>
      <c r="F157" s="160"/>
      <c r="G157" s="160"/>
      <c r="H157" s="160"/>
      <c r="I157" s="160"/>
      <c r="J157" s="160"/>
      <c r="K157" s="160"/>
      <c r="L157" s="160"/>
      <c r="M157" s="160"/>
      <c r="N157" s="160"/>
      <c r="O157" s="160"/>
      <c r="P157" s="160"/>
      <c r="Q157" s="160"/>
      <c r="R157" s="160"/>
      <c r="S157" s="160"/>
      <c r="T157" s="160"/>
      <c r="U157" s="160"/>
      <c r="V157" s="160"/>
      <c r="W157" s="160"/>
      <c r="X157" s="160"/>
      <c r="Y157" s="160"/>
      <c r="Z157" s="160"/>
      <c r="AA157" s="160"/>
    </row>
    <row r="158" spans="1:27" ht="12.75" customHeight="1" x14ac:dyDescent="0.2">
      <c r="A158" s="160"/>
      <c r="B158" s="160"/>
      <c r="D158" s="160"/>
      <c r="F158" s="160"/>
      <c r="G158" s="160"/>
      <c r="H158" s="160"/>
      <c r="I158" s="160"/>
      <c r="J158" s="160"/>
      <c r="K158" s="160"/>
      <c r="L158" s="160"/>
      <c r="M158" s="160"/>
      <c r="N158" s="160"/>
      <c r="O158" s="160"/>
      <c r="P158" s="160"/>
      <c r="Q158" s="160"/>
      <c r="R158" s="160"/>
      <c r="S158" s="160"/>
      <c r="T158" s="160"/>
      <c r="U158" s="160"/>
      <c r="V158" s="160"/>
      <c r="W158" s="160"/>
      <c r="X158" s="160"/>
      <c r="Y158" s="160"/>
      <c r="Z158" s="160"/>
      <c r="AA158" s="160"/>
    </row>
    <row r="159" spans="1:27" ht="12.75" customHeight="1" x14ac:dyDescent="0.2">
      <c r="A159" s="160"/>
      <c r="B159" s="160"/>
      <c r="D159" s="160"/>
      <c r="F159" s="160"/>
      <c r="G159" s="160"/>
      <c r="H159" s="160"/>
      <c r="I159" s="160"/>
      <c r="J159" s="160"/>
      <c r="K159" s="160"/>
      <c r="L159" s="160"/>
      <c r="M159" s="160"/>
      <c r="N159" s="160"/>
      <c r="O159" s="160"/>
      <c r="P159" s="160"/>
      <c r="Q159" s="160"/>
      <c r="R159" s="160"/>
      <c r="S159" s="160"/>
      <c r="T159" s="160"/>
      <c r="U159" s="160"/>
      <c r="V159" s="160"/>
      <c r="W159" s="160"/>
      <c r="X159" s="160"/>
      <c r="Y159" s="160"/>
      <c r="Z159" s="160"/>
      <c r="AA159" s="160"/>
    </row>
    <row r="160" spans="1:27" ht="12.75" customHeight="1" x14ac:dyDescent="0.2">
      <c r="A160" s="160"/>
      <c r="B160" s="160"/>
      <c r="D160" s="160"/>
      <c r="F160" s="160"/>
      <c r="G160" s="160"/>
      <c r="H160" s="160"/>
      <c r="I160" s="160"/>
      <c r="J160" s="160"/>
      <c r="K160" s="160"/>
      <c r="L160" s="160"/>
      <c r="M160" s="160"/>
      <c r="N160" s="160"/>
      <c r="O160" s="160"/>
      <c r="P160" s="160"/>
      <c r="Q160" s="160"/>
      <c r="R160" s="160"/>
      <c r="S160" s="160"/>
      <c r="T160" s="160"/>
      <c r="U160" s="160"/>
      <c r="V160" s="160"/>
      <c r="W160" s="160"/>
      <c r="X160" s="160"/>
      <c r="Y160" s="160"/>
      <c r="Z160" s="160"/>
      <c r="AA160" s="160"/>
    </row>
    <row r="161" spans="1:27" ht="12.75" customHeight="1" x14ac:dyDescent="0.2">
      <c r="A161" s="160"/>
      <c r="B161" s="160"/>
      <c r="D161" s="160"/>
      <c r="F161" s="160"/>
      <c r="G161" s="160"/>
      <c r="H161" s="160"/>
      <c r="I161" s="160"/>
      <c r="J161" s="160"/>
      <c r="K161" s="160"/>
      <c r="L161" s="160"/>
      <c r="M161" s="160"/>
      <c r="N161" s="160"/>
      <c r="O161" s="160"/>
      <c r="P161" s="160"/>
      <c r="Q161" s="160"/>
      <c r="R161" s="160"/>
      <c r="S161" s="160"/>
      <c r="T161" s="160"/>
      <c r="U161" s="160"/>
      <c r="V161" s="160"/>
      <c r="W161" s="160"/>
      <c r="X161" s="160"/>
      <c r="Y161" s="160"/>
      <c r="Z161" s="160"/>
      <c r="AA161" s="160"/>
    </row>
    <row r="162" spans="1:27" ht="12.75" customHeight="1" x14ac:dyDescent="0.2">
      <c r="A162" s="160"/>
      <c r="B162" s="160"/>
      <c r="D162" s="160"/>
      <c r="F162" s="160"/>
      <c r="G162" s="160"/>
      <c r="H162" s="160"/>
      <c r="I162" s="160"/>
      <c r="J162" s="160"/>
      <c r="K162" s="160"/>
      <c r="L162" s="160"/>
      <c r="M162" s="160"/>
      <c r="N162" s="160"/>
      <c r="O162" s="160"/>
      <c r="P162" s="160"/>
      <c r="Q162" s="160"/>
      <c r="R162" s="160"/>
      <c r="S162" s="160"/>
      <c r="T162" s="160"/>
      <c r="U162" s="160"/>
      <c r="V162" s="160"/>
      <c r="W162" s="160"/>
      <c r="X162" s="160"/>
      <c r="Y162" s="160"/>
      <c r="Z162" s="160"/>
      <c r="AA162" s="160"/>
    </row>
    <row r="163" spans="1:27" ht="12.75" customHeight="1" x14ac:dyDescent="0.2">
      <c r="A163" s="160"/>
      <c r="B163" s="160"/>
      <c r="D163" s="160"/>
      <c r="F163" s="160"/>
      <c r="G163" s="160"/>
      <c r="H163" s="160"/>
      <c r="I163" s="160"/>
      <c r="J163" s="160"/>
      <c r="K163" s="160"/>
      <c r="L163" s="160"/>
      <c r="M163" s="160"/>
      <c r="N163" s="160"/>
      <c r="O163" s="160"/>
      <c r="P163" s="160"/>
      <c r="Q163" s="160"/>
      <c r="R163" s="160"/>
      <c r="S163" s="160"/>
      <c r="T163" s="160"/>
      <c r="U163" s="160"/>
      <c r="V163" s="160"/>
      <c r="W163" s="160"/>
      <c r="X163" s="160"/>
      <c r="Y163" s="160"/>
      <c r="Z163" s="160"/>
      <c r="AA163" s="160"/>
    </row>
    <row r="164" spans="1:27" ht="12.75" customHeight="1" x14ac:dyDescent="0.2">
      <c r="A164" s="160"/>
      <c r="B164" s="160"/>
      <c r="D164" s="160"/>
      <c r="F164" s="160"/>
      <c r="G164" s="160"/>
      <c r="H164" s="160"/>
      <c r="I164" s="160"/>
      <c r="J164" s="160"/>
      <c r="K164" s="160"/>
      <c r="L164" s="160"/>
      <c r="M164" s="160"/>
      <c r="N164" s="160"/>
      <c r="O164" s="160"/>
      <c r="P164" s="160"/>
      <c r="Q164" s="160"/>
      <c r="R164" s="160"/>
      <c r="S164" s="160"/>
      <c r="T164" s="160"/>
      <c r="U164" s="160"/>
      <c r="V164" s="160"/>
      <c r="W164" s="160"/>
      <c r="X164" s="160"/>
      <c r="Y164" s="160"/>
      <c r="Z164" s="160"/>
      <c r="AA164" s="160"/>
    </row>
    <row r="165" spans="1:27" ht="12.75" customHeight="1" x14ac:dyDescent="0.2">
      <c r="A165" s="160"/>
      <c r="B165" s="160"/>
      <c r="D165" s="160"/>
      <c r="F165" s="160"/>
      <c r="G165" s="160"/>
      <c r="H165" s="160"/>
      <c r="I165" s="160"/>
      <c r="J165" s="160"/>
      <c r="K165" s="160"/>
      <c r="L165" s="160"/>
      <c r="M165" s="160"/>
      <c r="N165" s="160"/>
      <c r="O165" s="160"/>
      <c r="P165" s="160"/>
      <c r="Q165" s="160"/>
      <c r="R165" s="160"/>
      <c r="S165" s="160"/>
      <c r="T165" s="160"/>
      <c r="U165" s="160"/>
      <c r="V165" s="160"/>
      <c r="W165" s="160"/>
      <c r="X165" s="160"/>
      <c r="Y165" s="160"/>
      <c r="Z165" s="160"/>
      <c r="AA165" s="160"/>
    </row>
    <row r="166" spans="1:27" ht="12.75" customHeight="1" x14ac:dyDescent="0.2">
      <c r="A166" s="160"/>
      <c r="B166" s="160"/>
      <c r="D166" s="160"/>
      <c r="F166" s="160"/>
      <c r="G166" s="160"/>
      <c r="H166" s="160"/>
      <c r="I166" s="160"/>
      <c r="J166" s="160"/>
      <c r="K166" s="160"/>
      <c r="L166" s="160"/>
      <c r="M166" s="160"/>
      <c r="N166" s="160"/>
      <c r="O166" s="160"/>
      <c r="P166" s="160"/>
      <c r="Q166" s="160"/>
      <c r="R166" s="160"/>
      <c r="S166" s="160"/>
      <c r="T166" s="160"/>
      <c r="U166" s="160"/>
      <c r="V166" s="160"/>
      <c r="W166" s="160"/>
      <c r="X166" s="160"/>
      <c r="Y166" s="160"/>
      <c r="Z166" s="160"/>
      <c r="AA166" s="160"/>
    </row>
    <row r="167" spans="1:27" ht="12.75" customHeight="1" x14ac:dyDescent="0.2">
      <c r="A167" s="160"/>
      <c r="B167" s="160"/>
      <c r="D167" s="160"/>
      <c r="F167" s="160"/>
      <c r="G167" s="160"/>
      <c r="H167" s="160"/>
      <c r="I167" s="160"/>
      <c r="J167" s="160"/>
      <c r="K167" s="160"/>
      <c r="L167" s="160"/>
      <c r="M167" s="160"/>
      <c r="N167" s="160"/>
      <c r="O167" s="160"/>
      <c r="P167" s="160"/>
      <c r="Q167" s="160"/>
      <c r="R167" s="160"/>
      <c r="S167" s="160"/>
      <c r="T167" s="160"/>
      <c r="U167" s="160"/>
      <c r="V167" s="160"/>
      <c r="W167" s="160"/>
      <c r="X167" s="160"/>
      <c r="Y167" s="160"/>
      <c r="Z167" s="160"/>
      <c r="AA167" s="160"/>
    </row>
    <row r="168" spans="1:27" ht="12.75" customHeight="1" x14ac:dyDescent="0.2">
      <c r="A168" s="160"/>
      <c r="B168" s="160"/>
      <c r="D168" s="160"/>
      <c r="F168" s="160"/>
      <c r="G168" s="160"/>
      <c r="H168" s="160"/>
      <c r="I168" s="160"/>
      <c r="J168" s="160"/>
      <c r="K168" s="160"/>
      <c r="L168" s="160"/>
      <c r="M168" s="160"/>
      <c r="N168" s="160"/>
      <c r="O168" s="160"/>
      <c r="P168" s="160"/>
      <c r="Q168" s="160"/>
      <c r="R168" s="160"/>
      <c r="S168" s="160"/>
      <c r="T168" s="160"/>
      <c r="U168" s="160"/>
      <c r="V168" s="160"/>
      <c r="W168" s="160"/>
      <c r="X168" s="160"/>
      <c r="Y168" s="160"/>
      <c r="Z168" s="160"/>
      <c r="AA168" s="160"/>
    </row>
    <row r="169" spans="1:27" ht="12.75" customHeight="1" x14ac:dyDescent="0.2">
      <c r="A169" s="160"/>
      <c r="B169" s="160"/>
      <c r="D169" s="160"/>
      <c r="F169" s="160"/>
      <c r="G169" s="160"/>
      <c r="H169" s="160"/>
      <c r="I169" s="160"/>
      <c r="J169" s="160"/>
      <c r="K169" s="160"/>
      <c r="L169" s="160"/>
      <c r="M169" s="160"/>
      <c r="N169" s="160"/>
      <c r="O169" s="160"/>
      <c r="P169" s="160"/>
      <c r="Q169" s="160"/>
      <c r="R169" s="160"/>
      <c r="S169" s="160"/>
      <c r="T169" s="160"/>
      <c r="U169" s="160"/>
      <c r="V169" s="160"/>
      <c r="W169" s="160"/>
      <c r="X169" s="160"/>
      <c r="Y169" s="160"/>
      <c r="Z169" s="160"/>
      <c r="AA169" s="160"/>
    </row>
    <row r="170" spans="1:27" ht="12.75" customHeight="1" x14ac:dyDescent="0.2">
      <c r="A170" s="160"/>
      <c r="B170" s="160"/>
      <c r="D170" s="160"/>
      <c r="F170" s="160"/>
      <c r="G170" s="160"/>
      <c r="H170" s="160"/>
      <c r="I170" s="160"/>
      <c r="J170" s="160"/>
      <c r="K170" s="160"/>
      <c r="L170" s="160"/>
      <c r="M170" s="160"/>
      <c r="N170" s="160"/>
      <c r="O170" s="160"/>
      <c r="P170" s="160"/>
      <c r="Q170" s="160"/>
      <c r="R170" s="160"/>
      <c r="S170" s="160"/>
      <c r="T170" s="160"/>
      <c r="U170" s="160"/>
      <c r="V170" s="160"/>
      <c r="W170" s="160"/>
      <c r="X170" s="160"/>
      <c r="Y170" s="160"/>
      <c r="Z170" s="160"/>
      <c r="AA170" s="160"/>
    </row>
    <row r="171" spans="1:27" ht="12.75" customHeight="1" x14ac:dyDescent="0.2">
      <c r="A171" s="160"/>
      <c r="B171" s="160"/>
      <c r="D171" s="160"/>
      <c r="F171" s="160"/>
      <c r="G171" s="160"/>
      <c r="H171" s="160"/>
      <c r="I171" s="160"/>
      <c r="J171" s="160"/>
      <c r="K171" s="160"/>
      <c r="L171" s="160"/>
      <c r="M171" s="160"/>
      <c r="N171" s="160"/>
      <c r="O171" s="160"/>
      <c r="P171" s="160"/>
      <c r="Q171" s="160"/>
      <c r="R171" s="160"/>
      <c r="S171" s="160"/>
      <c r="T171" s="160"/>
      <c r="U171" s="160"/>
      <c r="V171" s="160"/>
      <c r="W171" s="160"/>
      <c r="X171" s="160"/>
      <c r="Y171" s="160"/>
      <c r="Z171" s="160"/>
      <c r="AA171" s="160"/>
    </row>
    <row r="172" spans="1:27" ht="12.75" customHeight="1" x14ac:dyDescent="0.2">
      <c r="A172" s="160"/>
      <c r="B172" s="160"/>
      <c r="D172" s="160"/>
      <c r="F172" s="160"/>
      <c r="G172" s="160"/>
      <c r="H172" s="160"/>
      <c r="I172" s="160"/>
      <c r="J172" s="160"/>
      <c r="K172" s="160"/>
      <c r="L172" s="160"/>
      <c r="M172" s="160"/>
      <c r="N172" s="160"/>
      <c r="O172" s="160"/>
      <c r="P172" s="160"/>
      <c r="Q172" s="160"/>
      <c r="R172" s="160"/>
      <c r="S172" s="160"/>
      <c r="T172" s="160"/>
      <c r="U172" s="160"/>
      <c r="V172" s="160"/>
      <c r="W172" s="160"/>
      <c r="X172" s="160"/>
      <c r="Y172" s="160"/>
      <c r="Z172" s="160"/>
      <c r="AA172" s="160"/>
    </row>
    <row r="173" spans="1:27" ht="12.75" customHeight="1" x14ac:dyDescent="0.2">
      <c r="A173" s="160"/>
      <c r="B173" s="160"/>
      <c r="D173" s="160"/>
      <c r="F173" s="160"/>
      <c r="G173" s="160"/>
      <c r="H173" s="160"/>
      <c r="I173" s="160"/>
      <c r="J173" s="160"/>
      <c r="K173" s="160"/>
      <c r="L173" s="160"/>
      <c r="M173" s="160"/>
      <c r="N173" s="160"/>
      <c r="O173" s="160"/>
      <c r="P173" s="160"/>
      <c r="Q173" s="160"/>
      <c r="R173" s="160"/>
      <c r="S173" s="160"/>
      <c r="T173" s="160"/>
      <c r="U173" s="160"/>
      <c r="V173" s="160"/>
      <c r="W173" s="160"/>
      <c r="X173" s="160"/>
      <c r="Y173" s="160"/>
      <c r="Z173" s="160"/>
      <c r="AA173" s="160"/>
    </row>
    <row r="174" spans="1:27" ht="12.75" customHeight="1" x14ac:dyDescent="0.2">
      <c r="A174" s="160"/>
      <c r="B174" s="160"/>
      <c r="D174" s="160"/>
      <c r="F174" s="160"/>
      <c r="G174" s="160"/>
      <c r="H174" s="160"/>
      <c r="I174" s="160"/>
      <c r="J174" s="160"/>
      <c r="K174" s="160"/>
      <c r="L174" s="160"/>
      <c r="M174" s="160"/>
      <c r="N174" s="160"/>
      <c r="O174" s="160"/>
      <c r="P174" s="160"/>
      <c r="Q174" s="160"/>
      <c r="R174" s="160"/>
      <c r="S174" s="160"/>
      <c r="T174" s="160"/>
      <c r="U174" s="160"/>
      <c r="V174" s="160"/>
      <c r="W174" s="160"/>
      <c r="X174" s="160"/>
      <c r="Y174" s="160"/>
      <c r="Z174" s="160"/>
      <c r="AA174" s="160"/>
    </row>
    <row r="175" spans="1:27" ht="12.75" customHeight="1" x14ac:dyDescent="0.2">
      <c r="A175" s="160"/>
      <c r="B175" s="160"/>
      <c r="D175" s="160"/>
      <c r="F175" s="160"/>
      <c r="G175" s="160"/>
      <c r="H175" s="160"/>
      <c r="I175" s="160"/>
      <c r="J175" s="160"/>
      <c r="K175" s="160"/>
      <c r="L175" s="160"/>
      <c r="M175" s="160"/>
      <c r="N175" s="160"/>
      <c r="O175" s="160"/>
      <c r="P175" s="160"/>
      <c r="Q175" s="160"/>
      <c r="R175" s="160"/>
      <c r="S175" s="160"/>
      <c r="T175" s="160"/>
      <c r="U175" s="160"/>
      <c r="V175" s="160"/>
      <c r="W175" s="160"/>
      <c r="X175" s="160"/>
      <c r="Y175" s="160"/>
      <c r="Z175" s="160"/>
      <c r="AA175" s="160"/>
    </row>
    <row r="176" spans="1:27" ht="12.75" customHeight="1" x14ac:dyDescent="0.2">
      <c r="A176" s="160"/>
      <c r="B176" s="160"/>
      <c r="D176" s="160"/>
      <c r="F176" s="160"/>
      <c r="G176" s="160"/>
      <c r="H176" s="160"/>
      <c r="I176" s="160"/>
      <c r="J176" s="160"/>
      <c r="K176" s="160"/>
      <c r="L176" s="160"/>
      <c r="M176" s="160"/>
      <c r="N176" s="160"/>
      <c r="O176" s="160"/>
      <c r="P176" s="160"/>
      <c r="Q176" s="160"/>
      <c r="R176" s="160"/>
      <c r="S176" s="160"/>
      <c r="T176" s="160"/>
      <c r="U176" s="160"/>
      <c r="V176" s="160"/>
      <c r="W176" s="160"/>
      <c r="X176" s="160"/>
      <c r="Y176" s="160"/>
      <c r="Z176" s="160"/>
      <c r="AA176" s="160"/>
    </row>
    <row r="177" spans="1:27" ht="12.75" customHeight="1" x14ac:dyDescent="0.2">
      <c r="A177" s="160"/>
      <c r="B177" s="160"/>
      <c r="D177" s="160"/>
      <c r="F177" s="160"/>
      <c r="G177" s="160"/>
      <c r="H177" s="160"/>
      <c r="I177" s="160"/>
      <c r="J177" s="160"/>
      <c r="K177" s="160"/>
      <c r="L177" s="160"/>
      <c r="M177" s="160"/>
      <c r="N177" s="160"/>
      <c r="O177" s="160"/>
      <c r="P177" s="160"/>
      <c r="Q177" s="160"/>
      <c r="R177" s="160"/>
      <c r="S177" s="160"/>
      <c r="T177" s="160"/>
      <c r="U177" s="160"/>
      <c r="V177" s="160"/>
      <c r="W177" s="160"/>
      <c r="X177" s="160"/>
      <c r="Y177" s="160"/>
      <c r="Z177" s="160"/>
      <c r="AA177" s="160"/>
    </row>
    <row r="178" spans="1:27" ht="12.75" customHeight="1" x14ac:dyDescent="0.2">
      <c r="A178" s="160"/>
      <c r="B178" s="160"/>
      <c r="D178" s="160"/>
      <c r="F178" s="160"/>
      <c r="G178" s="160"/>
      <c r="H178" s="160"/>
      <c r="I178" s="160"/>
      <c r="J178" s="160"/>
      <c r="K178" s="160"/>
      <c r="L178" s="160"/>
      <c r="M178" s="160"/>
      <c r="N178" s="160"/>
      <c r="O178" s="160"/>
      <c r="P178" s="160"/>
      <c r="Q178" s="160"/>
      <c r="R178" s="160"/>
      <c r="S178" s="160"/>
      <c r="T178" s="160"/>
      <c r="U178" s="160"/>
      <c r="V178" s="160"/>
      <c r="W178" s="160"/>
      <c r="X178" s="160"/>
      <c r="Y178" s="160"/>
      <c r="Z178" s="160"/>
      <c r="AA178" s="160"/>
    </row>
    <row r="179" spans="1:27" ht="12.75" customHeight="1" x14ac:dyDescent="0.2">
      <c r="A179" s="160"/>
      <c r="B179" s="160"/>
      <c r="D179" s="160"/>
      <c r="F179" s="160"/>
      <c r="G179" s="160"/>
      <c r="H179" s="160"/>
      <c r="I179" s="160"/>
      <c r="J179" s="160"/>
      <c r="K179" s="160"/>
      <c r="L179" s="160"/>
      <c r="M179" s="160"/>
      <c r="N179" s="160"/>
      <c r="O179" s="160"/>
      <c r="P179" s="160"/>
      <c r="Q179" s="160"/>
      <c r="R179" s="160"/>
      <c r="S179" s="160"/>
      <c r="T179" s="160"/>
      <c r="U179" s="160"/>
      <c r="V179" s="160"/>
      <c r="W179" s="160"/>
      <c r="X179" s="160"/>
      <c r="Y179" s="160"/>
      <c r="Z179" s="160"/>
      <c r="AA179" s="160"/>
    </row>
    <row r="180" spans="1:27" ht="12.75" customHeight="1" x14ac:dyDescent="0.2">
      <c r="A180" s="160"/>
      <c r="B180" s="160"/>
      <c r="D180" s="160"/>
      <c r="F180" s="160"/>
      <c r="G180" s="160"/>
      <c r="H180" s="160"/>
      <c r="I180" s="160"/>
      <c r="J180" s="160"/>
      <c r="K180" s="160"/>
      <c r="L180" s="160"/>
      <c r="M180" s="160"/>
      <c r="N180" s="160"/>
      <c r="O180" s="160"/>
      <c r="P180" s="160"/>
      <c r="Q180" s="160"/>
      <c r="R180" s="160"/>
      <c r="S180" s="160"/>
      <c r="T180" s="160"/>
      <c r="U180" s="160"/>
      <c r="V180" s="160"/>
      <c r="W180" s="160"/>
      <c r="X180" s="160"/>
      <c r="Y180" s="160"/>
      <c r="Z180" s="160"/>
      <c r="AA180" s="160"/>
    </row>
    <row r="181" spans="1:27" ht="12.75" customHeight="1" x14ac:dyDescent="0.2">
      <c r="A181" s="160"/>
      <c r="B181" s="160"/>
      <c r="D181" s="160"/>
      <c r="F181" s="160"/>
      <c r="G181" s="160"/>
      <c r="H181" s="160"/>
      <c r="I181" s="160"/>
      <c r="J181" s="160"/>
      <c r="K181" s="160"/>
      <c r="L181" s="160"/>
      <c r="M181" s="160"/>
      <c r="N181" s="160"/>
      <c r="O181" s="160"/>
      <c r="P181" s="160"/>
      <c r="Q181" s="160"/>
      <c r="R181" s="160"/>
      <c r="S181" s="160"/>
      <c r="T181" s="160"/>
      <c r="U181" s="160"/>
      <c r="V181" s="160"/>
      <c r="W181" s="160"/>
      <c r="X181" s="160"/>
      <c r="Y181" s="160"/>
      <c r="Z181" s="160"/>
      <c r="AA181" s="160"/>
    </row>
    <row r="182" spans="1:27" ht="12.75" customHeight="1" x14ac:dyDescent="0.2">
      <c r="A182" s="160"/>
      <c r="B182" s="160"/>
      <c r="D182" s="160"/>
      <c r="F182" s="160"/>
      <c r="G182" s="160"/>
      <c r="H182" s="160"/>
      <c r="I182" s="160"/>
      <c r="J182" s="160"/>
      <c r="K182" s="160"/>
      <c r="L182" s="160"/>
      <c r="M182" s="160"/>
      <c r="N182" s="160"/>
      <c r="O182" s="160"/>
      <c r="P182" s="160"/>
      <c r="Q182" s="160"/>
      <c r="R182" s="160"/>
      <c r="S182" s="160"/>
      <c r="T182" s="160"/>
      <c r="U182" s="160"/>
      <c r="V182" s="160"/>
      <c r="W182" s="160"/>
      <c r="X182" s="160"/>
      <c r="Y182" s="160"/>
      <c r="Z182" s="160"/>
      <c r="AA182" s="160"/>
    </row>
    <row r="183" spans="1:27" ht="12.75" customHeight="1" x14ac:dyDescent="0.2">
      <c r="A183" s="160"/>
      <c r="B183" s="160"/>
      <c r="D183" s="160"/>
      <c r="F183" s="160"/>
      <c r="G183" s="160"/>
      <c r="H183" s="160"/>
      <c r="I183" s="160"/>
      <c r="J183" s="160"/>
      <c r="K183" s="160"/>
      <c r="L183" s="160"/>
      <c r="M183" s="160"/>
      <c r="N183" s="160"/>
      <c r="O183" s="160"/>
      <c r="P183" s="160"/>
      <c r="Q183" s="160"/>
      <c r="R183" s="160"/>
      <c r="S183" s="160"/>
      <c r="T183" s="160"/>
      <c r="U183" s="160"/>
      <c r="V183" s="160"/>
      <c r="W183" s="160"/>
      <c r="X183" s="160"/>
      <c r="Y183" s="160"/>
      <c r="Z183" s="160"/>
      <c r="AA183" s="160"/>
    </row>
    <row r="184" spans="1:27" ht="12.75" customHeight="1" x14ac:dyDescent="0.2">
      <c r="A184" s="160"/>
      <c r="B184" s="160"/>
      <c r="D184" s="160"/>
      <c r="F184" s="160"/>
      <c r="G184" s="160"/>
      <c r="H184" s="160"/>
      <c r="I184" s="160"/>
      <c r="J184" s="160"/>
      <c r="K184" s="160"/>
      <c r="L184" s="160"/>
      <c r="M184" s="160"/>
      <c r="N184" s="160"/>
      <c r="O184" s="160"/>
      <c r="P184" s="160"/>
      <c r="Q184" s="160"/>
      <c r="R184" s="160"/>
      <c r="S184" s="160"/>
      <c r="T184" s="160"/>
      <c r="U184" s="160"/>
      <c r="V184" s="160"/>
      <c r="W184" s="160"/>
      <c r="X184" s="160"/>
      <c r="Y184" s="160"/>
      <c r="Z184" s="160"/>
      <c r="AA184" s="160"/>
    </row>
    <row r="185" spans="1:27" ht="12.75" customHeight="1" x14ac:dyDescent="0.2">
      <c r="A185" s="160"/>
      <c r="B185" s="160"/>
      <c r="D185" s="160"/>
      <c r="F185" s="160"/>
      <c r="G185" s="160"/>
      <c r="H185" s="160"/>
      <c r="I185" s="160"/>
      <c r="J185" s="160"/>
      <c r="K185" s="160"/>
      <c r="L185" s="160"/>
      <c r="M185" s="160"/>
      <c r="N185" s="160"/>
      <c r="O185" s="160"/>
      <c r="P185" s="160"/>
      <c r="Q185" s="160"/>
      <c r="R185" s="160"/>
      <c r="S185" s="160"/>
      <c r="T185" s="160"/>
      <c r="U185" s="160"/>
      <c r="V185" s="160"/>
      <c r="W185" s="160"/>
      <c r="X185" s="160"/>
      <c r="Y185" s="160"/>
      <c r="Z185" s="160"/>
      <c r="AA185" s="160"/>
    </row>
    <row r="186" spans="1:27" ht="12.75" customHeight="1" x14ac:dyDescent="0.2">
      <c r="A186" s="160"/>
      <c r="B186" s="160"/>
      <c r="D186" s="160"/>
      <c r="F186" s="160"/>
      <c r="G186" s="160"/>
      <c r="H186" s="160"/>
      <c r="I186" s="160"/>
      <c r="J186" s="160"/>
      <c r="K186" s="160"/>
      <c r="L186" s="160"/>
      <c r="M186" s="160"/>
      <c r="N186" s="160"/>
      <c r="O186" s="160"/>
      <c r="P186" s="160"/>
      <c r="Q186" s="160"/>
      <c r="R186" s="160"/>
      <c r="S186" s="160"/>
      <c r="T186" s="160"/>
      <c r="U186" s="160"/>
      <c r="V186" s="160"/>
      <c r="W186" s="160"/>
      <c r="X186" s="160"/>
      <c r="Y186" s="160"/>
      <c r="Z186" s="160"/>
      <c r="AA186" s="160"/>
    </row>
    <row r="187" spans="1:27" ht="12.75" customHeight="1" x14ac:dyDescent="0.2">
      <c r="A187" s="160"/>
      <c r="B187" s="160"/>
      <c r="D187" s="160"/>
      <c r="F187" s="160"/>
      <c r="G187" s="160"/>
      <c r="H187" s="160"/>
      <c r="I187" s="160"/>
      <c r="J187" s="160"/>
      <c r="K187" s="160"/>
      <c r="L187" s="160"/>
      <c r="M187" s="160"/>
      <c r="N187" s="160"/>
      <c r="O187" s="160"/>
      <c r="P187" s="160"/>
      <c r="Q187" s="160"/>
      <c r="R187" s="160"/>
      <c r="S187" s="160"/>
      <c r="T187" s="160"/>
      <c r="U187" s="160"/>
      <c r="V187" s="160"/>
      <c r="W187" s="160"/>
      <c r="X187" s="160"/>
      <c r="Y187" s="160"/>
      <c r="Z187" s="160"/>
      <c r="AA187" s="160"/>
    </row>
    <row r="188" spans="1:27" ht="12.75" customHeight="1" x14ac:dyDescent="0.2">
      <c r="A188" s="160"/>
      <c r="B188" s="160"/>
      <c r="D188" s="160"/>
      <c r="F188" s="160"/>
      <c r="G188" s="160"/>
      <c r="H188" s="160"/>
      <c r="I188" s="160"/>
      <c r="J188" s="160"/>
      <c r="K188" s="160"/>
      <c r="L188" s="160"/>
      <c r="M188" s="160"/>
      <c r="N188" s="160"/>
      <c r="O188" s="160"/>
      <c r="P188" s="160"/>
      <c r="Q188" s="160"/>
      <c r="R188" s="160"/>
      <c r="S188" s="160"/>
      <c r="T188" s="160"/>
      <c r="U188" s="160"/>
      <c r="V188" s="160"/>
      <c r="W188" s="160"/>
      <c r="X188" s="160"/>
      <c r="Y188" s="160"/>
      <c r="Z188" s="160"/>
      <c r="AA188" s="160"/>
    </row>
    <row r="189" spans="1:27" ht="12.75" customHeight="1" x14ac:dyDescent="0.2">
      <c r="A189" s="160"/>
      <c r="B189" s="160"/>
      <c r="D189" s="160"/>
      <c r="F189" s="160"/>
      <c r="G189" s="160"/>
      <c r="H189" s="160"/>
      <c r="I189" s="160"/>
      <c r="J189" s="160"/>
      <c r="K189" s="160"/>
      <c r="L189" s="160"/>
      <c r="M189" s="160"/>
      <c r="N189" s="160"/>
      <c r="O189" s="160"/>
      <c r="P189" s="160"/>
      <c r="Q189" s="160"/>
      <c r="R189" s="160"/>
      <c r="S189" s="160"/>
      <c r="T189" s="160"/>
      <c r="U189" s="160"/>
      <c r="V189" s="160"/>
      <c r="W189" s="160"/>
      <c r="X189" s="160"/>
      <c r="Y189" s="160"/>
      <c r="Z189" s="160"/>
      <c r="AA189" s="160"/>
    </row>
    <row r="190" spans="1:27" ht="12.75" customHeight="1" x14ac:dyDescent="0.2">
      <c r="A190" s="160"/>
      <c r="B190" s="160"/>
      <c r="D190" s="160"/>
      <c r="F190" s="160"/>
      <c r="G190" s="160"/>
      <c r="H190" s="160"/>
      <c r="I190" s="160"/>
      <c r="J190" s="160"/>
      <c r="K190" s="160"/>
      <c r="L190" s="160"/>
      <c r="M190" s="160"/>
      <c r="N190" s="160"/>
      <c r="O190" s="160"/>
      <c r="P190" s="160"/>
      <c r="Q190" s="160"/>
      <c r="R190" s="160"/>
      <c r="S190" s="160"/>
      <c r="T190" s="160"/>
      <c r="U190" s="160"/>
      <c r="V190" s="160"/>
      <c r="W190" s="160"/>
      <c r="X190" s="160"/>
      <c r="Y190" s="160"/>
      <c r="Z190" s="160"/>
      <c r="AA190" s="160"/>
    </row>
    <row r="191" spans="1:27" ht="12.75" customHeight="1" x14ac:dyDescent="0.2">
      <c r="A191" s="160"/>
      <c r="B191" s="160"/>
      <c r="D191" s="160"/>
      <c r="F191" s="160"/>
      <c r="G191" s="160"/>
      <c r="H191" s="160"/>
      <c r="I191" s="160"/>
      <c r="J191" s="160"/>
      <c r="K191" s="160"/>
      <c r="L191" s="160"/>
      <c r="M191" s="160"/>
      <c r="N191" s="160"/>
      <c r="O191" s="160"/>
      <c r="P191" s="160"/>
      <c r="Q191" s="160"/>
      <c r="R191" s="160"/>
      <c r="S191" s="160"/>
      <c r="T191" s="160"/>
      <c r="U191" s="160"/>
      <c r="V191" s="160"/>
      <c r="W191" s="160"/>
      <c r="X191" s="160"/>
      <c r="Y191" s="160"/>
      <c r="Z191" s="160"/>
      <c r="AA191" s="160"/>
    </row>
    <row r="192" spans="1:27" ht="12.75" customHeight="1" x14ac:dyDescent="0.2">
      <c r="A192" s="160"/>
      <c r="B192" s="160"/>
      <c r="D192" s="160"/>
      <c r="F192" s="160"/>
      <c r="G192" s="160"/>
      <c r="H192" s="160"/>
      <c r="I192" s="160"/>
      <c r="J192" s="160"/>
      <c r="K192" s="160"/>
      <c r="L192" s="160"/>
      <c r="M192" s="160"/>
      <c r="N192" s="160"/>
      <c r="O192" s="160"/>
      <c r="P192" s="160"/>
      <c r="Q192" s="160"/>
      <c r="R192" s="160"/>
      <c r="S192" s="160"/>
      <c r="T192" s="160"/>
      <c r="U192" s="160"/>
      <c r="V192" s="160"/>
      <c r="W192" s="160"/>
      <c r="X192" s="160"/>
      <c r="Y192" s="160"/>
      <c r="Z192" s="160"/>
      <c r="AA192" s="160"/>
    </row>
    <row r="193" spans="1:27" ht="12.75" customHeight="1" x14ac:dyDescent="0.2">
      <c r="A193" s="160"/>
      <c r="B193" s="160"/>
      <c r="D193" s="160"/>
      <c r="F193" s="160"/>
      <c r="G193" s="160"/>
      <c r="H193" s="160"/>
      <c r="I193" s="160"/>
      <c r="J193" s="160"/>
      <c r="K193" s="160"/>
      <c r="L193" s="160"/>
      <c r="M193" s="160"/>
      <c r="N193" s="160"/>
      <c r="O193" s="160"/>
      <c r="P193" s="160"/>
      <c r="Q193" s="160"/>
      <c r="R193" s="160"/>
      <c r="S193" s="160"/>
      <c r="T193" s="160"/>
      <c r="U193" s="160"/>
      <c r="V193" s="160"/>
      <c r="W193" s="160"/>
      <c r="X193" s="160"/>
      <c r="Y193" s="160"/>
      <c r="Z193" s="160"/>
      <c r="AA193" s="160"/>
    </row>
    <row r="194" spans="1:27" ht="12.75" customHeight="1" x14ac:dyDescent="0.2">
      <c r="A194" s="160"/>
      <c r="B194" s="160"/>
      <c r="D194" s="160"/>
      <c r="F194" s="160"/>
      <c r="G194" s="160"/>
      <c r="H194" s="160"/>
      <c r="I194" s="160"/>
      <c r="J194" s="160"/>
      <c r="K194" s="160"/>
      <c r="L194" s="160"/>
      <c r="M194" s="160"/>
      <c r="N194" s="160"/>
      <c r="O194" s="160"/>
      <c r="P194" s="160"/>
      <c r="Q194" s="160"/>
      <c r="R194" s="160"/>
      <c r="S194" s="160"/>
      <c r="T194" s="160"/>
      <c r="U194" s="160"/>
      <c r="V194" s="160"/>
      <c r="W194" s="160"/>
      <c r="X194" s="160"/>
      <c r="Y194" s="160"/>
      <c r="Z194" s="160"/>
      <c r="AA194" s="160"/>
    </row>
    <row r="195" spans="1:27" ht="12.75" customHeight="1" x14ac:dyDescent="0.2">
      <c r="A195" s="160"/>
      <c r="B195" s="160"/>
      <c r="D195" s="160"/>
      <c r="F195" s="160"/>
      <c r="G195" s="160"/>
      <c r="H195" s="160"/>
      <c r="I195" s="160"/>
      <c r="J195" s="160"/>
      <c r="K195" s="160"/>
      <c r="L195" s="160"/>
      <c r="M195" s="160"/>
      <c r="N195" s="160"/>
      <c r="O195" s="160"/>
      <c r="P195" s="160"/>
      <c r="Q195" s="160"/>
      <c r="R195" s="160"/>
      <c r="S195" s="160"/>
      <c r="T195" s="160"/>
      <c r="U195" s="160"/>
      <c r="V195" s="160"/>
      <c r="W195" s="160"/>
      <c r="X195" s="160"/>
      <c r="Y195" s="160"/>
      <c r="Z195" s="160"/>
      <c r="AA195" s="160"/>
    </row>
    <row r="196" spans="1:27" ht="12.75" customHeight="1" x14ac:dyDescent="0.2">
      <c r="A196" s="160"/>
      <c r="B196" s="160"/>
      <c r="D196" s="160"/>
      <c r="F196" s="160"/>
      <c r="G196" s="160"/>
      <c r="H196" s="160"/>
      <c r="I196" s="160"/>
      <c r="J196" s="160"/>
      <c r="K196" s="160"/>
      <c r="L196" s="160"/>
      <c r="M196" s="160"/>
      <c r="N196" s="160"/>
      <c r="O196" s="160"/>
      <c r="P196" s="160"/>
      <c r="Q196" s="160"/>
      <c r="R196" s="160"/>
      <c r="S196" s="160"/>
      <c r="T196" s="160"/>
      <c r="U196" s="160"/>
      <c r="V196" s="160"/>
      <c r="W196" s="160"/>
      <c r="X196" s="160"/>
      <c r="Y196" s="160"/>
      <c r="Z196" s="160"/>
      <c r="AA196" s="160"/>
    </row>
    <row r="197" spans="1:27" ht="12.75" customHeight="1" x14ac:dyDescent="0.2">
      <c r="A197" s="160"/>
      <c r="B197" s="160"/>
      <c r="D197" s="160"/>
      <c r="F197" s="160"/>
      <c r="G197" s="160"/>
      <c r="H197" s="160"/>
      <c r="I197" s="160"/>
      <c r="J197" s="160"/>
      <c r="K197" s="160"/>
      <c r="L197" s="160"/>
      <c r="M197" s="160"/>
      <c r="N197" s="160"/>
      <c r="O197" s="160"/>
      <c r="P197" s="160"/>
      <c r="Q197" s="160"/>
      <c r="R197" s="160"/>
      <c r="S197" s="160"/>
      <c r="T197" s="160"/>
      <c r="U197" s="160"/>
      <c r="V197" s="160"/>
      <c r="W197" s="160"/>
      <c r="X197" s="160"/>
      <c r="Y197" s="160"/>
      <c r="Z197" s="160"/>
      <c r="AA197" s="160"/>
    </row>
    <row r="198" spans="1:27" ht="12.75" customHeight="1" x14ac:dyDescent="0.2">
      <c r="A198" s="160"/>
      <c r="B198" s="160"/>
      <c r="D198" s="160"/>
      <c r="F198" s="160"/>
      <c r="G198" s="160"/>
      <c r="H198" s="160"/>
      <c r="I198" s="160"/>
      <c r="J198" s="160"/>
      <c r="K198" s="160"/>
      <c r="L198" s="160"/>
      <c r="M198" s="160"/>
      <c r="N198" s="160"/>
      <c r="O198" s="160"/>
      <c r="P198" s="160"/>
      <c r="Q198" s="160"/>
      <c r="R198" s="160"/>
      <c r="S198" s="160"/>
      <c r="T198" s="160"/>
      <c r="U198" s="160"/>
      <c r="V198" s="160"/>
      <c r="W198" s="160"/>
      <c r="X198" s="160"/>
      <c r="Y198" s="160"/>
      <c r="Z198" s="160"/>
      <c r="AA198" s="160"/>
    </row>
    <row r="199" spans="1:27" ht="12.75" customHeight="1" x14ac:dyDescent="0.2">
      <c r="A199" s="160"/>
      <c r="B199" s="160"/>
      <c r="D199" s="160"/>
      <c r="F199" s="160"/>
      <c r="G199" s="160"/>
      <c r="H199" s="160"/>
      <c r="I199" s="160"/>
      <c r="J199" s="160"/>
      <c r="K199" s="160"/>
      <c r="L199" s="160"/>
      <c r="M199" s="160"/>
      <c r="N199" s="160"/>
      <c r="O199" s="160"/>
      <c r="P199" s="160"/>
      <c r="Q199" s="160"/>
      <c r="R199" s="160"/>
      <c r="S199" s="160"/>
      <c r="T199" s="160"/>
      <c r="U199" s="160"/>
      <c r="V199" s="160"/>
      <c r="W199" s="160"/>
      <c r="X199" s="160"/>
      <c r="Y199" s="160"/>
      <c r="Z199" s="160"/>
      <c r="AA199" s="160"/>
    </row>
    <row r="200" spans="1:27" ht="12.75" customHeight="1" x14ac:dyDescent="0.2">
      <c r="A200" s="160"/>
      <c r="B200" s="160"/>
      <c r="D200" s="160"/>
      <c r="F200" s="160"/>
      <c r="G200" s="160"/>
      <c r="H200" s="160"/>
      <c r="I200" s="160"/>
      <c r="J200" s="160"/>
      <c r="K200" s="160"/>
      <c r="L200" s="160"/>
      <c r="M200" s="160"/>
      <c r="N200" s="160"/>
      <c r="O200" s="160"/>
      <c r="P200" s="160"/>
      <c r="Q200" s="160"/>
      <c r="R200" s="160"/>
      <c r="S200" s="160"/>
      <c r="T200" s="160"/>
      <c r="U200" s="160"/>
      <c r="V200" s="160"/>
      <c r="W200" s="160"/>
      <c r="X200" s="160"/>
      <c r="Y200" s="160"/>
      <c r="Z200" s="160"/>
      <c r="AA200" s="160"/>
    </row>
    <row r="201" spans="1:27" ht="12.75" customHeight="1" x14ac:dyDescent="0.2">
      <c r="A201" s="160"/>
      <c r="B201" s="160"/>
      <c r="D201" s="160"/>
      <c r="F201" s="160"/>
      <c r="G201" s="160"/>
      <c r="H201" s="160"/>
      <c r="I201" s="160"/>
      <c r="J201" s="160"/>
      <c r="K201" s="160"/>
      <c r="L201" s="160"/>
      <c r="M201" s="160"/>
      <c r="N201" s="160"/>
      <c r="O201" s="160"/>
      <c r="P201" s="160"/>
      <c r="Q201" s="160"/>
      <c r="R201" s="160"/>
      <c r="S201" s="160"/>
      <c r="T201" s="160"/>
      <c r="U201" s="160"/>
      <c r="V201" s="160"/>
      <c r="W201" s="160"/>
      <c r="X201" s="160"/>
      <c r="Y201" s="160"/>
      <c r="Z201" s="160"/>
      <c r="AA201" s="160"/>
    </row>
    <row r="202" spans="1:27" ht="12.75" customHeight="1" x14ac:dyDescent="0.2">
      <c r="A202" s="160"/>
      <c r="B202" s="160"/>
      <c r="D202" s="160"/>
      <c r="F202" s="160"/>
      <c r="G202" s="160"/>
      <c r="H202" s="160"/>
      <c r="I202" s="160"/>
      <c r="J202" s="160"/>
      <c r="K202" s="160"/>
      <c r="L202" s="160"/>
      <c r="M202" s="160"/>
      <c r="N202" s="160"/>
      <c r="O202" s="160"/>
      <c r="P202" s="160"/>
      <c r="Q202" s="160"/>
      <c r="R202" s="160"/>
      <c r="S202" s="160"/>
      <c r="T202" s="160"/>
      <c r="U202" s="160"/>
      <c r="V202" s="160"/>
      <c r="W202" s="160"/>
      <c r="X202" s="160"/>
      <c r="Y202" s="160"/>
      <c r="Z202" s="160"/>
      <c r="AA202" s="160"/>
    </row>
    <row r="203" spans="1:27" ht="12.75" customHeight="1" x14ac:dyDescent="0.2">
      <c r="A203" s="160"/>
      <c r="B203" s="160"/>
      <c r="D203" s="160"/>
      <c r="F203" s="160"/>
      <c r="G203" s="160"/>
      <c r="H203" s="160"/>
      <c r="I203" s="160"/>
      <c r="J203" s="160"/>
      <c r="K203" s="160"/>
      <c r="L203" s="160"/>
      <c r="M203" s="160"/>
      <c r="N203" s="160"/>
      <c r="O203" s="160"/>
      <c r="P203" s="160"/>
      <c r="Q203" s="160"/>
      <c r="R203" s="160"/>
      <c r="S203" s="160"/>
      <c r="T203" s="160"/>
      <c r="U203" s="160"/>
      <c r="V203" s="160"/>
      <c r="W203" s="160"/>
      <c r="X203" s="160"/>
      <c r="Y203" s="160"/>
      <c r="Z203" s="160"/>
      <c r="AA203" s="160"/>
    </row>
    <row r="204" spans="1:27" ht="12.75" customHeight="1" x14ac:dyDescent="0.2">
      <c r="A204" s="160"/>
      <c r="B204" s="160"/>
      <c r="D204" s="160"/>
      <c r="F204" s="160"/>
      <c r="G204" s="160"/>
      <c r="H204" s="160"/>
      <c r="I204" s="160"/>
      <c r="J204" s="160"/>
      <c r="K204" s="160"/>
      <c r="L204" s="160"/>
      <c r="M204" s="160"/>
      <c r="N204" s="160"/>
      <c r="O204" s="160"/>
      <c r="P204" s="160"/>
      <c r="Q204" s="160"/>
      <c r="R204" s="160"/>
      <c r="S204" s="160"/>
      <c r="T204" s="160"/>
      <c r="U204" s="160"/>
      <c r="V204" s="160"/>
      <c r="W204" s="160"/>
      <c r="X204" s="160"/>
      <c r="Y204" s="160"/>
      <c r="Z204" s="160"/>
      <c r="AA204" s="160"/>
    </row>
    <row r="205" spans="1:27" ht="12.75" customHeight="1" x14ac:dyDescent="0.2">
      <c r="A205" s="160"/>
      <c r="B205" s="160"/>
      <c r="D205" s="160"/>
      <c r="F205" s="160"/>
      <c r="G205" s="160"/>
      <c r="H205" s="160"/>
      <c r="I205" s="160"/>
      <c r="J205" s="160"/>
      <c r="K205" s="160"/>
      <c r="L205" s="160"/>
      <c r="M205" s="160"/>
      <c r="N205" s="160"/>
      <c r="O205" s="160"/>
      <c r="P205" s="160"/>
      <c r="Q205" s="160"/>
      <c r="R205" s="160"/>
      <c r="S205" s="160"/>
      <c r="T205" s="160"/>
      <c r="U205" s="160"/>
      <c r="V205" s="160"/>
      <c r="W205" s="160"/>
      <c r="X205" s="160"/>
      <c r="Y205" s="160"/>
      <c r="Z205" s="160"/>
      <c r="AA205" s="160"/>
    </row>
    <row r="206" spans="1:27" ht="12.75" customHeight="1" x14ac:dyDescent="0.2">
      <c r="A206" s="160"/>
      <c r="B206" s="160"/>
      <c r="D206" s="160"/>
      <c r="F206" s="160"/>
      <c r="G206" s="160"/>
      <c r="H206" s="160"/>
      <c r="I206" s="160"/>
      <c r="J206" s="160"/>
      <c r="K206" s="160"/>
      <c r="L206" s="160"/>
      <c r="M206" s="160"/>
      <c r="N206" s="160"/>
      <c r="O206" s="160"/>
      <c r="P206" s="160"/>
      <c r="Q206" s="160"/>
      <c r="R206" s="160"/>
      <c r="S206" s="160"/>
      <c r="T206" s="160"/>
      <c r="U206" s="160"/>
      <c r="V206" s="160"/>
      <c r="W206" s="160"/>
      <c r="X206" s="160"/>
      <c r="Y206" s="160"/>
      <c r="Z206" s="160"/>
      <c r="AA206" s="160"/>
    </row>
    <row r="207" spans="1:27" ht="12.75" customHeight="1" x14ac:dyDescent="0.2">
      <c r="A207" s="160"/>
      <c r="B207" s="160"/>
      <c r="D207" s="160"/>
      <c r="F207" s="160"/>
      <c r="G207" s="160"/>
      <c r="H207" s="160"/>
      <c r="I207" s="160"/>
      <c r="J207" s="160"/>
      <c r="K207" s="160"/>
      <c r="L207" s="160"/>
      <c r="M207" s="160"/>
      <c r="N207" s="160"/>
      <c r="O207" s="160"/>
      <c r="P207" s="160"/>
      <c r="Q207" s="160"/>
      <c r="R207" s="160"/>
      <c r="S207" s="160"/>
      <c r="T207" s="160"/>
      <c r="U207" s="160"/>
      <c r="V207" s="160"/>
      <c r="W207" s="160"/>
      <c r="X207" s="160"/>
      <c r="Y207" s="160"/>
      <c r="Z207" s="160"/>
      <c r="AA207" s="160"/>
    </row>
    <row r="208" spans="1:27" ht="12.75" customHeight="1" x14ac:dyDescent="0.2">
      <c r="A208" s="160"/>
      <c r="B208" s="160"/>
      <c r="D208" s="160"/>
      <c r="F208" s="160"/>
      <c r="G208" s="160"/>
      <c r="H208" s="160"/>
      <c r="I208" s="160"/>
      <c r="J208" s="160"/>
      <c r="K208" s="160"/>
      <c r="L208" s="160"/>
      <c r="M208" s="160"/>
      <c r="N208" s="160"/>
      <c r="O208" s="160"/>
      <c r="P208" s="160"/>
      <c r="Q208" s="160"/>
      <c r="R208" s="160"/>
      <c r="S208" s="160"/>
      <c r="T208" s="160"/>
      <c r="U208" s="160"/>
      <c r="V208" s="160"/>
      <c r="W208" s="160"/>
      <c r="X208" s="160"/>
      <c r="Y208" s="160"/>
      <c r="Z208" s="160"/>
      <c r="AA208" s="160"/>
    </row>
    <row r="209" spans="1:27" ht="12.75" customHeight="1" x14ac:dyDescent="0.2">
      <c r="A209" s="160"/>
      <c r="B209" s="160"/>
      <c r="D209" s="160"/>
      <c r="F209" s="160"/>
      <c r="G209" s="160"/>
      <c r="H209" s="160"/>
      <c r="I209" s="160"/>
      <c r="J209" s="160"/>
      <c r="K209" s="160"/>
      <c r="L209" s="160"/>
      <c r="M209" s="160"/>
      <c r="N209" s="160"/>
      <c r="O209" s="160"/>
      <c r="P209" s="160"/>
      <c r="Q209" s="160"/>
      <c r="R209" s="160"/>
      <c r="S209" s="160"/>
      <c r="T209" s="160"/>
      <c r="U209" s="160"/>
      <c r="V209" s="160"/>
      <c r="W209" s="160"/>
      <c r="X209" s="160"/>
      <c r="Y209" s="160"/>
      <c r="Z209" s="160"/>
      <c r="AA209" s="160"/>
    </row>
    <row r="210" spans="1:27" ht="12.75" customHeight="1" x14ac:dyDescent="0.2">
      <c r="A210" s="160"/>
      <c r="B210" s="160"/>
      <c r="D210" s="160"/>
      <c r="F210" s="160"/>
      <c r="G210" s="160"/>
      <c r="H210" s="160"/>
      <c r="I210" s="160"/>
      <c r="J210" s="160"/>
      <c r="K210" s="160"/>
      <c r="L210" s="160"/>
      <c r="M210" s="160"/>
      <c r="N210" s="160"/>
      <c r="O210" s="160"/>
      <c r="P210" s="160"/>
      <c r="Q210" s="160"/>
      <c r="R210" s="160"/>
      <c r="S210" s="160"/>
      <c r="T210" s="160"/>
      <c r="U210" s="160"/>
      <c r="V210" s="160"/>
      <c r="W210" s="160"/>
      <c r="X210" s="160"/>
      <c r="Y210" s="160"/>
      <c r="Z210" s="160"/>
      <c r="AA210" s="160"/>
    </row>
    <row r="211" spans="1:27" ht="12.75" customHeight="1" x14ac:dyDescent="0.2">
      <c r="A211" s="160"/>
      <c r="B211" s="160"/>
      <c r="D211" s="160"/>
      <c r="F211" s="160"/>
      <c r="G211" s="160"/>
      <c r="H211" s="160"/>
      <c r="I211" s="160"/>
      <c r="J211" s="160"/>
      <c r="K211" s="160"/>
      <c r="L211" s="160"/>
      <c r="M211" s="160"/>
      <c r="N211" s="160"/>
      <c r="O211" s="160"/>
      <c r="P211" s="160"/>
      <c r="Q211" s="160"/>
      <c r="R211" s="160"/>
      <c r="S211" s="160"/>
      <c r="T211" s="160"/>
      <c r="U211" s="160"/>
      <c r="V211" s="160"/>
      <c r="W211" s="160"/>
      <c r="X211" s="160"/>
      <c r="Y211" s="160"/>
      <c r="Z211" s="160"/>
      <c r="AA211" s="160"/>
    </row>
    <row r="212" spans="1:27" ht="12.75" customHeight="1" x14ac:dyDescent="0.2">
      <c r="A212" s="160"/>
      <c r="B212" s="160"/>
      <c r="D212" s="160"/>
      <c r="F212" s="160"/>
      <c r="G212" s="160"/>
      <c r="H212" s="160"/>
      <c r="I212" s="160"/>
      <c r="J212" s="160"/>
      <c r="K212" s="160"/>
      <c r="L212" s="160"/>
      <c r="M212" s="160"/>
      <c r="N212" s="160"/>
      <c r="O212" s="160"/>
      <c r="P212" s="160"/>
      <c r="Q212" s="160"/>
      <c r="R212" s="160"/>
      <c r="S212" s="160"/>
      <c r="T212" s="160"/>
      <c r="U212" s="160"/>
      <c r="V212" s="160"/>
      <c r="W212" s="160"/>
      <c r="X212" s="160"/>
      <c r="Y212" s="160"/>
      <c r="Z212" s="160"/>
      <c r="AA212" s="160"/>
    </row>
    <row r="213" spans="1:27" ht="12.75" customHeight="1" x14ac:dyDescent="0.2">
      <c r="A213" s="160"/>
      <c r="B213" s="160"/>
      <c r="D213" s="160"/>
      <c r="F213" s="160"/>
      <c r="G213" s="160"/>
      <c r="H213" s="160"/>
      <c r="I213" s="160"/>
      <c r="J213" s="160"/>
      <c r="K213" s="160"/>
      <c r="L213" s="160"/>
      <c r="M213" s="160"/>
      <c r="N213" s="160"/>
      <c r="O213" s="160"/>
      <c r="P213" s="160"/>
      <c r="Q213" s="160"/>
      <c r="R213" s="160"/>
      <c r="S213" s="160"/>
      <c r="T213" s="160"/>
      <c r="U213" s="160"/>
      <c r="V213" s="160"/>
      <c r="W213" s="160"/>
      <c r="X213" s="160"/>
      <c r="Y213" s="160"/>
      <c r="Z213" s="160"/>
      <c r="AA213" s="160"/>
    </row>
    <row r="214" spans="1:27" ht="12.75" customHeight="1" x14ac:dyDescent="0.2">
      <c r="A214" s="160"/>
      <c r="B214" s="160"/>
      <c r="D214" s="160"/>
      <c r="F214" s="160"/>
      <c r="G214" s="160"/>
      <c r="H214" s="160"/>
      <c r="I214" s="160"/>
      <c r="J214" s="160"/>
      <c r="K214" s="160"/>
      <c r="L214" s="160"/>
      <c r="M214" s="160"/>
      <c r="N214" s="160"/>
      <c r="O214" s="160"/>
      <c r="P214" s="160"/>
      <c r="Q214" s="160"/>
      <c r="R214" s="160"/>
      <c r="S214" s="160"/>
      <c r="T214" s="160"/>
      <c r="U214" s="160"/>
      <c r="V214" s="160"/>
      <c r="W214" s="160"/>
      <c r="X214" s="160"/>
      <c r="Y214" s="160"/>
      <c r="Z214" s="160"/>
      <c r="AA214" s="160"/>
    </row>
    <row r="215" spans="1:27" ht="12.75" customHeight="1" x14ac:dyDescent="0.2">
      <c r="A215" s="160"/>
      <c r="B215" s="160"/>
      <c r="D215" s="160"/>
      <c r="F215" s="160"/>
      <c r="G215" s="160"/>
      <c r="H215" s="160"/>
      <c r="I215" s="160"/>
      <c r="J215" s="160"/>
      <c r="K215" s="160"/>
      <c r="L215" s="160"/>
      <c r="M215" s="160"/>
      <c r="N215" s="160"/>
      <c r="O215" s="160"/>
      <c r="P215" s="160"/>
      <c r="Q215" s="160"/>
      <c r="R215" s="160"/>
      <c r="S215" s="160"/>
      <c r="T215" s="160"/>
      <c r="U215" s="160"/>
      <c r="V215" s="160"/>
      <c r="W215" s="160"/>
      <c r="X215" s="160"/>
      <c r="Y215" s="160"/>
      <c r="Z215" s="160"/>
      <c r="AA215" s="160"/>
    </row>
    <row r="216" spans="1:27" ht="12.75" customHeight="1" x14ac:dyDescent="0.2">
      <c r="A216" s="160"/>
      <c r="B216" s="160"/>
      <c r="D216" s="160"/>
      <c r="F216" s="160"/>
      <c r="G216" s="160"/>
      <c r="H216" s="160"/>
      <c r="I216" s="160"/>
      <c r="J216" s="160"/>
      <c r="K216" s="160"/>
      <c r="L216" s="160"/>
      <c r="M216" s="160"/>
      <c r="N216" s="160"/>
      <c r="O216" s="160"/>
      <c r="P216" s="160"/>
      <c r="Q216" s="160"/>
      <c r="R216" s="160"/>
      <c r="S216" s="160"/>
      <c r="T216" s="160"/>
      <c r="U216" s="160"/>
      <c r="V216" s="160"/>
      <c r="W216" s="160"/>
      <c r="X216" s="160"/>
      <c r="Y216" s="160"/>
      <c r="Z216" s="160"/>
      <c r="AA216" s="160"/>
    </row>
    <row r="217" spans="1:27" ht="12.75" customHeight="1" x14ac:dyDescent="0.2">
      <c r="A217" s="160"/>
      <c r="B217" s="160"/>
      <c r="D217" s="160"/>
      <c r="F217" s="160"/>
      <c r="G217" s="160"/>
      <c r="H217" s="160"/>
      <c r="I217" s="160"/>
      <c r="J217" s="160"/>
      <c r="K217" s="160"/>
      <c r="L217" s="160"/>
      <c r="M217" s="160"/>
      <c r="N217" s="160"/>
      <c r="O217" s="160"/>
      <c r="P217" s="160"/>
      <c r="Q217" s="160"/>
      <c r="R217" s="160"/>
      <c r="S217" s="160"/>
      <c r="T217" s="160"/>
      <c r="U217" s="160"/>
      <c r="V217" s="160"/>
      <c r="W217" s="160"/>
      <c r="X217" s="160"/>
      <c r="Y217" s="160"/>
      <c r="Z217" s="160"/>
      <c r="AA217" s="160"/>
    </row>
    <row r="218" spans="1:27" ht="12.75" customHeight="1" x14ac:dyDescent="0.2">
      <c r="A218" s="160"/>
      <c r="B218" s="160"/>
      <c r="D218" s="160"/>
      <c r="F218" s="160"/>
      <c r="G218" s="160"/>
      <c r="H218" s="160"/>
      <c r="I218" s="160"/>
      <c r="J218" s="160"/>
      <c r="K218" s="160"/>
      <c r="L218" s="160"/>
      <c r="M218" s="160"/>
      <c r="N218" s="160"/>
      <c r="O218" s="160"/>
      <c r="P218" s="160"/>
      <c r="Q218" s="160"/>
      <c r="R218" s="160"/>
      <c r="S218" s="160"/>
      <c r="T218" s="160"/>
      <c r="U218" s="160"/>
      <c r="V218" s="160"/>
      <c r="W218" s="160"/>
      <c r="X218" s="160"/>
      <c r="Y218" s="160"/>
      <c r="Z218" s="160"/>
      <c r="AA218" s="160"/>
    </row>
    <row r="219" spans="1:27" ht="12.75" customHeight="1" x14ac:dyDescent="0.2">
      <c r="A219" s="160"/>
      <c r="B219" s="160"/>
      <c r="D219" s="160"/>
      <c r="F219" s="160"/>
      <c r="G219" s="160"/>
      <c r="H219" s="160"/>
      <c r="I219" s="160"/>
      <c r="J219" s="160"/>
      <c r="K219" s="160"/>
      <c r="L219" s="160"/>
      <c r="M219" s="160"/>
      <c r="N219" s="160"/>
      <c r="O219" s="160"/>
      <c r="P219" s="160"/>
      <c r="Q219" s="160"/>
      <c r="R219" s="160"/>
      <c r="S219" s="160"/>
      <c r="T219" s="160"/>
      <c r="U219" s="160"/>
      <c r="V219" s="160"/>
      <c r="W219" s="160"/>
      <c r="X219" s="160"/>
      <c r="Y219" s="160"/>
      <c r="Z219" s="160"/>
      <c r="AA219" s="160"/>
    </row>
    <row r="220" spans="1:27" ht="12.75" customHeight="1" x14ac:dyDescent="0.2">
      <c r="A220" s="160"/>
      <c r="B220" s="160"/>
      <c r="D220" s="160"/>
      <c r="F220" s="160"/>
      <c r="G220" s="160"/>
      <c r="H220" s="160"/>
      <c r="I220" s="160"/>
      <c r="J220" s="160"/>
      <c r="K220" s="160"/>
      <c r="L220" s="160"/>
      <c r="M220" s="160"/>
      <c r="N220" s="160"/>
      <c r="O220" s="160"/>
      <c r="P220" s="160"/>
      <c r="Q220" s="160"/>
      <c r="R220" s="160"/>
      <c r="S220" s="160"/>
      <c r="T220" s="160"/>
      <c r="U220" s="160"/>
      <c r="V220" s="160"/>
      <c r="W220" s="160"/>
      <c r="X220" s="160"/>
      <c r="Y220" s="160"/>
      <c r="Z220" s="160"/>
      <c r="AA220" s="160"/>
    </row>
    <row r="221" spans="1:27" ht="12.75" customHeight="1" x14ac:dyDescent="0.2">
      <c r="A221" s="160"/>
      <c r="B221" s="160"/>
      <c r="D221" s="160"/>
      <c r="F221" s="160"/>
      <c r="G221" s="160"/>
      <c r="H221" s="160"/>
      <c r="I221" s="160"/>
      <c r="J221" s="160"/>
      <c r="K221" s="160"/>
      <c r="L221" s="160"/>
      <c r="M221" s="160"/>
      <c r="N221" s="160"/>
      <c r="O221" s="160"/>
      <c r="P221" s="160"/>
      <c r="Q221" s="160"/>
      <c r="R221" s="160"/>
      <c r="S221" s="160"/>
      <c r="T221" s="160"/>
      <c r="U221" s="160"/>
      <c r="V221" s="160"/>
      <c r="W221" s="160"/>
      <c r="X221" s="160"/>
      <c r="Y221" s="160"/>
      <c r="Z221" s="160"/>
      <c r="AA221" s="160"/>
    </row>
    <row r="222" spans="1:27" ht="12.75" customHeight="1" x14ac:dyDescent="0.2">
      <c r="A222" s="160"/>
      <c r="B222" s="160"/>
      <c r="D222" s="160"/>
      <c r="F222" s="160"/>
      <c r="G222" s="160"/>
      <c r="H222" s="160"/>
      <c r="I222" s="160"/>
      <c r="J222" s="160"/>
      <c r="K222" s="160"/>
      <c r="L222" s="160"/>
      <c r="M222" s="160"/>
      <c r="N222" s="160"/>
      <c r="O222" s="160"/>
      <c r="P222" s="160"/>
      <c r="Q222" s="160"/>
      <c r="R222" s="160"/>
      <c r="S222" s="160"/>
      <c r="T222" s="160"/>
      <c r="U222" s="160"/>
      <c r="V222" s="160"/>
      <c r="W222" s="160"/>
      <c r="X222" s="160"/>
      <c r="Y222" s="160"/>
      <c r="Z222" s="160"/>
      <c r="AA222" s="160"/>
    </row>
    <row r="223" spans="1:27" ht="12.75" customHeight="1" x14ac:dyDescent="0.2">
      <c r="A223" s="160"/>
      <c r="B223" s="160"/>
      <c r="D223" s="160"/>
      <c r="F223" s="160"/>
      <c r="G223" s="160"/>
      <c r="H223" s="160"/>
      <c r="I223" s="160"/>
      <c r="J223" s="160"/>
      <c r="K223" s="160"/>
      <c r="L223" s="160"/>
      <c r="M223" s="160"/>
      <c r="N223" s="160"/>
      <c r="O223" s="160"/>
      <c r="P223" s="160"/>
      <c r="Q223" s="160"/>
      <c r="R223" s="160"/>
      <c r="S223" s="160"/>
      <c r="T223" s="160"/>
      <c r="U223" s="160"/>
      <c r="V223" s="160"/>
      <c r="W223" s="160"/>
      <c r="X223" s="160"/>
      <c r="Y223" s="160"/>
      <c r="Z223" s="160"/>
      <c r="AA223" s="160"/>
    </row>
    <row r="224" spans="1:27" ht="12.75" customHeight="1" x14ac:dyDescent="0.2">
      <c r="A224" s="160"/>
      <c r="B224" s="160"/>
      <c r="D224" s="160"/>
      <c r="F224" s="160"/>
      <c r="G224" s="160"/>
      <c r="H224" s="160"/>
      <c r="I224" s="160"/>
      <c r="J224" s="160"/>
      <c r="K224" s="160"/>
      <c r="L224" s="160"/>
      <c r="M224" s="160"/>
      <c r="N224" s="160"/>
      <c r="O224" s="160"/>
      <c r="P224" s="160"/>
      <c r="Q224" s="160"/>
      <c r="R224" s="160"/>
      <c r="S224" s="160"/>
      <c r="T224" s="160"/>
      <c r="U224" s="160"/>
      <c r="V224" s="160"/>
      <c r="W224" s="160"/>
      <c r="X224" s="160"/>
      <c r="Y224" s="160"/>
      <c r="Z224" s="160"/>
      <c r="AA224" s="160"/>
    </row>
    <row r="225" spans="1:27" ht="12.75" customHeight="1" x14ac:dyDescent="0.2">
      <c r="A225" s="160"/>
      <c r="B225" s="160"/>
      <c r="D225" s="160"/>
      <c r="F225" s="160"/>
      <c r="G225" s="160"/>
      <c r="H225" s="160"/>
      <c r="I225" s="160"/>
      <c r="J225" s="160"/>
      <c r="K225" s="160"/>
      <c r="L225" s="160"/>
      <c r="M225" s="160"/>
      <c r="N225" s="160"/>
      <c r="O225" s="160"/>
      <c r="P225" s="160"/>
      <c r="Q225" s="160"/>
      <c r="R225" s="160"/>
      <c r="S225" s="160"/>
      <c r="T225" s="160"/>
      <c r="U225" s="160"/>
      <c r="V225" s="160"/>
      <c r="W225" s="160"/>
      <c r="X225" s="160"/>
      <c r="Y225" s="160"/>
      <c r="Z225" s="160"/>
      <c r="AA225" s="160"/>
    </row>
    <row r="226" spans="1:27" ht="12.75" customHeight="1" x14ac:dyDescent="0.2">
      <c r="A226" s="160"/>
      <c r="B226" s="160"/>
      <c r="D226" s="160"/>
      <c r="F226" s="160"/>
      <c r="G226" s="160"/>
      <c r="H226" s="160"/>
      <c r="I226" s="160"/>
      <c r="J226" s="160"/>
      <c r="K226" s="160"/>
      <c r="L226" s="160"/>
      <c r="M226" s="160"/>
      <c r="N226" s="160"/>
      <c r="O226" s="160"/>
      <c r="P226" s="160"/>
      <c r="Q226" s="160"/>
      <c r="R226" s="160"/>
      <c r="S226" s="160"/>
      <c r="T226" s="160"/>
      <c r="U226" s="160"/>
      <c r="V226" s="160"/>
      <c r="W226" s="160"/>
      <c r="X226" s="160"/>
      <c r="Y226" s="160"/>
      <c r="Z226" s="160"/>
      <c r="AA226" s="160"/>
    </row>
    <row r="227" spans="1:27" ht="12.75" customHeight="1" x14ac:dyDescent="0.2">
      <c r="A227" s="160"/>
      <c r="B227" s="160"/>
      <c r="D227" s="160"/>
      <c r="F227" s="160"/>
      <c r="G227" s="160"/>
      <c r="H227" s="160"/>
      <c r="I227" s="160"/>
      <c r="J227" s="160"/>
      <c r="K227" s="160"/>
      <c r="L227" s="160"/>
      <c r="M227" s="160"/>
      <c r="N227" s="160"/>
      <c r="O227" s="160"/>
      <c r="P227" s="160"/>
      <c r="Q227" s="160"/>
      <c r="R227" s="160"/>
      <c r="S227" s="160"/>
      <c r="T227" s="160"/>
      <c r="U227" s="160"/>
      <c r="V227" s="160"/>
      <c r="W227" s="160"/>
      <c r="X227" s="160"/>
      <c r="Y227" s="160"/>
      <c r="Z227" s="160"/>
      <c r="AA227" s="160"/>
    </row>
    <row r="228" spans="1:27" ht="12.75" customHeight="1" x14ac:dyDescent="0.2">
      <c r="A228" s="160"/>
      <c r="B228" s="160"/>
      <c r="D228" s="160"/>
      <c r="F228" s="160"/>
      <c r="G228" s="160"/>
      <c r="H228" s="160"/>
      <c r="I228" s="160"/>
      <c r="J228" s="160"/>
      <c r="K228" s="160"/>
      <c r="L228" s="160"/>
      <c r="M228" s="160"/>
      <c r="N228" s="160"/>
      <c r="O228" s="160"/>
      <c r="P228" s="160"/>
      <c r="Q228" s="160"/>
      <c r="R228" s="160"/>
      <c r="S228" s="160"/>
      <c r="T228" s="160"/>
      <c r="U228" s="160"/>
      <c r="V228" s="160"/>
      <c r="W228" s="160"/>
      <c r="X228" s="160"/>
      <c r="Y228" s="160"/>
      <c r="Z228" s="160"/>
      <c r="AA228" s="160"/>
    </row>
    <row r="229" spans="1:27" ht="12.75" customHeight="1" x14ac:dyDescent="0.2">
      <c r="A229" s="160"/>
      <c r="B229" s="160"/>
      <c r="D229" s="160"/>
      <c r="F229" s="160"/>
      <c r="G229" s="160"/>
      <c r="H229" s="160"/>
      <c r="I229" s="160"/>
      <c r="J229" s="160"/>
      <c r="K229" s="160"/>
      <c r="L229" s="160"/>
      <c r="M229" s="160"/>
      <c r="N229" s="160"/>
      <c r="O229" s="160"/>
      <c r="P229" s="160"/>
      <c r="Q229" s="160"/>
      <c r="R229" s="160"/>
      <c r="S229" s="160"/>
      <c r="T229" s="160"/>
      <c r="U229" s="160"/>
      <c r="V229" s="160"/>
      <c r="W229" s="160"/>
      <c r="X229" s="160"/>
      <c r="Y229" s="160"/>
      <c r="Z229" s="160"/>
      <c r="AA229" s="160"/>
    </row>
    <row r="230" spans="1:27" ht="12.75" customHeight="1" x14ac:dyDescent="0.2">
      <c r="A230" s="160"/>
      <c r="B230" s="160"/>
      <c r="D230" s="160"/>
      <c r="F230" s="160"/>
      <c r="G230" s="160"/>
      <c r="H230" s="160"/>
      <c r="I230" s="160"/>
      <c r="J230" s="160"/>
      <c r="K230" s="160"/>
      <c r="L230" s="160"/>
      <c r="M230" s="160"/>
      <c r="N230" s="160"/>
      <c r="O230" s="160"/>
      <c r="P230" s="160"/>
      <c r="Q230" s="160"/>
      <c r="R230" s="160"/>
      <c r="S230" s="160"/>
      <c r="T230" s="160"/>
      <c r="U230" s="160"/>
      <c r="V230" s="160"/>
      <c r="W230" s="160"/>
      <c r="X230" s="160"/>
      <c r="Y230" s="160"/>
      <c r="Z230" s="160"/>
      <c r="AA230" s="160"/>
    </row>
    <row r="231" spans="1:27" ht="12.75" customHeight="1" x14ac:dyDescent="0.2">
      <c r="A231" s="160"/>
      <c r="B231" s="160"/>
      <c r="D231" s="160"/>
      <c r="F231" s="160"/>
      <c r="G231" s="160"/>
      <c r="H231" s="160"/>
      <c r="I231" s="160"/>
      <c r="J231" s="160"/>
      <c r="K231" s="160"/>
      <c r="L231" s="160"/>
      <c r="M231" s="160"/>
      <c r="N231" s="160"/>
      <c r="O231" s="160"/>
      <c r="P231" s="160"/>
      <c r="Q231" s="160"/>
      <c r="R231" s="160"/>
      <c r="S231" s="160"/>
      <c r="T231" s="160"/>
      <c r="U231" s="160"/>
      <c r="V231" s="160"/>
      <c r="W231" s="160"/>
      <c r="X231" s="160"/>
      <c r="Y231" s="160"/>
      <c r="Z231" s="160"/>
      <c r="AA231" s="160"/>
    </row>
    <row r="232" spans="1:27" ht="12.75" customHeight="1" x14ac:dyDescent="0.2">
      <c r="A232" s="160"/>
      <c r="B232" s="160"/>
      <c r="D232" s="160"/>
      <c r="F232" s="160"/>
      <c r="G232" s="160"/>
      <c r="H232" s="160"/>
      <c r="I232" s="160"/>
      <c r="J232" s="160"/>
      <c r="K232" s="160"/>
      <c r="L232" s="160"/>
      <c r="M232" s="160"/>
      <c r="N232" s="160"/>
      <c r="O232" s="160"/>
      <c r="P232" s="160"/>
      <c r="Q232" s="160"/>
      <c r="R232" s="160"/>
      <c r="S232" s="160"/>
      <c r="T232" s="160"/>
      <c r="U232" s="160"/>
      <c r="V232" s="160"/>
      <c r="W232" s="160"/>
      <c r="X232" s="160"/>
      <c r="Y232" s="160"/>
      <c r="Z232" s="160"/>
      <c r="AA232" s="160"/>
    </row>
    <row r="233" spans="1:27" ht="12.75" customHeight="1" x14ac:dyDescent="0.2">
      <c r="A233" s="160"/>
      <c r="B233" s="160"/>
      <c r="D233" s="160"/>
      <c r="F233" s="160"/>
      <c r="G233" s="160"/>
      <c r="H233" s="160"/>
      <c r="I233" s="160"/>
      <c r="J233" s="160"/>
      <c r="K233" s="160"/>
      <c r="L233" s="160"/>
      <c r="M233" s="160"/>
      <c r="N233" s="160"/>
      <c r="O233" s="160"/>
      <c r="P233" s="160"/>
      <c r="Q233" s="160"/>
      <c r="R233" s="160"/>
      <c r="S233" s="160"/>
      <c r="T233" s="160"/>
      <c r="U233" s="160"/>
      <c r="V233" s="160"/>
      <c r="W233" s="160"/>
      <c r="X233" s="160"/>
      <c r="Y233" s="160"/>
      <c r="Z233" s="160"/>
      <c r="AA233" s="160"/>
    </row>
    <row r="234" spans="1:27" ht="12.75" customHeight="1" x14ac:dyDescent="0.2">
      <c r="A234" s="160"/>
      <c r="B234" s="160"/>
      <c r="D234" s="160"/>
      <c r="F234" s="160"/>
      <c r="G234" s="160"/>
      <c r="H234" s="160"/>
      <c r="I234" s="160"/>
      <c r="J234" s="160"/>
      <c r="K234" s="160"/>
      <c r="L234" s="160"/>
      <c r="M234" s="160"/>
      <c r="N234" s="160"/>
      <c r="O234" s="160"/>
      <c r="P234" s="160"/>
      <c r="Q234" s="160"/>
      <c r="R234" s="160"/>
      <c r="S234" s="160"/>
      <c r="T234" s="160"/>
      <c r="U234" s="160"/>
      <c r="V234" s="160"/>
      <c r="W234" s="160"/>
      <c r="X234" s="160"/>
      <c r="Y234" s="160"/>
      <c r="Z234" s="160"/>
      <c r="AA234" s="160"/>
    </row>
    <row r="235" spans="1:27" ht="12.75" customHeight="1" x14ac:dyDescent="0.2">
      <c r="A235" s="160"/>
      <c r="B235" s="160"/>
      <c r="D235" s="160"/>
      <c r="F235" s="160"/>
      <c r="G235" s="160"/>
      <c r="H235" s="160"/>
      <c r="I235" s="160"/>
      <c r="J235" s="160"/>
      <c r="K235" s="160"/>
      <c r="L235" s="160"/>
      <c r="M235" s="160"/>
      <c r="N235" s="160"/>
      <c r="O235" s="160"/>
      <c r="P235" s="160"/>
      <c r="Q235" s="160"/>
      <c r="R235" s="160"/>
      <c r="S235" s="160"/>
      <c r="T235" s="160"/>
      <c r="U235" s="160"/>
      <c r="V235" s="160"/>
      <c r="W235" s="160"/>
      <c r="X235" s="160"/>
      <c r="Y235" s="160"/>
      <c r="Z235" s="160"/>
      <c r="AA235" s="160"/>
    </row>
    <row r="236" spans="1:27" ht="12.75" customHeight="1" x14ac:dyDescent="0.2">
      <c r="A236" s="160"/>
      <c r="B236" s="160"/>
      <c r="D236" s="160"/>
      <c r="F236" s="160"/>
      <c r="G236" s="160"/>
      <c r="H236" s="160"/>
      <c r="I236" s="160"/>
      <c r="J236" s="160"/>
      <c r="K236" s="160"/>
      <c r="L236" s="160"/>
      <c r="M236" s="160"/>
      <c r="N236" s="160"/>
      <c r="O236" s="160"/>
      <c r="P236" s="160"/>
      <c r="Q236" s="160"/>
      <c r="R236" s="160"/>
      <c r="S236" s="160"/>
      <c r="T236" s="160"/>
      <c r="U236" s="160"/>
      <c r="V236" s="160"/>
      <c r="W236" s="160"/>
      <c r="X236" s="160"/>
      <c r="Y236" s="160"/>
      <c r="Z236" s="160"/>
      <c r="AA236" s="160"/>
    </row>
    <row r="237" spans="1:27" ht="12.75" customHeight="1" x14ac:dyDescent="0.2">
      <c r="A237" s="160"/>
      <c r="B237" s="160"/>
      <c r="D237" s="160"/>
      <c r="F237" s="160"/>
      <c r="G237" s="160"/>
      <c r="H237" s="160"/>
      <c r="I237" s="160"/>
      <c r="J237" s="160"/>
      <c r="K237" s="160"/>
      <c r="L237" s="160"/>
      <c r="M237" s="160"/>
      <c r="N237" s="160"/>
      <c r="O237" s="160"/>
      <c r="P237" s="160"/>
      <c r="Q237" s="160"/>
      <c r="R237" s="160"/>
      <c r="S237" s="160"/>
      <c r="T237" s="160"/>
      <c r="U237" s="160"/>
      <c r="V237" s="160"/>
      <c r="W237" s="160"/>
      <c r="X237" s="160"/>
      <c r="Y237" s="160"/>
      <c r="Z237" s="160"/>
      <c r="AA237" s="160"/>
    </row>
    <row r="238" spans="1:27" ht="12.75" customHeight="1" x14ac:dyDescent="0.2">
      <c r="A238" s="160"/>
      <c r="B238" s="160"/>
      <c r="D238" s="160"/>
      <c r="F238" s="160"/>
      <c r="G238" s="160"/>
      <c r="H238" s="160"/>
      <c r="I238" s="160"/>
      <c r="J238" s="160"/>
      <c r="K238" s="160"/>
      <c r="L238" s="160"/>
      <c r="M238" s="160"/>
      <c r="N238" s="160"/>
      <c r="O238" s="160"/>
      <c r="P238" s="160"/>
      <c r="Q238" s="160"/>
      <c r="R238" s="160"/>
      <c r="S238" s="160"/>
      <c r="T238" s="160"/>
      <c r="U238" s="160"/>
      <c r="V238" s="160"/>
      <c r="W238" s="160"/>
      <c r="X238" s="160"/>
      <c r="Y238" s="160"/>
      <c r="Z238" s="160"/>
      <c r="AA238" s="160"/>
    </row>
    <row r="239" spans="1:27" ht="12.75" customHeight="1" x14ac:dyDescent="0.2">
      <c r="A239" s="160"/>
      <c r="B239" s="160"/>
      <c r="D239" s="160"/>
      <c r="F239" s="160"/>
      <c r="G239" s="160"/>
      <c r="H239" s="160"/>
      <c r="I239" s="160"/>
      <c r="J239" s="160"/>
      <c r="K239" s="160"/>
      <c r="L239" s="160"/>
      <c r="M239" s="160"/>
      <c r="N239" s="160"/>
      <c r="O239" s="160"/>
      <c r="P239" s="160"/>
      <c r="Q239" s="160"/>
      <c r="R239" s="160"/>
      <c r="S239" s="160"/>
      <c r="T239" s="160"/>
      <c r="U239" s="160"/>
      <c r="V239" s="160"/>
      <c r="W239" s="160"/>
      <c r="X239" s="160"/>
      <c r="Y239" s="160"/>
      <c r="Z239" s="160"/>
      <c r="AA239" s="160"/>
    </row>
    <row r="240" spans="1:27" ht="12.75" customHeight="1" x14ac:dyDescent="0.2">
      <c r="A240" s="160"/>
      <c r="B240" s="160"/>
      <c r="D240" s="160"/>
      <c r="F240" s="160"/>
      <c r="G240" s="160"/>
      <c r="H240" s="160"/>
      <c r="I240" s="160"/>
      <c r="J240" s="160"/>
      <c r="K240" s="160"/>
      <c r="L240" s="160"/>
      <c r="M240" s="160"/>
      <c r="N240" s="160"/>
      <c r="O240" s="160"/>
      <c r="P240" s="160"/>
      <c r="Q240" s="160"/>
      <c r="R240" s="160"/>
      <c r="S240" s="160"/>
      <c r="T240" s="160"/>
      <c r="U240" s="160"/>
      <c r="V240" s="160"/>
      <c r="W240" s="160"/>
      <c r="X240" s="160"/>
      <c r="Y240" s="160"/>
      <c r="Z240" s="160"/>
      <c r="AA240" s="160"/>
    </row>
    <row r="241" spans="1:27" ht="12.75" customHeight="1" x14ac:dyDescent="0.2">
      <c r="A241" s="160"/>
      <c r="B241" s="160"/>
      <c r="D241" s="160"/>
      <c r="F241" s="160"/>
      <c r="G241" s="160"/>
      <c r="H241" s="160"/>
      <c r="I241" s="160"/>
      <c r="J241" s="160"/>
      <c r="K241" s="160"/>
      <c r="L241" s="160"/>
      <c r="M241" s="160"/>
      <c r="N241" s="160"/>
      <c r="O241" s="160"/>
      <c r="P241" s="160"/>
      <c r="Q241" s="160"/>
      <c r="R241" s="160"/>
      <c r="S241" s="160"/>
      <c r="T241" s="160"/>
      <c r="U241" s="160"/>
      <c r="V241" s="160"/>
      <c r="W241" s="160"/>
      <c r="X241" s="160"/>
      <c r="Y241" s="160"/>
      <c r="Z241" s="160"/>
      <c r="AA241" s="160"/>
    </row>
    <row r="242" spans="1:27" ht="12.75" customHeight="1" x14ac:dyDescent="0.2">
      <c r="A242" s="160"/>
      <c r="B242" s="160"/>
      <c r="D242" s="160"/>
      <c r="F242" s="160"/>
      <c r="G242" s="160"/>
      <c r="H242" s="160"/>
      <c r="I242" s="160"/>
      <c r="J242" s="160"/>
      <c r="K242" s="160"/>
      <c r="L242" s="160"/>
      <c r="M242" s="160"/>
      <c r="N242" s="160"/>
      <c r="O242" s="160"/>
      <c r="P242" s="160"/>
      <c r="Q242" s="160"/>
      <c r="R242" s="160"/>
      <c r="S242" s="160"/>
      <c r="T242" s="160"/>
      <c r="U242" s="160"/>
      <c r="V242" s="160"/>
      <c r="W242" s="160"/>
      <c r="X242" s="160"/>
      <c r="Y242" s="160"/>
      <c r="Z242" s="160"/>
      <c r="AA242" s="160"/>
    </row>
    <row r="243" spans="1:27" ht="12.75" customHeight="1" x14ac:dyDescent="0.2">
      <c r="A243" s="160"/>
      <c r="B243" s="160"/>
      <c r="D243" s="160"/>
      <c r="F243" s="160"/>
      <c r="G243" s="160"/>
      <c r="H243" s="160"/>
      <c r="I243" s="160"/>
      <c r="J243" s="160"/>
      <c r="K243" s="160"/>
      <c r="L243" s="160"/>
      <c r="M243" s="160"/>
      <c r="N243" s="160"/>
      <c r="O243" s="160"/>
      <c r="P243" s="160"/>
      <c r="Q243" s="160"/>
      <c r="R243" s="160"/>
      <c r="S243" s="160"/>
      <c r="T243" s="160"/>
      <c r="U243" s="160"/>
      <c r="V243" s="160"/>
      <c r="W243" s="160"/>
      <c r="X243" s="160"/>
      <c r="Y243" s="160"/>
      <c r="Z243" s="160"/>
      <c r="AA243" s="160"/>
    </row>
    <row r="244" spans="1:27" ht="12.75" customHeight="1" x14ac:dyDescent="0.2">
      <c r="A244" s="160"/>
      <c r="B244" s="160"/>
      <c r="D244" s="160"/>
      <c r="F244" s="160"/>
      <c r="G244" s="160"/>
      <c r="H244" s="160"/>
      <c r="I244" s="160"/>
      <c r="J244" s="160"/>
      <c r="K244" s="160"/>
      <c r="L244" s="160"/>
      <c r="M244" s="160"/>
      <c r="N244" s="160"/>
      <c r="O244" s="160"/>
      <c r="P244" s="160"/>
      <c r="Q244" s="160"/>
      <c r="R244" s="160"/>
      <c r="S244" s="160"/>
      <c r="T244" s="160"/>
      <c r="U244" s="160"/>
      <c r="V244" s="160"/>
      <c r="W244" s="160"/>
      <c r="X244" s="160"/>
      <c r="Y244" s="160"/>
      <c r="Z244" s="160"/>
      <c r="AA244" s="160"/>
    </row>
    <row r="245" spans="1:27" ht="12.75" customHeight="1" x14ac:dyDescent="0.2">
      <c r="A245" s="160"/>
      <c r="B245" s="160"/>
      <c r="D245" s="160"/>
      <c r="F245" s="160"/>
      <c r="G245" s="160"/>
      <c r="H245" s="160"/>
      <c r="I245" s="160"/>
      <c r="J245" s="160"/>
      <c r="K245" s="160"/>
      <c r="L245" s="160"/>
      <c r="M245" s="160"/>
      <c r="N245" s="160"/>
      <c r="O245" s="160"/>
      <c r="P245" s="160"/>
      <c r="Q245" s="160"/>
      <c r="R245" s="160"/>
      <c r="S245" s="160"/>
      <c r="T245" s="160"/>
      <c r="U245" s="160"/>
      <c r="V245" s="160"/>
      <c r="W245" s="160"/>
      <c r="X245" s="160"/>
      <c r="Y245" s="160"/>
      <c r="Z245" s="160"/>
      <c r="AA245" s="160"/>
    </row>
    <row r="246" spans="1:27" ht="12.75" customHeight="1" x14ac:dyDescent="0.2">
      <c r="A246" s="160"/>
      <c r="B246" s="160"/>
      <c r="D246" s="160"/>
      <c r="F246" s="160"/>
      <c r="G246" s="160"/>
      <c r="H246" s="160"/>
      <c r="I246" s="160"/>
      <c r="J246" s="160"/>
      <c r="K246" s="160"/>
      <c r="L246" s="160"/>
      <c r="M246" s="160"/>
      <c r="N246" s="160"/>
      <c r="O246" s="160"/>
      <c r="P246" s="160"/>
      <c r="Q246" s="160"/>
      <c r="R246" s="160"/>
      <c r="S246" s="160"/>
      <c r="T246" s="160"/>
      <c r="U246" s="160"/>
      <c r="V246" s="160"/>
      <c r="W246" s="160"/>
      <c r="X246" s="160"/>
      <c r="Y246" s="160"/>
      <c r="Z246" s="160"/>
      <c r="AA246" s="160"/>
    </row>
    <row r="247" spans="1:27" ht="12.75" customHeight="1" x14ac:dyDescent="0.2">
      <c r="A247" s="160"/>
      <c r="B247" s="160"/>
      <c r="D247" s="160"/>
      <c r="F247" s="160"/>
      <c r="G247" s="160"/>
      <c r="H247" s="160"/>
      <c r="I247" s="160"/>
      <c r="J247" s="160"/>
      <c r="K247" s="160"/>
      <c r="L247" s="160"/>
      <c r="M247" s="160"/>
      <c r="N247" s="160"/>
      <c r="O247" s="160"/>
      <c r="P247" s="160"/>
      <c r="Q247" s="160"/>
      <c r="R247" s="160"/>
      <c r="S247" s="160"/>
      <c r="T247" s="160"/>
      <c r="U247" s="160"/>
      <c r="V247" s="160"/>
      <c r="W247" s="160"/>
      <c r="X247" s="160"/>
      <c r="Y247" s="160"/>
      <c r="Z247" s="160"/>
      <c r="AA247" s="160"/>
    </row>
    <row r="248" spans="1:27" ht="12.75" customHeight="1" x14ac:dyDescent="0.2">
      <c r="A248" s="160"/>
      <c r="B248" s="160"/>
      <c r="D248" s="160"/>
      <c r="F248" s="160"/>
      <c r="G248" s="160"/>
      <c r="H248" s="160"/>
      <c r="I248" s="160"/>
      <c r="J248" s="160"/>
      <c r="K248" s="160"/>
      <c r="L248" s="160"/>
      <c r="M248" s="160"/>
      <c r="N248" s="160"/>
      <c r="O248" s="160"/>
      <c r="P248" s="160"/>
      <c r="Q248" s="160"/>
      <c r="R248" s="160"/>
      <c r="S248" s="160"/>
      <c r="T248" s="160"/>
      <c r="U248" s="160"/>
      <c r="V248" s="160"/>
      <c r="W248" s="160"/>
      <c r="X248" s="160"/>
      <c r="Y248" s="160"/>
      <c r="Z248" s="160"/>
      <c r="AA248" s="160"/>
    </row>
    <row r="249" spans="1:27" ht="12.75" customHeight="1" x14ac:dyDescent="0.2">
      <c r="A249" s="160"/>
      <c r="B249" s="160"/>
      <c r="D249" s="160"/>
      <c r="F249" s="160"/>
      <c r="G249" s="160"/>
      <c r="H249" s="160"/>
      <c r="I249" s="160"/>
      <c r="J249" s="160"/>
      <c r="K249" s="160"/>
      <c r="L249" s="160"/>
      <c r="M249" s="160"/>
      <c r="N249" s="160"/>
      <c r="O249" s="160"/>
      <c r="P249" s="160"/>
      <c r="Q249" s="160"/>
      <c r="R249" s="160"/>
      <c r="S249" s="160"/>
      <c r="T249" s="160"/>
      <c r="U249" s="160"/>
      <c r="V249" s="160"/>
      <c r="W249" s="160"/>
      <c r="X249" s="160"/>
      <c r="Y249" s="160"/>
      <c r="Z249" s="160"/>
      <c r="AA249" s="160"/>
    </row>
    <row r="250" spans="1:27" ht="12.75" customHeight="1" x14ac:dyDescent="0.2">
      <c r="A250" s="160"/>
      <c r="B250" s="160"/>
      <c r="D250" s="160"/>
      <c r="F250" s="160"/>
      <c r="G250" s="160"/>
      <c r="H250" s="160"/>
      <c r="I250" s="160"/>
      <c r="J250" s="160"/>
      <c r="K250" s="160"/>
      <c r="L250" s="160"/>
      <c r="M250" s="160"/>
      <c r="N250" s="160"/>
      <c r="O250" s="160"/>
      <c r="P250" s="160"/>
      <c r="Q250" s="160"/>
      <c r="R250" s="160"/>
      <c r="S250" s="160"/>
      <c r="T250" s="160"/>
      <c r="U250" s="160"/>
      <c r="V250" s="160"/>
      <c r="W250" s="160"/>
      <c r="X250" s="160"/>
      <c r="Y250" s="160"/>
      <c r="Z250" s="160"/>
      <c r="AA250" s="160"/>
    </row>
    <row r="251" spans="1:27" ht="12.75" customHeight="1" x14ac:dyDescent="0.2">
      <c r="A251" s="160"/>
      <c r="B251" s="160"/>
      <c r="D251" s="160"/>
      <c r="F251" s="160"/>
      <c r="G251" s="160"/>
      <c r="H251" s="160"/>
      <c r="I251" s="160"/>
      <c r="J251" s="160"/>
      <c r="K251" s="160"/>
      <c r="L251" s="160"/>
      <c r="M251" s="160"/>
      <c r="N251" s="160"/>
      <c r="O251" s="160"/>
      <c r="P251" s="160"/>
      <c r="Q251" s="160"/>
      <c r="R251" s="160"/>
      <c r="S251" s="160"/>
      <c r="T251" s="160"/>
      <c r="U251" s="160"/>
      <c r="V251" s="160"/>
      <c r="W251" s="160"/>
      <c r="X251" s="160"/>
      <c r="Y251" s="160"/>
      <c r="Z251" s="160"/>
      <c r="AA251" s="160"/>
    </row>
    <row r="252" spans="1:27" ht="12.75" customHeight="1" x14ac:dyDescent="0.2">
      <c r="A252" s="160"/>
      <c r="B252" s="160"/>
      <c r="D252" s="160"/>
      <c r="F252" s="160"/>
      <c r="G252" s="160"/>
      <c r="H252" s="160"/>
      <c r="I252" s="160"/>
      <c r="J252" s="160"/>
      <c r="K252" s="160"/>
      <c r="L252" s="160"/>
      <c r="M252" s="160"/>
      <c r="N252" s="160"/>
      <c r="O252" s="160"/>
      <c r="P252" s="160"/>
      <c r="Q252" s="160"/>
      <c r="R252" s="160"/>
      <c r="S252" s="160"/>
      <c r="T252" s="160"/>
      <c r="U252" s="160"/>
      <c r="V252" s="160"/>
      <c r="W252" s="160"/>
      <c r="X252" s="160"/>
      <c r="Y252" s="160"/>
      <c r="Z252" s="160"/>
      <c r="AA252" s="160"/>
    </row>
    <row r="253" spans="1:27" ht="12.75" customHeight="1" x14ac:dyDescent="0.2">
      <c r="A253" s="160"/>
      <c r="B253" s="160"/>
      <c r="D253" s="160"/>
      <c r="F253" s="160"/>
      <c r="G253" s="160"/>
      <c r="H253" s="160"/>
      <c r="I253" s="160"/>
      <c r="J253" s="160"/>
      <c r="K253" s="160"/>
      <c r="L253" s="160"/>
      <c r="M253" s="160"/>
      <c r="N253" s="160"/>
      <c r="O253" s="160"/>
      <c r="P253" s="160"/>
      <c r="Q253" s="160"/>
      <c r="R253" s="160"/>
      <c r="S253" s="160"/>
      <c r="T253" s="160"/>
      <c r="U253" s="160"/>
      <c r="V253" s="160"/>
      <c r="W253" s="160"/>
      <c r="X253" s="160"/>
      <c r="Y253" s="160"/>
      <c r="Z253" s="160"/>
      <c r="AA253" s="160"/>
    </row>
    <row r="254" spans="1:27" ht="12.75" customHeight="1" x14ac:dyDescent="0.2">
      <c r="A254" s="160"/>
      <c r="B254" s="160"/>
      <c r="D254" s="160"/>
      <c r="F254" s="160"/>
      <c r="G254" s="160"/>
      <c r="H254" s="160"/>
      <c r="I254" s="160"/>
      <c r="J254" s="160"/>
      <c r="K254" s="160"/>
      <c r="L254" s="160"/>
      <c r="M254" s="160"/>
      <c r="N254" s="160"/>
      <c r="O254" s="160"/>
      <c r="P254" s="160"/>
      <c r="Q254" s="160"/>
      <c r="R254" s="160"/>
      <c r="S254" s="160"/>
      <c r="T254" s="160"/>
      <c r="U254" s="160"/>
      <c r="V254" s="160"/>
      <c r="W254" s="160"/>
      <c r="X254" s="160"/>
      <c r="Y254" s="160"/>
      <c r="Z254" s="160"/>
      <c r="AA254" s="160"/>
    </row>
    <row r="255" spans="1:27" ht="12.75" customHeight="1" x14ac:dyDescent="0.2">
      <c r="A255" s="160"/>
      <c r="B255" s="160"/>
      <c r="D255" s="160"/>
      <c r="F255" s="160"/>
      <c r="G255" s="160"/>
      <c r="H255" s="160"/>
      <c r="I255" s="160"/>
      <c r="J255" s="160"/>
      <c r="K255" s="160"/>
      <c r="L255" s="160"/>
      <c r="M255" s="160"/>
      <c r="N255" s="160"/>
      <c r="O255" s="160"/>
      <c r="P255" s="160"/>
      <c r="Q255" s="160"/>
      <c r="R255" s="160"/>
      <c r="S255" s="160"/>
      <c r="T255" s="160"/>
      <c r="U255" s="160"/>
      <c r="V255" s="160"/>
      <c r="W255" s="160"/>
      <c r="X255" s="160"/>
      <c r="Y255" s="160"/>
      <c r="Z255" s="160"/>
      <c r="AA255" s="160"/>
    </row>
    <row r="256" spans="1:27" ht="12.75" customHeight="1" x14ac:dyDescent="0.2">
      <c r="A256" s="160"/>
      <c r="B256" s="160"/>
      <c r="D256" s="160"/>
      <c r="F256" s="160"/>
      <c r="G256" s="160"/>
      <c r="H256" s="160"/>
      <c r="I256" s="160"/>
      <c r="J256" s="160"/>
      <c r="K256" s="160"/>
      <c r="L256" s="160"/>
      <c r="M256" s="160"/>
      <c r="N256" s="160"/>
      <c r="O256" s="160"/>
      <c r="P256" s="160"/>
      <c r="Q256" s="160"/>
      <c r="R256" s="160"/>
      <c r="S256" s="160"/>
      <c r="T256" s="160"/>
      <c r="U256" s="160"/>
      <c r="V256" s="160"/>
      <c r="W256" s="160"/>
      <c r="X256" s="160"/>
      <c r="Y256" s="160"/>
      <c r="Z256" s="160"/>
      <c r="AA256" s="160"/>
    </row>
    <row r="257" spans="1:27" ht="12.75" customHeight="1" x14ac:dyDescent="0.2">
      <c r="A257" s="160"/>
      <c r="B257" s="160"/>
      <c r="D257" s="160"/>
      <c r="F257" s="160"/>
      <c r="G257" s="160"/>
      <c r="H257" s="160"/>
      <c r="I257" s="160"/>
      <c r="J257" s="160"/>
      <c r="K257" s="160"/>
      <c r="L257" s="160"/>
      <c r="M257" s="160"/>
      <c r="N257" s="160"/>
      <c r="O257" s="160"/>
      <c r="P257" s="160"/>
      <c r="Q257" s="160"/>
      <c r="R257" s="160"/>
      <c r="S257" s="160"/>
      <c r="T257" s="160"/>
      <c r="U257" s="160"/>
      <c r="V257" s="160"/>
      <c r="W257" s="160"/>
      <c r="X257" s="160"/>
      <c r="Y257" s="160"/>
      <c r="Z257" s="160"/>
      <c r="AA257" s="160"/>
    </row>
    <row r="258" spans="1:27" ht="12.75" customHeight="1" x14ac:dyDescent="0.2">
      <c r="A258" s="160"/>
      <c r="B258" s="160"/>
      <c r="D258" s="160"/>
      <c r="F258" s="160"/>
      <c r="G258" s="160"/>
      <c r="H258" s="160"/>
      <c r="I258" s="160"/>
      <c r="J258" s="160"/>
      <c r="K258" s="160"/>
      <c r="L258" s="160"/>
      <c r="M258" s="160"/>
      <c r="N258" s="160"/>
      <c r="O258" s="160"/>
      <c r="P258" s="160"/>
      <c r="Q258" s="160"/>
      <c r="R258" s="160"/>
      <c r="S258" s="160"/>
      <c r="T258" s="160"/>
      <c r="U258" s="160"/>
      <c r="V258" s="160"/>
      <c r="W258" s="160"/>
      <c r="X258" s="160"/>
      <c r="Y258" s="160"/>
      <c r="Z258" s="160"/>
      <c r="AA258" s="160"/>
    </row>
    <row r="259" spans="1:27" ht="12.75" customHeight="1" x14ac:dyDescent="0.2">
      <c r="A259" s="160"/>
      <c r="B259" s="160"/>
      <c r="D259" s="160"/>
      <c r="F259" s="160"/>
      <c r="G259" s="160"/>
      <c r="H259" s="160"/>
      <c r="I259" s="160"/>
      <c r="J259" s="160"/>
      <c r="K259" s="160"/>
      <c r="L259" s="160"/>
      <c r="M259" s="160"/>
      <c r="N259" s="160"/>
      <c r="O259" s="160"/>
      <c r="P259" s="160"/>
      <c r="Q259" s="160"/>
      <c r="R259" s="160"/>
      <c r="S259" s="160"/>
      <c r="T259" s="160"/>
      <c r="U259" s="160"/>
      <c r="V259" s="160"/>
      <c r="W259" s="160"/>
      <c r="X259" s="160"/>
      <c r="Y259" s="160"/>
      <c r="Z259" s="160"/>
      <c r="AA259" s="160"/>
    </row>
    <row r="260" spans="1:27" ht="12.75" customHeight="1" x14ac:dyDescent="0.2">
      <c r="A260" s="160"/>
      <c r="B260" s="160"/>
      <c r="D260" s="160"/>
      <c r="F260" s="160"/>
      <c r="G260" s="160"/>
      <c r="H260" s="160"/>
      <c r="I260" s="160"/>
      <c r="J260" s="160"/>
      <c r="K260" s="160"/>
      <c r="L260" s="160"/>
      <c r="M260" s="160"/>
      <c r="N260" s="160"/>
      <c r="O260" s="160"/>
      <c r="P260" s="160"/>
      <c r="Q260" s="160"/>
      <c r="R260" s="160"/>
      <c r="S260" s="160"/>
      <c r="T260" s="160"/>
      <c r="U260" s="160"/>
      <c r="V260" s="160"/>
      <c r="W260" s="160"/>
      <c r="X260" s="160"/>
      <c r="Y260" s="160"/>
      <c r="Z260" s="160"/>
      <c r="AA260" s="160"/>
    </row>
    <row r="261" spans="1:27" ht="12.75" customHeight="1" x14ac:dyDescent="0.2">
      <c r="A261" s="160"/>
      <c r="B261" s="160"/>
      <c r="D261" s="160"/>
      <c r="F261" s="160"/>
      <c r="G261" s="160"/>
      <c r="H261" s="160"/>
      <c r="I261" s="160"/>
      <c r="J261" s="160"/>
      <c r="K261" s="160"/>
      <c r="L261" s="160"/>
      <c r="M261" s="160"/>
      <c r="N261" s="160"/>
      <c r="O261" s="160"/>
      <c r="P261" s="160"/>
      <c r="Q261" s="160"/>
      <c r="R261" s="160"/>
      <c r="S261" s="160"/>
      <c r="T261" s="160"/>
      <c r="U261" s="160"/>
      <c r="V261" s="160"/>
      <c r="W261" s="160"/>
      <c r="X261" s="160"/>
      <c r="Y261" s="160"/>
      <c r="Z261" s="160"/>
      <c r="AA261" s="160"/>
    </row>
    <row r="262" spans="1:27" ht="12.75" customHeight="1" x14ac:dyDescent="0.2">
      <c r="A262" s="160"/>
      <c r="B262" s="160"/>
      <c r="D262" s="160"/>
      <c r="F262" s="160"/>
      <c r="G262" s="160"/>
      <c r="H262" s="160"/>
      <c r="I262" s="160"/>
      <c r="J262" s="160"/>
      <c r="K262" s="160"/>
      <c r="L262" s="160"/>
      <c r="M262" s="160"/>
      <c r="N262" s="160"/>
      <c r="O262" s="160"/>
      <c r="P262" s="160"/>
      <c r="Q262" s="160"/>
      <c r="R262" s="160"/>
      <c r="S262" s="160"/>
      <c r="T262" s="160"/>
      <c r="U262" s="160"/>
      <c r="V262" s="160"/>
      <c r="W262" s="160"/>
      <c r="X262" s="160"/>
      <c r="Y262" s="160"/>
      <c r="Z262" s="160"/>
      <c r="AA262" s="160"/>
    </row>
    <row r="263" spans="1:27" ht="12.75" customHeight="1" x14ac:dyDescent="0.2">
      <c r="A263" s="160"/>
      <c r="B263" s="160"/>
      <c r="D263" s="160"/>
      <c r="F263" s="160"/>
      <c r="G263" s="160"/>
      <c r="H263" s="160"/>
      <c r="I263" s="160"/>
      <c r="J263" s="160"/>
      <c r="K263" s="160"/>
      <c r="L263" s="160"/>
      <c r="M263" s="160"/>
      <c r="N263" s="160"/>
      <c r="O263" s="160"/>
      <c r="P263" s="160"/>
      <c r="Q263" s="160"/>
      <c r="R263" s="160"/>
      <c r="S263" s="160"/>
      <c r="T263" s="160"/>
      <c r="U263" s="160"/>
      <c r="V263" s="160"/>
      <c r="W263" s="160"/>
      <c r="X263" s="160"/>
      <c r="Y263" s="160"/>
      <c r="Z263" s="160"/>
      <c r="AA263" s="160"/>
    </row>
    <row r="264" spans="1:27" ht="12.75" customHeight="1" x14ac:dyDescent="0.2">
      <c r="A264" s="160"/>
      <c r="B264" s="160"/>
      <c r="D264" s="160"/>
      <c r="F264" s="160"/>
      <c r="G264" s="160"/>
      <c r="H264" s="160"/>
      <c r="I264" s="160"/>
      <c r="J264" s="160"/>
      <c r="K264" s="160"/>
      <c r="L264" s="160"/>
      <c r="M264" s="160"/>
      <c r="N264" s="160"/>
      <c r="O264" s="160"/>
      <c r="P264" s="160"/>
      <c r="Q264" s="160"/>
      <c r="R264" s="160"/>
      <c r="S264" s="160"/>
      <c r="T264" s="160"/>
      <c r="U264" s="160"/>
      <c r="V264" s="160"/>
      <c r="W264" s="160"/>
      <c r="X264" s="160"/>
      <c r="Y264" s="160"/>
      <c r="Z264" s="160"/>
      <c r="AA264" s="160"/>
    </row>
    <row r="265" spans="1:27" ht="12.75" customHeight="1" x14ac:dyDescent="0.2">
      <c r="A265" s="160"/>
      <c r="B265" s="160"/>
      <c r="D265" s="160"/>
      <c r="F265" s="160"/>
      <c r="G265" s="160"/>
      <c r="H265" s="160"/>
      <c r="I265" s="160"/>
      <c r="J265" s="160"/>
      <c r="K265" s="160"/>
      <c r="L265" s="160"/>
      <c r="M265" s="160"/>
      <c r="N265" s="160"/>
      <c r="O265" s="160"/>
      <c r="P265" s="160"/>
      <c r="Q265" s="160"/>
      <c r="R265" s="160"/>
      <c r="S265" s="160"/>
      <c r="T265" s="160"/>
      <c r="U265" s="160"/>
      <c r="V265" s="160"/>
      <c r="W265" s="160"/>
      <c r="X265" s="160"/>
      <c r="Y265" s="160"/>
      <c r="Z265" s="160"/>
      <c r="AA265" s="160"/>
    </row>
    <row r="266" spans="1:27" ht="12.75" customHeight="1" x14ac:dyDescent="0.2">
      <c r="A266" s="160"/>
      <c r="B266" s="160"/>
      <c r="D266" s="160"/>
      <c r="F266" s="160"/>
      <c r="G266" s="160"/>
      <c r="H266" s="160"/>
      <c r="I266" s="160"/>
      <c r="J266" s="160"/>
      <c r="K266" s="160"/>
      <c r="L266" s="160"/>
      <c r="M266" s="160"/>
      <c r="N266" s="160"/>
      <c r="O266" s="160"/>
      <c r="P266" s="160"/>
      <c r="Q266" s="160"/>
      <c r="R266" s="160"/>
      <c r="S266" s="160"/>
      <c r="T266" s="160"/>
      <c r="U266" s="160"/>
      <c r="V266" s="160"/>
      <c r="W266" s="160"/>
      <c r="X266" s="160"/>
      <c r="Y266" s="160"/>
      <c r="Z266" s="160"/>
      <c r="AA266" s="160"/>
    </row>
    <row r="267" spans="1:27" ht="12.75" customHeight="1" x14ac:dyDescent="0.2">
      <c r="A267" s="160"/>
      <c r="B267" s="160"/>
      <c r="D267" s="160"/>
      <c r="F267" s="160"/>
      <c r="G267" s="160"/>
      <c r="H267" s="160"/>
      <c r="I267" s="160"/>
      <c r="J267" s="160"/>
      <c r="K267" s="160"/>
      <c r="L267" s="160"/>
      <c r="M267" s="160"/>
      <c r="N267" s="160"/>
      <c r="O267" s="160"/>
      <c r="P267" s="160"/>
      <c r="Q267" s="160"/>
      <c r="R267" s="160"/>
      <c r="S267" s="160"/>
      <c r="T267" s="160"/>
      <c r="U267" s="160"/>
      <c r="V267" s="160"/>
      <c r="W267" s="160"/>
      <c r="X267" s="160"/>
      <c r="Y267" s="160"/>
      <c r="Z267" s="160"/>
      <c r="AA267" s="160"/>
    </row>
    <row r="268" spans="1:27" ht="12.75" customHeight="1" x14ac:dyDescent="0.2">
      <c r="A268" s="160"/>
      <c r="B268" s="160"/>
      <c r="D268" s="160"/>
      <c r="F268" s="160"/>
      <c r="G268" s="160"/>
      <c r="H268" s="160"/>
      <c r="I268" s="160"/>
      <c r="J268" s="160"/>
      <c r="K268" s="160"/>
      <c r="L268" s="160"/>
      <c r="M268" s="160"/>
      <c r="N268" s="160"/>
      <c r="O268" s="160"/>
      <c r="P268" s="160"/>
      <c r="Q268" s="160"/>
      <c r="R268" s="160"/>
      <c r="S268" s="160"/>
      <c r="T268" s="160"/>
      <c r="U268" s="160"/>
      <c r="V268" s="160"/>
      <c r="W268" s="160"/>
      <c r="X268" s="160"/>
      <c r="Y268" s="160"/>
      <c r="Z268" s="160"/>
      <c r="AA268" s="160"/>
    </row>
    <row r="269" spans="1:27" ht="12.75" customHeight="1" x14ac:dyDescent="0.2">
      <c r="A269" s="160"/>
      <c r="B269" s="160"/>
      <c r="D269" s="160"/>
      <c r="F269" s="160"/>
      <c r="G269" s="160"/>
      <c r="H269" s="160"/>
      <c r="I269" s="160"/>
      <c r="J269" s="160"/>
      <c r="K269" s="160"/>
      <c r="L269" s="160"/>
      <c r="M269" s="160"/>
      <c r="N269" s="160"/>
      <c r="O269" s="160"/>
      <c r="P269" s="160"/>
      <c r="Q269" s="160"/>
      <c r="R269" s="160"/>
      <c r="S269" s="160"/>
      <c r="T269" s="160"/>
      <c r="U269" s="160"/>
      <c r="V269" s="160"/>
      <c r="W269" s="160"/>
      <c r="X269" s="160"/>
      <c r="Y269" s="160"/>
      <c r="Z269" s="160"/>
      <c r="AA269" s="160"/>
    </row>
    <row r="270" spans="1:27" ht="12.75" customHeight="1" x14ac:dyDescent="0.2">
      <c r="A270" s="160"/>
      <c r="B270" s="160"/>
      <c r="D270" s="160"/>
      <c r="F270" s="160"/>
      <c r="G270" s="160"/>
      <c r="H270" s="160"/>
      <c r="I270" s="160"/>
      <c r="J270" s="160"/>
      <c r="K270" s="160"/>
      <c r="L270" s="160"/>
      <c r="M270" s="160"/>
      <c r="N270" s="160"/>
      <c r="O270" s="160"/>
      <c r="P270" s="160"/>
      <c r="Q270" s="160"/>
      <c r="R270" s="160"/>
      <c r="S270" s="160"/>
      <c r="T270" s="160"/>
      <c r="U270" s="160"/>
      <c r="V270" s="160"/>
      <c r="W270" s="160"/>
      <c r="X270" s="160"/>
      <c r="Y270" s="160"/>
      <c r="Z270" s="160"/>
      <c r="AA270" s="160"/>
    </row>
    <row r="271" spans="1:27" ht="12.75" customHeight="1" x14ac:dyDescent="0.2">
      <c r="A271" s="160"/>
      <c r="B271" s="160"/>
      <c r="D271" s="160"/>
      <c r="F271" s="160"/>
      <c r="G271" s="160"/>
      <c r="H271" s="160"/>
      <c r="I271" s="160"/>
      <c r="J271" s="160"/>
      <c r="K271" s="160"/>
      <c r="L271" s="160"/>
      <c r="M271" s="160"/>
      <c r="N271" s="160"/>
      <c r="O271" s="160"/>
      <c r="P271" s="160"/>
      <c r="Q271" s="160"/>
      <c r="R271" s="160"/>
      <c r="S271" s="160"/>
      <c r="T271" s="160"/>
      <c r="U271" s="160"/>
      <c r="V271" s="160"/>
      <c r="W271" s="160"/>
      <c r="X271" s="160"/>
      <c r="Y271" s="160"/>
      <c r="Z271" s="160"/>
      <c r="AA271" s="160"/>
    </row>
    <row r="272" spans="1:27" ht="12.75" customHeight="1" x14ac:dyDescent="0.2">
      <c r="A272" s="160"/>
      <c r="B272" s="160"/>
      <c r="D272" s="160"/>
      <c r="F272" s="160"/>
      <c r="G272" s="160"/>
      <c r="H272" s="160"/>
      <c r="I272" s="160"/>
      <c r="J272" s="160"/>
      <c r="K272" s="160"/>
      <c r="L272" s="160"/>
      <c r="M272" s="160"/>
      <c r="N272" s="160"/>
      <c r="O272" s="160"/>
      <c r="P272" s="160"/>
      <c r="Q272" s="160"/>
      <c r="R272" s="160"/>
      <c r="S272" s="160"/>
      <c r="T272" s="160"/>
      <c r="U272" s="160"/>
      <c r="V272" s="160"/>
      <c r="W272" s="160"/>
      <c r="X272" s="160"/>
      <c r="Y272" s="160"/>
      <c r="Z272" s="160"/>
      <c r="AA272" s="160"/>
    </row>
    <row r="273" spans="1:27" ht="12.75" customHeight="1" x14ac:dyDescent="0.2">
      <c r="A273" s="160"/>
      <c r="B273" s="160"/>
      <c r="D273" s="160"/>
      <c r="F273" s="160"/>
      <c r="G273" s="160"/>
      <c r="H273" s="160"/>
      <c r="I273" s="160"/>
      <c r="J273" s="160"/>
      <c r="K273" s="160"/>
      <c r="L273" s="160"/>
      <c r="M273" s="160"/>
      <c r="N273" s="160"/>
      <c r="O273" s="160"/>
      <c r="P273" s="160"/>
      <c r="Q273" s="160"/>
      <c r="R273" s="160"/>
      <c r="S273" s="160"/>
      <c r="T273" s="160"/>
      <c r="U273" s="160"/>
      <c r="V273" s="160"/>
      <c r="W273" s="160"/>
      <c r="X273" s="160"/>
      <c r="Y273" s="160"/>
      <c r="Z273" s="160"/>
      <c r="AA273" s="160"/>
    </row>
    <row r="274" spans="1:27" ht="12.75" customHeight="1" x14ac:dyDescent="0.2">
      <c r="A274" s="160"/>
      <c r="B274" s="160"/>
      <c r="D274" s="160"/>
      <c r="F274" s="160"/>
      <c r="G274" s="160"/>
      <c r="H274" s="160"/>
      <c r="I274" s="160"/>
      <c r="J274" s="160"/>
      <c r="K274" s="160"/>
      <c r="L274" s="160"/>
      <c r="M274" s="160"/>
      <c r="N274" s="160"/>
      <c r="O274" s="160"/>
      <c r="P274" s="160"/>
      <c r="Q274" s="160"/>
      <c r="R274" s="160"/>
      <c r="S274" s="160"/>
      <c r="T274" s="160"/>
      <c r="U274" s="160"/>
      <c r="V274" s="160"/>
      <c r="W274" s="160"/>
      <c r="X274" s="160"/>
      <c r="Y274" s="160"/>
      <c r="Z274" s="160"/>
      <c r="AA274" s="160"/>
    </row>
    <row r="275" spans="1:27" ht="12.75" customHeight="1" x14ac:dyDescent="0.2">
      <c r="A275" s="160"/>
      <c r="B275" s="160"/>
      <c r="D275" s="160"/>
      <c r="F275" s="160"/>
      <c r="G275" s="160"/>
      <c r="H275" s="160"/>
      <c r="I275" s="160"/>
      <c r="J275" s="160"/>
      <c r="K275" s="160"/>
      <c r="L275" s="160"/>
      <c r="M275" s="160"/>
      <c r="N275" s="160"/>
      <c r="O275" s="160"/>
      <c r="P275" s="160"/>
      <c r="Q275" s="160"/>
      <c r="R275" s="160"/>
      <c r="S275" s="160"/>
      <c r="T275" s="160"/>
      <c r="U275" s="160"/>
      <c r="V275" s="160"/>
      <c r="W275" s="160"/>
      <c r="X275" s="160"/>
      <c r="Y275" s="160"/>
      <c r="Z275" s="160"/>
      <c r="AA275" s="160"/>
    </row>
    <row r="276" spans="1:27" ht="12.75" customHeight="1" x14ac:dyDescent="0.2">
      <c r="A276" s="160"/>
      <c r="B276" s="160"/>
      <c r="D276" s="160"/>
      <c r="F276" s="160"/>
      <c r="G276" s="160"/>
      <c r="H276" s="160"/>
      <c r="I276" s="160"/>
      <c r="J276" s="160"/>
      <c r="K276" s="160"/>
      <c r="L276" s="160"/>
      <c r="M276" s="160"/>
      <c r="N276" s="160"/>
      <c r="O276" s="160"/>
      <c r="P276" s="160"/>
      <c r="Q276" s="160"/>
      <c r="R276" s="160"/>
      <c r="S276" s="160"/>
      <c r="T276" s="160"/>
      <c r="U276" s="160"/>
      <c r="V276" s="160"/>
      <c r="W276" s="160"/>
      <c r="X276" s="160"/>
      <c r="Y276" s="160"/>
      <c r="Z276" s="160"/>
      <c r="AA276" s="160"/>
    </row>
    <row r="277" spans="1:27" ht="12.75" customHeight="1" x14ac:dyDescent="0.2">
      <c r="A277" s="160"/>
      <c r="B277" s="160"/>
      <c r="D277" s="160"/>
      <c r="F277" s="160"/>
      <c r="G277" s="160"/>
      <c r="H277" s="160"/>
      <c r="I277" s="160"/>
      <c r="J277" s="160"/>
      <c r="K277" s="160"/>
      <c r="L277" s="160"/>
      <c r="M277" s="160"/>
      <c r="N277" s="160"/>
      <c r="O277" s="160"/>
      <c r="P277" s="160"/>
      <c r="Q277" s="160"/>
      <c r="R277" s="160"/>
      <c r="S277" s="160"/>
      <c r="T277" s="160"/>
      <c r="U277" s="160"/>
      <c r="V277" s="160"/>
      <c r="W277" s="160"/>
      <c r="X277" s="160"/>
      <c r="Y277" s="160"/>
      <c r="Z277" s="160"/>
      <c r="AA277" s="160"/>
    </row>
    <row r="278" spans="1:27" ht="12.75" customHeight="1" x14ac:dyDescent="0.2">
      <c r="A278" s="160"/>
      <c r="B278" s="160"/>
      <c r="D278" s="160"/>
      <c r="F278" s="160"/>
      <c r="G278" s="160"/>
      <c r="H278" s="160"/>
      <c r="I278" s="160"/>
      <c r="J278" s="160"/>
      <c r="K278" s="160"/>
      <c r="L278" s="160"/>
      <c r="M278" s="160"/>
      <c r="N278" s="160"/>
      <c r="O278" s="160"/>
      <c r="P278" s="160"/>
      <c r="Q278" s="160"/>
      <c r="R278" s="160"/>
      <c r="S278" s="160"/>
      <c r="T278" s="160"/>
      <c r="U278" s="160"/>
      <c r="V278" s="160"/>
      <c r="W278" s="160"/>
      <c r="X278" s="160"/>
      <c r="Y278" s="160"/>
      <c r="Z278" s="160"/>
      <c r="AA278" s="160"/>
    </row>
    <row r="279" spans="1:27" ht="12.75" customHeight="1" x14ac:dyDescent="0.2">
      <c r="A279" s="160"/>
      <c r="B279" s="160"/>
      <c r="D279" s="160"/>
      <c r="F279" s="160"/>
      <c r="G279" s="160"/>
      <c r="H279" s="160"/>
      <c r="I279" s="160"/>
      <c r="J279" s="160"/>
      <c r="K279" s="160"/>
      <c r="L279" s="160"/>
      <c r="M279" s="160"/>
      <c r="N279" s="160"/>
      <c r="O279" s="160"/>
      <c r="P279" s="160"/>
      <c r="Q279" s="160"/>
      <c r="R279" s="160"/>
      <c r="S279" s="160"/>
      <c r="T279" s="160"/>
      <c r="U279" s="160"/>
      <c r="V279" s="160"/>
      <c r="W279" s="160"/>
      <c r="X279" s="160"/>
      <c r="Y279" s="160"/>
      <c r="Z279" s="160"/>
      <c r="AA279" s="160"/>
    </row>
    <row r="280" spans="1:27" ht="12.75" customHeight="1" x14ac:dyDescent="0.2">
      <c r="A280" s="160"/>
      <c r="B280" s="160"/>
      <c r="D280" s="160"/>
      <c r="F280" s="160"/>
      <c r="G280" s="160"/>
      <c r="H280" s="160"/>
      <c r="I280" s="160"/>
      <c r="J280" s="160"/>
      <c r="K280" s="160"/>
      <c r="L280" s="160"/>
      <c r="M280" s="160"/>
      <c r="N280" s="160"/>
      <c r="O280" s="160"/>
      <c r="P280" s="160"/>
      <c r="Q280" s="160"/>
      <c r="R280" s="160"/>
      <c r="S280" s="160"/>
      <c r="T280" s="160"/>
      <c r="U280" s="160"/>
      <c r="V280" s="160"/>
      <c r="W280" s="160"/>
      <c r="X280" s="160"/>
      <c r="Y280" s="160"/>
      <c r="Z280" s="160"/>
      <c r="AA280" s="160"/>
    </row>
    <row r="281" spans="1:27" ht="12.75" customHeight="1" x14ac:dyDescent="0.2">
      <c r="A281" s="160"/>
      <c r="B281" s="160"/>
      <c r="D281" s="160"/>
      <c r="F281" s="160"/>
      <c r="G281" s="160"/>
      <c r="H281" s="160"/>
      <c r="I281" s="160"/>
      <c r="J281" s="160"/>
      <c r="K281" s="160"/>
      <c r="L281" s="160"/>
      <c r="M281" s="160"/>
      <c r="N281" s="160"/>
      <c r="O281" s="160"/>
      <c r="P281" s="160"/>
      <c r="Q281" s="160"/>
      <c r="R281" s="160"/>
      <c r="S281" s="160"/>
      <c r="T281" s="160"/>
      <c r="U281" s="160"/>
      <c r="V281" s="160"/>
      <c r="W281" s="160"/>
      <c r="X281" s="160"/>
      <c r="Y281" s="160"/>
      <c r="Z281" s="160"/>
      <c r="AA281" s="160"/>
    </row>
    <row r="282" spans="1:27" ht="12.75" customHeight="1" x14ac:dyDescent="0.2">
      <c r="A282" s="160"/>
      <c r="B282" s="160"/>
      <c r="D282" s="160"/>
      <c r="F282" s="160"/>
      <c r="G282" s="160"/>
      <c r="H282" s="160"/>
      <c r="I282" s="160"/>
      <c r="J282" s="160"/>
      <c r="K282" s="160"/>
      <c r="L282" s="160"/>
      <c r="M282" s="160"/>
      <c r="N282" s="160"/>
      <c r="O282" s="160"/>
      <c r="P282" s="160"/>
      <c r="Q282" s="160"/>
      <c r="R282" s="160"/>
      <c r="S282" s="160"/>
      <c r="T282" s="160"/>
      <c r="U282" s="160"/>
      <c r="V282" s="160"/>
      <c r="W282" s="160"/>
      <c r="X282" s="160"/>
      <c r="Y282" s="160"/>
      <c r="Z282" s="160"/>
      <c r="AA282" s="160"/>
    </row>
    <row r="283" spans="1:27" ht="12.75" customHeight="1" x14ac:dyDescent="0.2">
      <c r="A283" s="160"/>
      <c r="B283" s="160"/>
      <c r="D283" s="160"/>
      <c r="F283" s="160"/>
      <c r="G283" s="160"/>
      <c r="H283" s="160"/>
      <c r="I283" s="160"/>
      <c r="J283" s="160"/>
      <c r="K283" s="160"/>
      <c r="L283" s="160"/>
      <c r="M283" s="160"/>
      <c r="N283" s="160"/>
      <c r="O283" s="160"/>
      <c r="P283" s="160"/>
      <c r="Q283" s="160"/>
      <c r="R283" s="160"/>
      <c r="S283" s="160"/>
      <c r="T283" s="160"/>
      <c r="U283" s="160"/>
      <c r="V283" s="160"/>
      <c r="W283" s="160"/>
      <c r="X283" s="160"/>
      <c r="Y283" s="160"/>
      <c r="Z283" s="160"/>
      <c r="AA283" s="160"/>
    </row>
    <row r="284" spans="1:27" ht="12.75" customHeight="1" x14ac:dyDescent="0.2">
      <c r="A284" s="160"/>
      <c r="B284" s="160"/>
      <c r="D284" s="160"/>
      <c r="F284" s="160"/>
      <c r="G284" s="160"/>
      <c r="H284" s="160"/>
      <c r="I284" s="160"/>
      <c r="J284" s="160"/>
      <c r="K284" s="160"/>
      <c r="L284" s="160"/>
      <c r="M284" s="160"/>
      <c r="N284" s="160"/>
      <c r="O284" s="160"/>
      <c r="P284" s="160"/>
      <c r="Q284" s="160"/>
      <c r="R284" s="160"/>
      <c r="S284" s="160"/>
      <c r="T284" s="160"/>
      <c r="U284" s="160"/>
      <c r="V284" s="160"/>
      <c r="W284" s="160"/>
      <c r="X284" s="160"/>
      <c r="Y284" s="160"/>
      <c r="Z284" s="160"/>
      <c r="AA284" s="160"/>
    </row>
    <row r="285" spans="1:27" ht="12.75" customHeight="1" x14ac:dyDescent="0.2">
      <c r="A285" s="160"/>
      <c r="B285" s="160"/>
      <c r="D285" s="160"/>
      <c r="F285" s="160"/>
      <c r="G285" s="160"/>
      <c r="H285" s="160"/>
      <c r="I285" s="160"/>
      <c r="J285" s="160"/>
      <c r="K285" s="160"/>
      <c r="L285" s="160"/>
      <c r="M285" s="160"/>
      <c r="N285" s="160"/>
      <c r="O285" s="160"/>
      <c r="P285" s="160"/>
      <c r="Q285" s="160"/>
      <c r="R285" s="160"/>
      <c r="S285" s="160"/>
      <c r="T285" s="160"/>
      <c r="U285" s="160"/>
      <c r="V285" s="160"/>
      <c r="W285" s="160"/>
      <c r="X285" s="160"/>
      <c r="Y285" s="160"/>
      <c r="Z285" s="160"/>
      <c r="AA285" s="160"/>
    </row>
    <row r="286" spans="1:27" ht="12.75" customHeight="1" x14ac:dyDescent="0.2">
      <c r="A286" s="160"/>
      <c r="B286" s="160"/>
      <c r="D286" s="160"/>
      <c r="F286" s="160"/>
      <c r="G286" s="160"/>
      <c r="H286" s="160"/>
      <c r="I286" s="160"/>
      <c r="J286" s="160"/>
      <c r="K286" s="160"/>
      <c r="L286" s="160"/>
      <c r="M286" s="160"/>
      <c r="N286" s="160"/>
      <c r="O286" s="160"/>
      <c r="P286" s="160"/>
      <c r="Q286" s="160"/>
      <c r="R286" s="160"/>
      <c r="S286" s="160"/>
      <c r="T286" s="160"/>
      <c r="U286" s="160"/>
      <c r="V286" s="160"/>
      <c r="W286" s="160"/>
      <c r="X286" s="160"/>
      <c r="Y286" s="160"/>
      <c r="Z286" s="160"/>
      <c r="AA286" s="160"/>
    </row>
    <row r="287" spans="1:27" ht="12.75" customHeight="1" x14ac:dyDescent="0.2">
      <c r="A287" s="160"/>
      <c r="B287" s="160"/>
      <c r="D287" s="160"/>
      <c r="F287" s="160"/>
      <c r="G287" s="160"/>
      <c r="H287" s="160"/>
      <c r="I287" s="160"/>
      <c r="J287" s="160"/>
      <c r="K287" s="160"/>
      <c r="L287" s="160"/>
      <c r="M287" s="160"/>
      <c r="N287" s="160"/>
      <c r="O287" s="160"/>
      <c r="P287" s="160"/>
      <c r="Q287" s="160"/>
      <c r="R287" s="160"/>
      <c r="S287" s="160"/>
      <c r="T287" s="160"/>
      <c r="U287" s="160"/>
      <c r="V287" s="160"/>
      <c r="W287" s="160"/>
      <c r="X287" s="160"/>
      <c r="Y287" s="160"/>
      <c r="Z287" s="160"/>
      <c r="AA287" s="160"/>
    </row>
    <row r="288" spans="1:27" ht="12.75" customHeight="1" x14ac:dyDescent="0.2">
      <c r="A288" s="160"/>
      <c r="B288" s="160"/>
      <c r="D288" s="160"/>
      <c r="F288" s="160"/>
      <c r="G288" s="160"/>
      <c r="H288" s="160"/>
      <c r="I288" s="160"/>
      <c r="J288" s="160"/>
      <c r="K288" s="160"/>
      <c r="L288" s="160"/>
      <c r="M288" s="160"/>
      <c r="N288" s="160"/>
      <c r="O288" s="160"/>
      <c r="P288" s="160"/>
      <c r="Q288" s="160"/>
      <c r="R288" s="160"/>
      <c r="S288" s="160"/>
      <c r="T288" s="160"/>
      <c r="U288" s="160"/>
      <c r="V288" s="160"/>
      <c r="W288" s="160"/>
      <c r="X288" s="160"/>
      <c r="Y288" s="160"/>
      <c r="Z288" s="160"/>
      <c r="AA288" s="160"/>
    </row>
    <row r="289" spans="1:27" ht="12.75" customHeight="1" x14ac:dyDescent="0.2">
      <c r="A289" s="160"/>
      <c r="B289" s="160"/>
      <c r="D289" s="160"/>
      <c r="F289" s="160"/>
      <c r="G289" s="160"/>
      <c r="H289" s="160"/>
      <c r="I289" s="160"/>
      <c r="J289" s="160"/>
      <c r="K289" s="160"/>
      <c r="L289" s="160"/>
      <c r="M289" s="160"/>
      <c r="N289" s="160"/>
      <c r="O289" s="160"/>
      <c r="P289" s="160"/>
      <c r="Q289" s="160"/>
      <c r="R289" s="160"/>
      <c r="S289" s="160"/>
      <c r="T289" s="160"/>
      <c r="U289" s="160"/>
      <c r="V289" s="160"/>
      <c r="W289" s="160"/>
      <c r="X289" s="160"/>
      <c r="Y289" s="160"/>
      <c r="Z289" s="160"/>
      <c r="AA289" s="160"/>
    </row>
    <row r="290" spans="1:27" ht="12.75" customHeight="1" x14ac:dyDescent="0.2">
      <c r="A290" s="160"/>
      <c r="B290" s="160"/>
      <c r="D290" s="160"/>
      <c r="F290" s="160"/>
      <c r="G290" s="160"/>
      <c r="H290" s="160"/>
      <c r="I290" s="160"/>
      <c r="J290" s="160"/>
      <c r="K290" s="160"/>
      <c r="L290" s="160"/>
      <c r="M290" s="160"/>
      <c r="N290" s="160"/>
      <c r="O290" s="160"/>
      <c r="P290" s="160"/>
      <c r="Q290" s="160"/>
      <c r="R290" s="160"/>
      <c r="S290" s="160"/>
      <c r="T290" s="160"/>
      <c r="U290" s="160"/>
      <c r="V290" s="160"/>
      <c r="W290" s="160"/>
      <c r="X290" s="160"/>
      <c r="Y290" s="160"/>
      <c r="Z290" s="160"/>
      <c r="AA290" s="160"/>
    </row>
    <row r="291" spans="1:27" ht="12.75" customHeight="1" x14ac:dyDescent="0.2">
      <c r="A291" s="160"/>
      <c r="B291" s="160"/>
      <c r="D291" s="160"/>
      <c r="F291" s="160"/>
      <c r="G291" s="160"/>
      <c r="H291" s="160"/>
      <c r="I291" s="160"/>
      <c r="J291" s="160"/>
      <c r="K291" s="160"/>
      <c r="L291" s="160"/>
      <c r="M291" s="160"/>
      <c r="N291" s="160"/>
      <c r="O291" s="160"/>
      <c r="P291" s="160"/>
      <c r="Q291" s="160"/>
      <c r="R291" s="160"/>
      <c r="S291" s="160"/>
      <c r="T291" s="160"/>
      <c r="U291" s="160"/>
      <c r="V291" s="160"/>
      <c r="W291" s="160"/>
      <c r="X291" s="160"/>
      <c r="Y291" s="160"/>
      <c r="Z291" s="160"/>
      <c r="AA291" s="160"/>
    </row>
    <row r="292" spans="1:27" ht="12.75" customHeight="1" x14ac:dyDescent="0.2">
      <c r="A292" s="160"/>
      <c r="B292" s="160"/>
      <c r="D292" s="160"/>
      <c r="F292" s="160"/>
      <c r="G292" s="160"/>
      <c r="H292" s="160"/>
      <c r="I292" s="160"/>
      <c r="J292" s="160"/>
      <c r="K292" s="160"/>
      <c r="L292" s="160"/>
      <c r="M292" s="160"/>
      <c r="N292" s="160"/>
      <c r="O292" s="160"/>
      <c r="P292" s="160"/>
      <c r="Q292" s="160"/>
      <c r="R292" s="160"/>
      <c r="S292" s="160"/>
      <c r="T292" s="160"/>
      <c r="U292" s="160"/>
      <c r="V292" s="160"/>
      <c r="W292" s="160"/>
      <c r="X292" s="160"/>
      <c r="Y292" s="160"/>
      <c r="Z292" s="160"/>
      <c r="AA292" s="160"/>
    </row>
    <row r="293" spans="1:27" ht="12.75" customHeight="1" x14ac:dyDescent="0.2">
      <c r="A293" s="160"/>
      <c r="B293" s="160"/>
      <c r="D293" s="160"/>
      <c r="F293" s="160"/>
      <c r="G293" s="160"/>
      <c r="H293" s="160"/>
      <c r="I293" s="160"/>
      <c r="J293" s="160"/>
      <c r="K293" s="160"/>
      <c r="L293" s="160"/>
      <c r="M293" s="160"/>
      <c r="N293" s="160"/>
      <c r="O293" s="160"/>
      <c r="P293" s="160"/>
      <c r="Q293" s="160"/>
      <c r="R293" s="160"/>
      <c r="S293" s="160"/>
      <c r="T293" s="160"/>
      <c r="U293" s="160"/>
      <c r="V293" s="160"/>
      <c r="W293" s="160"/>
      <c r="X293" s="160"/>
      <c r="Y293" s="160"/>
      <c r="Z293" s="160"/>
      <c r="AA293" s="160"/>
    </row>
    <row r="294" spans="1:27" ht="12.75" customHeight="1" x14ac:dyDescent="0.2">
      <c r="A294" s="160"/>
      <c r="B294" s="160"/>
      <c r="D294" s="160"/>
      <c r="F294" s="160"/>
      <c r="G294" s="160"/>
      <c r="H294" s="160"/>
      <c r="I294" s="160"/>
      <c r="J294" s="160"/>
      <c r="K294" s="160"/>
      <c r="L294" s="160"/>
      <c r="M294" s="160"/>
      <c r="N294" s="160"/>
      <c r="O294" s="160"/>
      <c r="P294" s="160"/>
      <c r="Q294" s="160"/>
      <c r="R294" s="160"/>
      <c r="S294" s="160"/>
      <c r="T294" s="160"/>
      <c r="U294" s="160"/>
      <c r="V294" s="160"/>
      <c r="W294" s="160"/>
      <c r="X294" s="160"/>
      <c r="Y294" s="160"/>
      <c r="Z294" s="160"/>
      <c r="AA294" s="160"/>
    </row>
    <row r="295" spans="1:27" ht="12.75" customHeight="1" x14ac:dyDescent="0.2">
      <c r="A295" s="160"/>
      <c r="B295" s="160"/>
      <c r="D295" s="160"/>
      <c r="F295" s="160"/>
      <c r="G295" s="160"/>
      <c r="H295" s="160"/>
      <c r="I295" s="160"/>
      <c r="J295" s="160"/>
      <c r="K295" s="160"/>
      <c r="L295" s="160"/>
      <c r="M295" s="160"/>
      <c r="N295" s="160"/>
      <c r="O295" s="160"/>
      <c r="P295" s="160"/>
      <c r="Q295" s="160"/>
      <c r="R295" s="160"/>
      <c r="S295" s="160"/>
      <c r="T295" s="160"/>
      <c r="U295" s="160"/>
      <c r="V295" s="160"/>
      <c r="W295" s="160"/>
      <c r="X295" s="160"/>
      <c r="Y295" s="160"/>
      <c r="Z295" s="160"/>
      <c r="AA295" s="160"/>
    </row>
    <row r="296" spans="1:27" ht="12.75" customHeight="1" x14ac:dyDescent="0.2">
      <c r="A296" s="160"/>
      <c r="B296" s="160"/>
      <c r="D296" s="160"/>
      <c r="F296" s="160"/>
      <c r="G296" s="160"/>
      <c r="H296" s="160"/>
      <c r="I296" s="160"/>
      <c r="J296" s="160"/>
      <c r="K296" s="160"/>
      <c r="L296" s="160"/>
      <c r="M296" s="160"/>
      <c r="N296" s="160"/>
      <c r="O296" s="160"/>
      <c r="P296" s="160"/>
      <c r="Q296" s="160"/>
      <c r="R296" s="160"/>
      <c r="S296" s="160"/>
      <c r="T296" s="160"/>
      <c r="U296" s="160"/>
      <c r="V296" s="160"/>
      <c r="W296" s="160"/>
      <c r="X296" s="160"/>
      <c r="Y296" s="160"/>
      <c r="Z296" s="160"/>
      <c r="AA296" s="160"/>
    </row>
    <row r="297" spans="1:27" ht="12.75" customHeight="1" x14ac:dyDescent="0.2">
      <c r="A297" s="160"/>
      <c r="B297" s="160"/>
      <c r="D297" s="160"/>
      <c r="F297" s="160"/>
      <c r="G297" s="160"/>
      <c r="H297" s="160"/>
      <c r="I297" s="160"/>
      <c r="J297" s="160"/>
      <c r="K297" s="160"/>
      <c r="L297" s="160"/>
      <c r="M297" s="160"/>
      <c r="N297" s="160"/>
      <c r="O297" s="160"/>
      <c r="P297" s="160"/>
      <c r="Q297" s="160"/>
      <c r="R297" s="160"/>
      <c r="S297" s="160"/>
      <c r="T297" s="160"/>
      <c r="U297" s="160"/>
      <c r="V297" s="160"/>
      <c r="W297" s="160"/>
      <c r="X297" s="160"/>
      <c r="Y297" s="160"/>
      <c r="Z297" s="160"/>
      <c r="AA297" s="160"/>
    </row>
    <row r="298" spans="1:27" ht="12.75" customHeight="1" x14ac:dyDescent="0.2">
      <c r="A298" s="160"/>
      <c r="B298" s="160"/>
      <c r="D298" s="160"/>
      <c r="F298" s="160"/>
      <c r="G298" s="160"/>
      <c r="H298" s="160"/>
      <c r="I298" s="160"/>
      <c r="J298" s="160"/>
      <c r="K298" s="160"/>
      <c r="L298" s="160"/>
      <c r="M298" s="160"/>
      <c r="N298" s="160"/>
      <c r="O298" s="160"/>
      <c r="P298" s="160"/>
      <c r="Q298" s="160"/>
      <c r="R298" s="160"/>
      <c r="S298" s="160"/>
      <c r="T298" s="160"/>
      <c r="U298" s="160"/>
      <c r="V298" s="160"/>
      <c r="W298" s="160"/>
      <c r="X298" s="160"/>
      <c r="Y298" s="160"/>
      <c r="Z298" s="160"/>
      <c r="AA298" s="160"/>
    </row>
    <row r="299" spans="1:27" ht="12.75" customHeight="1" x14ac:dyDescent="0.2">
      <c r="A299" s="160"/>
      <c r="B299" s="160"/>
      <c r="D299" s="160"/>
      <c r="F299" s="160"/>
      <c r="G299" s="160"/>
      <c r="H299" s="160"/>
      <c r="I299" s="160"/>
      <c r="J299" s="160"/>
      <c r="K299" s="160"/>
      <c r="L299" s="160"/>
      <c r="M299" s="160"/>
      <c r="N299" s="160"/>
      <c r="O299" s="160"/>
      <c r="P299" s="160"/>
      <c r="Q299" s="160"/>
      <c r="R299" s="160"/>
      <c r="S299" s="160"/>
      <c r="T299" s="160"/>
      <c r="U299" s="160"/>
      <c r="V299" s="160"/>
      <c r="W299" s="160"/>
      <c r="X299" s="160"/>
      <c r="Y299" s="160"/>
      <c r="Z299" s="160"/>
      <c r="AA299" s="160"/>
    </row>
    <row r="300" spans="1:27" ht="12.75" customHeight="1" x14ac:dyDescent="0.2">
      <c r="A300" s="160"/>
      <c r="B300" s="160"/>
      <c r="D300" s="160"/>
      <c r="F300" s="160"/>
      <c r="G300" s="160"/>
      <c r="H300" s="160"/>
      <c r="I300" s="160"/>
      <c r="J300" s="160"/>
      <c r="K300" s="160"/>
      <c r="L300" s="160"/>
      <c r="M300" s="160"/>
      <c r="N300" s="160"/>
      <c r="O300" s="160"/>
      <c r="P300" s="160"/>
      <c r="Q300" s="160"/>
      <c r="R300" s="160"/>
      <c r="S300" s="160"/>
      <c r="T300" s="160"/>
      <c r="U300" s="160"/>
      <c r="V300" s="160"/>
      <c r="W300" s="160"/>
      <c r="X300" s="160"/>
      <c r="Y300" s="160"/>
      <c r="Z300" s="160"/>
      <c r="AA300" s="160"/>
    </row>
    <row r="301" spans="1:27" ht="12.75" customHeight="1" x14ac:dyDescent="0.2">
      <c r="A301" s="160"/>
      <c r="B301" s="160"/>
      <c r="D301" s="160"/>
      <c r="F301" s="160"/>
      <c r="G301" s="160"/>
      <c r="H301" s="160"/>
      <c r="I301" s="160"/>
      <c r="J301" s="160"/>
      <c r="K301" s="160"/>
      <c r="L301" s="160"/>
      <c r="M301" s="160"/>
      <c r="N301" s="160"/>
      <c r="O301" s="160"/>
      <c r="P301" s="160"/>
      <c r="Q301" s="160"/>
      <c r="R301" s="160"/>
      <c r="S301" s="160"/>
      <c r="T301" s="160"/>
      <c r="U301" s="160"/>
      <c r="V301" s="160"/>
      <c r="W301" s="160"/>
      <c r="X301" s="160"/>
      <c r="Y301" s="160"/>
      <c r="Z301" s="160"/>
      <c r="AA301" s="160"/>
    </row>
    <row r="302" spans="1:27" ht="12.75" customHeight="1" x14ac:dyDescent="0.2">
      <c r="A302" s="160"/>
      <c r="B302" s="160"/>
      <c r="D302" s="160"/>
      <c r="F302" s="160"/>
      <c r="G302" s="160"/>
      <c r="H302" s="160"/>
      <c r="I302" s="160"/>
      <c r="J302" s="160"/>
      <c r="K302" s="160"/>
      <c r="L302" s="160"/>
      <c r="M302" s="160"/>
      <c r="N302" s="160"/>
      <c r="O302" s="160"/>
      <c r="P302" s="160"/>
      <c r="Q302" s="160"/>
      <c r="R302" s="160"/>
      <c r="S302" s="160"/>
      <c r="T302" s="160"/>
      <c r="U302" s="160"/>
      <c r="V302" s="160"/>
      <c r="W302" s="160"/>
      <c r="X302" s="160"/>
      <c r="Y302" s="160"/>
      <c r="Z302" s="160"/>
      <c r="AA302" s="160"/>
    </row>
    <row r="303" spans="1:27" ht="12.75" customHeight="1" x14ac:dyDescent="0.2">
      <c r="A303" s="160"/>
      <c r="B303" s="160"/>
      <c r="D303" s="160"/>
      <c r="F303" s="160"/>
      <c r="G303" s="160"/>
      <c r="H303" s="160"/>
      <c r="I303" s="160"/>
      <c r="J303" s="160"/>
      <c r="K303" s="160"/>
      <c r="L303" s="160"/>
      <c r="M303" s="160"/>
      <c r="N303" s="160"/>
      <c r="O303" s="160"/>
      <c r="P303" s="160"/>
      <c r="Q303" s="160"/>
      <c r="R303" s="160"/>
      <c r="S303" s="160"/>
      <c r="T303" s="160"/>
      <c r="U303" s="160"/>
      <c r="V303" s="160"/>
      <c r="W303" s="160"/>
      <c r="X303" s="160"/>
      <c r="Y303" s="160"/>
      <c r="Z303" s="160"/>
      <c r="AA303" s="160"/>
    </row>
    <row r="304" spans="1:27" ht="12.75" customHeight="1" x14ac:dyDescent="0.2">
      <c r="A304" s="160"/>
      <c r="B304" s="160"/>
      <c r="D304" s="160"/>
      <c r="F304" s="160"/>
      <c r="G304" s="160"/>
      <c r="H304" s="160"/>
      <c r="I304" s="160"/>
      <c r="J304" s="160"/>
      <c r="K304" s="160"/>
      <c r="L304" s="160"/>
      <c r="M304" s="160"/>
      <c r="N304" s="160"/>
      <c r="O304" s="160"/>
      <c r="P304" s="160"/>
      <c r="Q304" s="160"/>
      <c r="R304" s="160"/>
      <c r="S304" s="160"/>
      <c r="T304" s="160"/>
      <c r="U304" s="160"/>
      <c r="V304" s="160"/>
      <c r="W304" s="160"/>
      <c r="X304" s="160"/>
      <c r="Y304" s="160"/>
      <c r="Z304" s="160"/>
      <c r="AA304" s="160"/>
    </row>
    <row r="305" spans="1:27" ht="12.75" customHeight="1" x14ac:dyDescent="0.2">
      <c r="A305" s="160"/>
      <c r="B305" s="160"/>
      <c r="D305" s="160"/>
      <c r="F305" s="160"/>
      <c r="G305" s="160"/>
      <c r="H305" s="160"/>
      <c r="I305" s="160"/>
      <c r="J305" s="160"/>
      <c r="K305" s="160"/>
      <c r="L305" s="160"/>
      <c r="M305" s="160"/>
      <c r="N305" s="160"/>
      <c r="O305" s="160"/>
      <c r="P305" s="160"/>
      <c r="Q305" s="160"/>
      <c r="R305" s="160"/>
      <c r="S305" s="160"/>
      <c r="T305" s="160"/>
      <c r="U305" s="160"/>
      <c r="V305" s="160"/>
      <c r="W305" s="160"/>
      <c r="X305" s="160"/>
      <c r="Y305" s="160"/>
      <c r="Z305" s="160"/>
      <c r="AA305" s="160"/>
    </row>
    <row r="306" spans="1:27" ht="12.75" customHeight="1" x14ac:dyDescent="0.2">
      <c r="A306" s="160"/>
      <c r="B306" s="160"/>
      <c r="D306" s="160"/>
      <c r="F306" s="160"/>
      <c r="G306" s="160"/>
      <c r="H306" s="160"/>
      <c r="I306" s="160"/>
      <c r="J306" s="160"/>
      <c r="K306" s="160"/>
      <c r="L306" s="160"/>
      <c r="M306" s="160"/>
      <c r="N306" s="160"/>
      <c r="O306" s="160"/>
      <c r="P306" s="160"/>
      <c r="Q306" s="160"/>
      <c r="R306" s="160"/>
      <c r="S306" s="160"/>
      <c r="T306" s="160"/>
      <c r="U306" s="160"/>
      <c r="V306" s="160"/>
      <c r="W306" s="160"/>
      <c r="X306" s="160"/>
      <c r="Y306" s="160"/>
      <c r="Z306" s="160"/>
      <c r="AA306" s="160"/>
    </row>
    <row r="307" spans="1:27" ht="12.75" customHeight="1" x14ac:dyDescent="0.2">
      <c r="A307" s="160"/>
      <c r="B307" s="160"/>
      <c r="D307" s="160"/>
      <c r="F307" s="160"/>
      <c r="G307" s="160"/>
      <c r="H307" s="160"/>
      <c r="I307" s="160"/>
      <c r="J307" s="160"/>
      <c r="K307" s="160"/>
      <c r="L307" s="160"/>
      <c r="M307" s="160"/>
      <c r="N307" s="160"/>
      <c r="O307" s="160"/>
      <c r="P307" s="160"/>
      <c r="Q307" s="160"/>
      <c r="R307" s="160"/>
      <c r="S307" s="160"/>
      <c r="T307" s="160"/>
      <c r="U307" s="160"/>
      <c r="V307" s="160"/>
      <c r="W307" s="160"/>
      <c r="X307" s="160"/>
      <c r="Y307" s="160"/>
      <c r="Z307" s="160"/>
      <c r="AA307" s="160"/>
    </row>
    <row r="308" spans="1:27" ht="12.75" customHeight="1" x14ac:dyDescent="0.2">
      <c r="A308" s="160"/>
      <c r="B308" s="160"/>
      <c r="D308" s="160"/>
      <c r="F308" s="160"/>
      <c r="G308" s="160"/>
      <c r="H308" s="160"/>
      <c r="I308" s="160"/>
      <c r="J308" s="160"/>
      <c r="K308" s="160"/>
      <c r="L308" s="160"/>
      <c r="M308" s="160"/>
      <c r="N308" s="160"/>
      <c r="O308" s="160"/>
      <c r="P308" s="160"/>
      <c r="Q308" s="160"/>
      <c r="R308" s="160"/>
      <c r="S308" s="160"/>
      <c r="T308" s="160"/>
      <c r="U308" s="160"/>
      <c r="V308" s="160"/>
      <c r="W308" s="160"/>
      <c r="X308" s="160"/>
      <c r="Y308" s="160"/>
      <c r="Z308" s="160"/>
      <c r="AA308" s="160"/>
    </row>
    <row r="309" spans="1:27" ht="12.75" customHeight="1" x14ac:dyDescent="0.2">
      <c r="A309" s="160"/>
      <c r="B309" s="160"/>
      <c r="D309" s="160"/>
      <c r="F309" s="160"/>
      <c r="G309" s="160"/>
      <c r="H309" s="160"/>
      <c r="I309" s="160"/>
      <c r="J309" s="160"/>
      <c r="K309" s="160"/>
      <c r="L309" s="160"/>
      <c r="M309" s="160"/>
      <c r="N309" s="160"/>
      <c r="O309" s="160"/>
      <c r="P309" s="160"/>
      <c r="Q309" s="160"/>
      <c r="R309" s="160"/>
      <c r="S309" s="160"/>
      <c r="T309" s="160"/>
      <c r="U309" s="160"/>
      <c r="V309" s="160"/>
      <c r="W309" s="160"/>
      <c r="X309" s="160"/>
      <c r="Y309" s="160"/>
      <c r="Z309" s="160"/>
      <c r="AA309" s="160"/>
    </row>
    <row r="310" spans="1:27" ht="12.75" customHeight="1" x14ac:dyDescent="0.2">
      <c r="A310" s="160"/>
      <c r="B310" s="160"/>
      <c r="D310" s="160"/>
      <c r="F310" s="160"/>
      <c r="G310" s="160"/>
      <c r="H310" s="160"/>
      <c r="I310" s="160"/>
      <c r="J310" s="160"/>
      <c r="K310" s="160"/>
      <c r="L310" s="160"/>
      <c r="M310" s="160"/>
      <c r="N310" s="160"/>
      <c r="O310" s="160"/>
      <c r="P310" s="160"/>
      <c r="Q310" s="160"/>
      <c r="R310" s="160"/>
      <c r="S310" s="160"/>
      <c r="T310" s="160"/>
      <c r="U310" s="160"/>
      <c r="V310" s="160"/>
      <c r="W310" s="160"/>
      <c r="X310" s="160"/>
      <c r="Y310" s="160"/>
      <c r="Z310" s="160"/>
      <c r="AA310" s="160"/>
    </row>
    <row r="311" spans="1:27" ht="12.75" customHeight="1" x14ac:dyDescent="0.2">
      <c r="A311" s="160"/>
      <c r="B311" s="160"/>
      <c r="D311" s="160"/>
      <c r="F311" s="160"/>
      <c r="G311" s="160"/>
      <c r="H311" s="160"/>
      <c r="I311" s="160"/>
      <c r="J311" s="160"/>
      <c r="K311" s="160"/>
      <c r="L311" s="160"/>
      <c r="M311" s="160"/>
      <c r="N311" s="160"/>
      <c r="O311" s="160"/>
      <c r="P311" s="160"/>
      <c r="Q311" s="160"/>
      <c r="R311" s="160"/>
      <c r="S311" s="160"/>
      <c r="T311" s="160"/>
      <c r="U311" s="160"/>
      <c r="V311" s="160"/>
      <c r="W311" s="160"/>
      <c r="X311" s="160"/>
      <c r="Y311" s="160"/>
      <c r="Z311" s="160"/>
      <c r="AA311" s="160"/>
    </row>
    <row r="312" spans="1:27" ht="12.75" customHeight="1" x14ac:dyDescent="0.2">
      <c r="A312" s="160"/>
      <c r="B312" s="160"/>
      <c r="D312" s="160"/>
      <c r="F312" s="160"/>
      <c r="G312" s="160"/>
      <c r="H312" s="160"/>
      <c r="I312" s="160"/>
      <c r="J312" s="160"/>
      <c r="K312" s="160"/>
      <c r="L312" s="160"/>
      <c r="M312" s="160"/>
      <c r="N312" s="160"/>
      <c r="O312" s="160"/>
      <c r="P312" s="160"/>
      <c r="Q312" s="160"/>
      <c r="R312" s="160"/>
      <c r="S312" s="160"/>
      <c r="T312" s="160"/>
      <c r="U312" s="160"/>
      <c r="V312" s="160"/>
      <c r="W312" s="160"/>
      <c r="X312" s="160"/>
      <c r="Y312" s="160"/>
      <c r="Z312" s="160"/>
      <c r="AA312" s="160"/>
    </row>
    <row r="313" spans="1:27" ht="12.75" customHeight="1" x14ac:dyDescent="0.2">
      <c r="A313" s="160"/>
      <c r="B313" s="160"/>
      <c r="D313" s="160"/>
      <c r="F313" s="160"/>
      <c r="G313" s="160"/>
      <c r="H313" s="160"/>
      <c r="I313" s="160"/>
      <c r="J313" s="160"/>
      <c r="K313" s="160"/>
      <c r="L313" s="160"/>
      <c r="M313" s="160"/>
      <c r="N313" s="160"/>
      <c r="O313" s="160"/>
      <c r="P313" s="160"/>
      <c r="Q313" s="160"/>
      <c r="R313" s="160"/>
      <c r="S313" s="160"/>
      <c r="T313" s="160"/>
      <c r="U313" s="160"/>
      <c r="V313" s="160"/>
      <c r="W313" s="160"/>
      <c r="X313" s="160"/>
      <c r="Y313" s="160"/>
      <c r="Z313" s="160"/>
      <c r="AA313" s="160"/>
    </row>
    <row r="314" spans="1:27" ht="12.75" customHeight="1" x14ac:dyDescent="0.2">
      <c r="A314" s="160"/>
      <c r="B314" s="160"/>
      <c r="D314" s="160"/>
      <c r="F314" s="160"/>
      <c r="G314" s="160"/>
      <c r="H314" s="160"/>
      <c r="I314" s="160"/>
      <c r="J314" s="160"/>
      <c r="K314" s="160"/>
      <c r="L314" s="160"/>
      <c r="M314" s="160"/>
      <c r="N314" s="160"/>
      <c r="O314" s="160"/>
      <c r="P314" s="160"/>
      <c r="Q314" s="160"/>
      <c r="R314" s="160"/>
      <c r="S314" s="160"/>
      <c r="T314" s="160"/>
      <c r="U314" s="160"/>
      <c r="V314" s="160"/>
      <c r="W314" s="160"/>
      <c r="X314" s="160"/>
      <c r="Y314" s="160"/>
      <c r="Z314" s="160"/>
      <c r="AA314" s="160"/>
    </row>
    <row r="315" spans="1:27" ht="12.75" customHeight="1" x14ac:dyDescent="0.2">
      <c r="A315" s="160"/>
      <c r="B315" s="160"/>
      <c r="D315" s="160"/>
      <c r="F315" s="160"/>
      <c r="G315" s="160"/>
      <c r="H315" s="160"/>
      <c r="I315" s="160"/>
      <c r="J315" s="160"/>
      <c r="K315" s="160"/>
      <c r="L315" s="160"/>
      <c r="M315" s="160"/>
      <c r="N315" s="160"/>
      <c r="O315" s="160"/>
      <c r="P315" s="160"/>
      <c r="Q315" s="160"/>
      <c r="R315" s="160"/>
      <c r="S315" s="160"/>
      <c r="T315" s="160"/>
      <c r="U315" s="160"/>
      <c r="V315" s="160"/>
      <c r="W315" s="160"/>
      <c r="X315" s="160"/>
      <c r="Y315" s="160"/>
      <c r="Z315" s="160"/>
      <c r="AA315" s="160"/>
    </row>
    <row r="316" spans="1:27" ht="12.75" customHeight="1" x14ac:dyDescent="0.2">
      <c r="A316" s="160"/>
      <c r="B316" s="160"/>
      <c r="D316" s="160"/>
      <c r="F316" s="160"/>
      <c r="G316" s="160"/>
      <c r="H316" s="160"/>
      <c r="I316" s="160"/>
      <c r="J316" s="160"/>
      <c r="K316" s="160"/>
      <c r="L316" s="160"/>
      <c r="M316" s="160"/>
      <c r="N316" s="160"/>
      <c r="O316" s="160"/>
      <c r="P316" s="160"/>
      <c r="Q316" s="160"/>
      <c r="R316" s="160"/>
      <c r="S316" s="160"/>
      <c r="T316" s="160"/>
      <c r="U316" s="160"/>
      <c r="V316" s="160"/>
      <c r="W316" s="160"/>
      <c r="X316" s="160"/>
      <c r="Y316" s="160"/>
      <c r="Z316" s="160"/>
      <c r="AA316" s="160"/>
    </row>
    <row r="317" spans="1:27" ht="12.75" customHeight="1" x14ac:dyDescent="0.2">
      <c r="A317" s="160"/>
      <c r="B317" s="160"/>
      <c r="D317" s="160"/>
      <c r="F317" s="160"/>
      <c r="G317" s="160"/>
      <c r="H317" s="160"/>
      <c r="I317" s="160"/>
      <c r="J317" s="160"/>
      <c r="K317" s="160"/>
      <c r="L317" s="160"/>
      <c r="M317" s="160"/>
      <c r="N317" s="160"/>
      <c r="O317" s="160"/>
      <c r="P317" s="160"/>
      <c r="Q317" s="160"/>
      <c r="R317" s="160"/>
      <c r="S317" s="160"/>
      <c r="T317" s="160"/>
      <c r="U317" s="160"/>
      <c r="V317" s="160"/>
      <c r="W317" s="160"/>
      <c r="X317" s="160"/>
      <c r="Y317" s="160"/>
      <c r="Z317" s="160"/>
      <c r="AA317" s="160"/>
    </row>
    <row r="318" spans="1:27" ht="12.75" customHeight="1" x14ac:dyDescent="0.2">
      <c r="A318" s="160"/>
      <c r="B318" s="160"/>
      <c r="D318" s="160"/>
      <c r="F318" s="160"/>
      <c r="G318" s="160"/>
      <c r="H318" s="160"/>
      <c r="I318" s="160"/>
      <c r="J318" s="160"/>
      <c r="K318" s="160"/>
      <c r="L318" s="160"/>
      <c r="M318" s="160"/>
      <c r="N318" s="160"/>
      <c r="O318" s="160"/>
      <c r="P318" s="160"/>
      <c r="Q318" s="160"/>
      <c r="R318" s="160"/>
      <c r="S318" s="160"/>
      <c r="T318" s="160"/>
      <c r="U318" s="160"/>
      <c r="V318" s="160"/>
      <c r="W318" s="160"/>
      <c r="X318" s="160"/>
      <c r="Y318" s="160"/>
      <c r="Z318" s="160"/>
      <c r="AA318" s="160"/>
    </row>
    <row r="319" spans="1:27" ht="12.75" customHeight="1" x14ac:dyDescent="0.2">
      <c r="A319" s="160"/>
      <c r="B319" s="160"/>
      <c r="D319" s="160"/>
      <c r="F319" s="160"/>
      <c r="G319" s="160"/>
      <c r="H319" s="160"/>
      <c r="I319" s="160"/>
      <c r="J319" s="160"/>
      <c r="K319" s="160"/>
      <c r="L319" s="160"/>
      <c r="M319" s="160"/>
      <c r="N319" s="160"/>
      <c r="O319" s="160"/>
      <c r="P319" s="160"/>
      <c r="Q319" s="160"/>
      <c r="R319" s="160"/>
      <c r="S319" s="160"/>
      <c r="T319" s="160"/>
      <c r="U319" s="160"/>
      <c r="V319" s="160"/>
      <c r="W319" s="160"/>
      <c r="X319" s="160"/>
      <c r="Y319" s="160"/>
      <c r="Z319" s="160"/>
      <c r="AA319" s="160"/>
    </row>
    <row r="320" spans="1:27" ht="12.75" customHeight="1" x14ac:dyDescent="0.2">
      <c r="A320" s="160"/>
      <c r="B320" s="160"/>
      <c r="D320" s="160"/>
      <c r="F320" s="160"/>
      <c r="G320" s="160"/>
      <c r="H320" s="160"/>
      <c r="I320" s="160"/>
      <c r="J320" s="160"/>
      <c r="K320" s="160"/>
      <c r="L320" s="160"/>
      <c r="M320" s="160"/>
      <c r="N320" s="160"/>
      <c r="O320" s="160"/>
      <c r="P320" s="160"/>
      <c r="Q320" s="160"/>
      <c r="R320" s="160"/>
      <c r="S320" s="160"/>
      <c r="T320" s="160"/>
      <c r="U320" s="160"/>
      <c r="V320" s="160"/>
      <c r="W320" s="160"/>
      <c r="X320" s="160"/>
      <c r="Y320" s="160"/>
      <c r="Z320" s="160"/>
      <c r="AA320" s="160"/>
    </row>
    <row r="321" spans="1:27" ht="12.75" customHeight="1" x14ac:dyDescent="0.2">
      <c r="A321" s="160"/>
      <c r="B321" s="160"/>
      <c r="D321" s="160"/>
      <c r="F321" s="160"/>
      <c r="G321" s="160"/>
      <c r="H321" s="160"/>
      <c r="I321" s="160"/>
      <c r="J321" s="160"/>
      <c r="K321" s="160"/>
      <c r="L321" s="160"/>
      <c r="M321" s="160"/>
      <c r="N321" s="160"/>
      <c r="O321" s="160"/>
      <c r="P321" s="160"/>
      <c r="Q321" s="160"/>
      <c r="R321" s="160"/>
      <c r="S321" s="160"/>
      <c r="T321" s="160"/>
      <c r="U321" s="160"/>
      <c r="V321" s="160"/>
      <c r="W321" s="160"/>
      <c r="X321" s="160"/>
      <c r="Y321" s="160"/>
      <c r="Z321" s="160"/>
      <c r="AA321" s="160"/>
    </row>
    <row r="322" spans="1:27" ht="12.75" customHeight="1" x14ac:dyDescent="0.2">
      <c r="A322" s="160"/>
      <c r="B322" s="160"/>
      <c r="D322" s="160"/>
      <c r="F322" s="160"/>
      <c r="G322" s="160"/>
      <c r="H322" s="160"/>
      <c r="I322" s="160"/>
      <c r="J322" s="160"/>
      <c r="K322" s="160"/>
      <c r="L322" s="160"/>
      <c r="M322" s="160"/>
      <c r="N322" s="160"/>
      <c r="O322" s="160"/>
      <c r="P322" s="160"/>
      <c r="Q322" s="160"/>
      <c r="R322" s="160"/>
      <c r="S322" s="160"/>
      <c r="T322" s="160"/>
      <c r="U322" s="160"/>
      <c r="V322" s="160"/>
      <c r="W322" s="160"/>
      <c r="X322" s="160"/>
      <c r="Y322" s="160"/>
      <c r="Z322" s="160"/>
      <c r="AA322" s="160"/>
    </row>
    <row r="323" spans="1:27" ht="12.75" customHeight="1" x14ac:dyDescent="0.2">
      <c r="A323" s="160"/>
      <c r="B323" s="160"/>
      <c r="D323" s="160"/>
      <c r="F323" s="160"/>
      <c r="G323" s="160"/>
      <c r="H323" s="160"/>
      <c r="I323" s="160"/>
      <c r="J323" s="160"/>
      <c r="K323" s="160"/>
      <c r="L323" s="160"/>
      <c r="M323" s="160"/>
      <c r="N323" s="160"/>
      <c r="O323" s="160"/>
      <c r="P323" s="160"/>
      <c r="Q323" s="160"/>
      <c r="R323" s="160"/>
      <c r="S323" s="160"/>
      <c r="T323" s="160"/>
      <c r="U323" s="160"/>
      <c r="V323" s="160"/>
      <c r="W323" s="160"/>
      <c r="X323" s="160"/>
      <c r="Y323" s="160"/>
      <c r="Z323" s="160"/>
      <c r="AA323" s="160"/>
    </row>
    <row r="324" spans="1:27" ht="12.75" customHeight="1" x14ac:dyDescent="0.2">
      <c r="A324" s="160"/>
      <c r="B324" s="160"/>
      <c r="D324" s="160"/>
      <c r="F324" s="160"/>
      <c r="G324" s="160"/>
      <c r="H324" s="160"/>
      <c r="I324" s="160"/>
      <c r="J324" s="160"/>
      <c r="K324" s="160"/>
      <c r="L324" s="160"/>
      <c r="M324" s="160"/>
      <c r="N324" s="160"/>
      <c r="O324" s="160"/>
      <c r="P324" s="160"/>
      <c r="Q324" s="160"/>
      <c r="R324" s="160"/>
      <c r="S324" s="160"/>
      <c r="T324" s="160"/>
      <c r="U324" s="160"/>
      <c r="V324" s="160"/>
      <c r="W324" s="160"/>
      <c r="X324" s="160"/>
      <c r="Y324" s="160"/>
      <c r="Z324" s="160"/>
      <c r="AA324" s="160"/>
    </row>
    <row r="325" spans="1:27" ht="12.75" customHeight="1" x14ac:dyDescent="0.2">
      <c r="A325" s="160"/>
      <c r="B325" s="160"/>
      <c r="D325" s="160"/>
      <c r="F325" s="160"/>
      <c r="G325" s="160"/>
      <c r="H325" s="160"/>
      <c r="I325" s="160"/>
      <c r="J325" s="160"/>
      <c r="K325" s="160"/>
      <c r="L325" s="160"/>
      <c r="M325" s="160"/>
      <c r="N325" s="160"/>
      <c r="O325" s="160"/>
      <c r="P325" s="160"/>
      <c r="Q325" s="160"/>
      <c r="R325" s="160"/>
      <c r="S325" s="160"/>
      <c r="T325" s="160"/>
      <c r="U325" s="160"/>
      <c r="V325" s="160"/>
      <c r="W325" s="160"/>
      <c r="X325" s="160"/>
      <c r="Y325" s="160"/>
      <c r="Z325" s="160"/>
      <c r="AA325" s="160"/>
    </row>
    <row r="326" spans="1:27" ht="12.75" customHeight="1" x14ac:dyDescent="0.2">
      <c r="A326" s="160"/>
      <c r="B326" s="160"/>
      <c r="D326" s="160"/>
      <c r="F326" s="160"/>
      <c r="G326" s="160"/>
      <c r="H326" s="160"/>
      <c r="I326" s="160"/>
      <c r="J326" s="160"/>
      <c r="K326" s="160"/>
      <c r="L326" s="160"/>
      <c r="M326" s="160"/>
      <c r="N326" s="160"/>
      <c r="O326" s="160"/>
      <c r="P326" s="160"/>
      <c r="Q326" s="160"/>
      <c r="R326" s="160"/>
      <c r="S326" s="160"/>
      <c r="T326" s="160"/>
      <c r="U326" s="160"/>
      <c r="V326" s="160"/>
      <c r="W326" s="160"/>
      <c r="X326" s="160"/>
      <c r="Y326" s="160"/>
      <c r="Z326" s="160"/>
      <c r="AA326" s="160"/>
    </row>
    <row r="327" spans="1:27" ht="12.75" customHeight="1" x14ac:dyDescent="0.2">
      <c r="A327" s="160"/>
      <c r="B327" s="160"/>
      <c r="D327" s="160"/>
      <c r="F327" s="160"/>
      <c r="G327" s="160"/>
      <c r="H327" s="160"/>
      <c r="I327" s="160"/>
      <c r="J327" s="160"/>
      <c r="K327" s="160"/>
      <c r="L327" s="160"/>
      <c r="M327" s="160"/>
      <c r="N327" s="160"/>
      <c r="O327" s="160"/>
      <c r="P327" s="160"/>
      <c r="Q327" s="160"/>
      <c r="R327" s="160"/>
      <c r="S327" s="160"/>
      <c r="T327" s="160"/>
      <c r="U327" s="160"/>
      <c r="V327" s="160"/>
      <c r="W327" s="160"/>
      <c r="X327" s="160"/>
      <c r="Y327" s="160"/>
      <c r="Z327" s="160"/>
      <c r="AA327" s="160"/>
    </row>
    <row r="328" spans="1:27" ht="12.75" customHeight="1" x14ac:dyDescent="0.2">
      <c r="A328" s="160"/>
      <c r="B328" s="160"/>
      <c r="D328" s="160"/>
      <c r="F328" s="160"/>
      <c r="G328" s="160"/>
      <c r="H328" s="160"/>
      <c r="I328" s="160"/>
      <c r="J328" s="160"/>
      <c r="K328" s="160"/>
      <c r="L328" s="160"/>
      <c r="M328" s="160"/>
      <c r="N328" s="160"/>
      <c r="O328" s="160"/>
      <c r="P328" s="160"/>
      <c r="Q328" s="160"/>
      <c r="R328" s="160"/>
      <c r="S328" s="160"/>
      <c r="T328" s="160"/>
      <c r="U328" s="160"/>
      <c r="V328" s="160"/>
      <c r="W328" s="160"/>
      <c r="X328" s="160"/>
      <c r="Y328" s="160"/>
      <c r="Z328" s="160"/>
      <c r="AA328" s="160"/>
    </row>
    <row r="329" spans="1:27" ht="12.75" customHeight="1" x14ac:dyDescent="0.2">
      <c r="A329" s="160"/>
      <c r="B329" s="160"/>
      <c r="D329" s="160"/>
      <c r="F329" s="160"/>
      <c r="G329" s="160"/>
      <c r="H329" s="160"/>
      <c r="I329" s="160"/>
      <c r="J329" s="160"/>
      <c r="K329" s="160"/>
      <c r="L329" s="160"/>
      <c r="M329" s="160"/>
      <c r="N329" s="160"/>
      <c r="O329" s="160"/>
      <c r="P329" s="160"/>
      <c r="Q329" s="160"/>
      <c r="R329" s="160"/>
      <c r="S329" s="160"/>
      <c r="T329" s="160"/>
      <c r="U329" s="160"/>
      <c r="V329" s="160"/>
      <c r="W329" s="160"/>
      <c r="X329" s="160"/>
      <c r="Y329" s="160"/>
      <c r="Z329" s="160"/>
      <c r="AA329" s="160"/>
    </row>
    <row r="330" spans="1:27" ht="12.75" customHeight="1" x14ac:dyDescent="0.2">
      <c r="A330" s="160"/>
      <c r="B330" s="160"/>
      <c r="D330" s="160"/>
      <c r="F330" s="160"/>
      <c r="G330" s="160"/>
      <c r="H330" s="160"/>
      <c r="I330" s="160"/>
      <c r="J330" s="160"/>
      <c r="K330" s="160"/>
      <c r="L330" s="160"/>
      <c r="M330" s="160"/>
      <c r="N330" s="160"/>
      <c r="O330" s="160"/>
      <c r="P330" s="160"/>
      <c r="Q330" s="160"/>
      <c r="R330" s="160"/>
      <c r="S330" s="160"/>
      <c r="T330" s="160"/>
      <c r="U330" s="160"/>
      <c r="V330" s="160"/>
      <c r="W330" s="160"/>
      <c r="X330" s="160"/>
      <c r="Y330" s="160"/>
      <c r="Z330" s="160"/>
      <c r="AA330" s="160"/>
    </row>
    <row r="331" spans="1:27" ht="12.75" customHeight="1" x14ac:dyDescent="0.2">
      <c r="A331" s="160"/>
      <c r="B331" s="160"/>
      <c r="D331" s="160"/>
      <c r="F331" s="160"/>
      <c r="G331" s="160"/>
      <c r="H331" s="160"/>
      <c r="I331" s="160"/>
      <c r="J331" s="160"/>
      <c r="K331" s="160"/>
      <c r="L331" s="160"/>
      <c r="M331" s="160"/>
      <c r="N331" s="160"/>
      <c r="O331" s="160"/>
      <c r="P331" s="160"/>
      <c r="Q331" s="160"/>
      <c r="R331" s="160"/>
      <c r="S331" s="160"/>
      <c r="T331" s="160"/>
      <c r="U331" s="160"/>
      <c r="V331" s="160"/>
      <c r="W331" s="160"/>
      <c r="X331" s="160"/>
      <c r="Y331" s="160"/>
      <c r="Z331" s="160"/>
      <c r="AA331" s="160"/>
    </row>
    <row r="332" spans="1:27" ht="12.75" customHeight="1" x14ac:dyDescent="0.2">
      <c r="A332" s="160"/>
      <c r="B332" s="160"/>
      <c r="D332" s="160"/>
      <c r="F332" s="160"/>
      <c r="G332" s="160"/>
      <c r="H332" s="160"/>
      <c r="I332" s="160"/>
      <c r="J332" s="160"/>
      <c r="K332" s="160"/>
      <c r="L332" s="160"/>
      <c r="M332" s="160"/>
      <c r="N332" s="160"/>
      <c r="O332" s="160"/>
      <c r="P332" s="160"/>
      <c r="Q332" s="160"/>
      <c r="R332" s="160"/>
      <c r="S332" s="160"/>
      <c r="T332" s="160"/>
      <c r="U332" s="160"/>
      <c r="V332" s="160"/>
      <c r="W332" s="160"/>
      <c r="X332" s="160"/>
      <c r="Y332" s="160"/>
      <c r="Z332" s="160"/>
      <c r="AA332" s="160"/>
    </row>
    <row r="333" spans="1:27" ht="12.75" customHeight="1" x14ac:dyDescent="0.2">
      <c r="A333" s="160"/>
      <c r="B333" s="160"/>
      <c r="D333" s="160"/>
      <c r="F333" s="160"/>
      <c r="G333" s="160"/>
      <c r="H333" s="160"/>
      <c r="I333" s="160"/>
      <c r="J333" s="160"/>
      <c r="K333" s="160"/>
      <c r="L333" s="160"/>
      <c r="M333" s="160"/>
      <c r="N333" s="160"/>
      <c r="O333" s="160"/>
      <c r="P333" s="160"/>
      <c r="Q333" s="160"/>
      <c r="R333" s="160"/>
      <c r="S333" s="160"/>
      <c r="T333" s="160"/>
      <c r="U333" s="160"/>
      <c r="V333" s="160"/>
      <c r="W333" s="160"/>
      <c r="X333" s="160"/>
      <c r="Y333" s="160"/>
      <c r="Z333" s="160"/>
      <c r="AA333" s="160"/>
    </row>
    <row r="334" spans="1:27" ht="12.75" customHeight="1" x14ac:dyDescent="0.2">
      <c r="A334" s="160"/>
      <c r="B334" s="160"/>
      <c r="D334" s="160"/>
      <c r="F334" s="160"/>
      <c r="G334" s="160"/>
      <c r="H334" s="160"/>
      <c r="I334" s="160"/>
      <c r="J334" s="160"/>
      <c r="K334" s="160"/>
      <c r="L334" s="160"/>
      <c r="M334" s="160"/>
      <c r="N334" s="160"/>
      <c r="O334" s="160"/>
      <c r="P334" s="160"/>
      <c r="Q334" s="160"/>
      <c r="R334" s="160"/>
      <c r="S334" s="160"/>
      <c r="T334" s="160"/>
      <c r="U334" s="160"/>
      <c r="V334" s="160"/>
      <c r="W334" s="160"/>
      <c r="X334" s="160"/>
      <c r="Y334" s="160"/>
      <c r="Z334" s="160"/>
      <c r="AA334" s="160"/>
    </row>
    <row r="335" spans="1:27" ht="12.75" customHeight="1" x14ac:dyDescent="0.2">
      <c r="A335" s="160"/>
      <c r="B335" s="160"/>
      <c r="D335" s="160"/>
      <c r="F335" s="160"/>
      <c r="G335" s="160"/>
      <c r="H335" s="160"/>
      <c r="I335" s="160"/>
      <c r="J335" s="160"/>
      <c r="K335" s="160"/>
      <c r="L335" s="160"/>
      <c r="M335" s="160"/>
      <c r="N335" s="160"/>
      <c r="O335" s="160"/>
      <c r="P335" s="160"/>
      <c r="Q335" s="160"/>
      <c r="R335" s="160"/>
      <c r="S335" s="160"/>
      <c r="T335" s="160"/>
      <c r="U335" s="160"/>
      <c r="V335" s="160"/>
      <c r="W335" s="160"/>
      <c r="X335" s="160"/>
      <c r="Y335" s="160"/>
      <c r="Z335" s="160"/>
      <c r="AA335" s="160"/>
    </row>
    <row r="336" spans="1:27" ht="12.75" customHeight="1" x14ac:dyDescent="0.2">
      <c r="A336" s="160"/>
      <c r="B336" s="160"/>
      <c r="D336" s="160"/>
      <c r="F336" s="160"/>
      <c r="G336" s="160"/>
      <c r="H336" s="160"/>
      <c r="I336" s="160"/>
      <c r="J336" s="160"/>
      <c r="K336" s="160"/>
      <c r="L336" s="160"/>
      <c r="M336" s="160"/>
      <c r="N336" s="160"/>
      <c r="O336" s="160"/>
      <c r="P336" s="160"/>
      <c r="Q336" s="160"/>
      <c r="R336" s="160"/>
      <c r="S336" s="160"/>
      <c r="T336" s="160"/>
      <c r="U336" s="160"/>
      <c r="V336" s="160"/>
      <c r="W336" s="160"/>
      <c r="X336" s="160"/>
      <c r="Y336" s="160"/>
      <c r="Z336" s="160"/>
      <c r="AA336" s="160"/>
    </row>
    <row r="337" spans="1:27" ht="12.75" customHeight="1" x14ac:dyDescent="0.2">
      <c r="A337" s="160"/>
      <c r="B337" s="160"/>
      <c r="D337" s="160"/>
      <c r="F337" s="160"/>
      <c r="G337" s="160"/>
      <c r="H337" s="160"/>
      <c r="I337" s="160"/>
      <c r="J337" s="160"/>
      <c r="K337" s="160"/>
      <c r="L337" s="160"/>
      <c r="M337" s="160"/>
      <c r="N337" s="160"/>
      <c r="O337" s="160"/>
      <c r="P337" s="160"/>
      <c r="Q337" s="160"/>
      <c r="R337" s="160"/>
      <c r="S337" s="160"/>
      <c r="T337" s="160"/>
      <c r="U337" s="160"/>
      <c r="V337" s="160"/>
      <c r="W337" s="160"/>
      <c r="X337" s="160"/>
      <c r="Y337" s="160"/>
      <c r="Z337" s="160"/>
      <c r="AA337" s="160"/>
    </row>
    <row r="338" spans="1:27" ht="12.75" customHeight="1" x14ac:dyDescent="0.2">
      <c r="A338" s="160"/>
      <c r="B338" s="160"/>
      <c r="D338" s="160"/>
      <c r="F338" s="160"/>
      <c r="G338" s="160"/>
      <c r="H338" s="160"/>
      <c r="I338" s="160"/>
      <c r="J338" s="160"/>
      <c r="K338" s="160"/>
      <c r="L338" s="160"/>
      <c r="M338" s="160"/>
      <c r="N338" s="160"/>
      <c r="O338" s="160"/>
      <c r="P338" s="160"/>
      <c r="Q338" s="160"/>
      <c r="R338" s="160"/>
      <c r="S338" s="160"/>
      <c r="T338" s="160"/>
      <c r="U338" s="160"/>
      <c r="V338" s="160"/>
      <c r="W338" s="160"/>
      <c r="X338" s="160"/>
      <c r="Y338" s="160"/>
      <c r="Z338" s="160"/>
      <c r="AA338" s="160"/>
    </row>
    <row r="339" spans="1:27" ht="12.75" customHeight="1" x14ac:dyDescent="0.2">
      <c r="A339" s="160"/>
      <c r="B339" s="160"/>
      <c r="D339" s="160"/>
      <c r="F339" s="160"/>
      <c r="G339" s="160"/>
      <c r="H339" s="160"/>
      <c r="I339" s="160"/>
      <c r="J339" s="160"/>
      <c r="K339" s="160"/>
      <c r="L339" s="160"/>
      <c r="M339" s="160"/>
      <c r="N339" s="160"/>
      <c r="O339" s="160"/>
      <c r="P339" s="160"/>
      <c r="Q339" s="160"/>
      <c r="R339" s="160"/>
      <c r="S339" s="160"/>
      <c r="T339" s="160"/>
      <c r="U339" s="160"/>
      <c r="V339" s="160"/>
      <c r="W339" s="160"/>
      <c r="X339" s="160"/>
      <c r="Y339" s="160"/>
      <c r="Z339" s="160"/>
      <c r="AA339" s="160"/>
    </row>
    <row r="340" spans="1:27" ht="12.75" customHeight="1" x14ac:dyDescent="0.2">
      <c r="A340" s="160"/>
      <c r="B340" s="160"/>
      <c r="D340" s="160"/>
      <c r="F340" s="160"/>
      <c r="G340" s="160"/>
      <c r="H340" s="160"/>
      <c r="I340" s="160"/>
      <c r="J340" s="160"/>
      <c r="K340" s="160"/>
      <c r="L340" s="160"/>
      <c r="M340" s="160"/>
      <c r="N340" s="160"/>
      <c r="O340" s="160"/>
      <c r="P340" s="160"/>
      <c r="Q340" s="160"/>
      <c r="R340" s="160"/>
      <c r="S340" s="160"/>
      <c r="T340" s="160"/>
      <c r="U340" s="160"/>
      <c r="V340" s="160"/>
      <c r="W340" s="160"/>
      <c r="X340" s="160"/>
      <c r="Y340" s="160"/>
      <c r="Z340" s="160"/>
      <c r="AA340" s="160"/>
    </row>
    <row r="341" spans="1:27" ht="12.75" customHeight="1" x14ac:dyDescent="0.2">
      <c r="A341" s="160"/>
      <c r="B341" s="160"/>
      <c r="D341" s="160"/>
      <c r="F341" s="160"/>
      <c r="G341" s="160"/>
      <c r="H341" s="160"/>
      <c r="I341" s="160"/>
      <c r="J341" s="160"/>
      <c r="K341" s="160"/>
      <c r="L341" s="160"/>
      <c r="M341" s="160"/>
      <c r="N341" s="160"/>
      <c r="O341" s="160"/>
      <c r="P341" s="160"/>
      <c r="Q341" s="160"/>
      <c r="R341" s="160"/>
      <c r="S341" s="160"/>
      <c r="T341" s="160"/>
      <c r="U341" s="160"/>
      <c r="V341" s="160"/>
      <c r="W341" s="160"/>
      <c r="X341" s="160"/>
      <c r="Y341" s="160"/>
      <c r="Z341" s="160"/>
      <c r="AA341" s="160"/>
    </row>
    <row r="342" spans="1:27" ht="12.75" customHeight="1" x14ac:dyDescent="0.2">
      <c r="A342" s="160"/>
      <c r="B342" s="160"/>
      <c r="D342" s="160"/>
      <c r="F342" s="160"/>
      <c r="G342" s="160"/>
      <c r="H342" s="160"/>
      <c r="I342" s="160"/>
      <c r="J342" s="160"/>
      <c r="K342" s="160"/>
      <c r="L342" s="160"/>
      <c r="M342" s="160"/>
      <c r="N342" s="160"/>
      <c r="O342" s="160"/>
      <c r="P342" s="160"/>
      <c r="Q342" s="160"/>
      <c r="R342" s="160"/>
      <c r="S342" s="160"/>
      <c r="T342" s="160"/>
      <c r="U342" s="160"/>
      <c r="V342" s="160"/>
      <c r="W342" s="160"/>
      <c r="X342" s="160"/>
      <c r="Y342" s="160"/>
      <c r="Z342" s="160"/>
      <c r="AA342" s="160"/>
    </row>
    <row r="343" spans="1:27" ht="12.75" customHeight="1" x14ac:dyDescent="0.2">
      <c r="A343" s="160"/>
      <c r="B343" s="160"/>
      <c r="D343" s="160"/>
      <c r="F343" s="160"/>
      <c r="G343" s="160"/>
      <c r="H343" s="160"/>
      <c r="I343" s="160"/>
      <c r="J343" s="160"/>
      <c r="K343" s="160"/>
      <c r="L343" s="160"/>
      <c r="M343" s="160"/>
      <c r="N343" s="160"/>
      <c r="O343" s="160"/>
      <c r="P343" s="160"/>
      <c r="Q343" s="160"/>
      <c r="R343" s="160"/>
      <c r="S343" s="160"/>
      <c r="T343" s="160"/>
      <c r="U343" s="160"/>
      <c r="V343" s="160"/>
      <c r="W343" s="160"/>
      <c r="X343" s="160"/>
      <c r="Y343" s="160"/>
      <c r="Z343" s="160"/>
      <c r="AA343" s="160"/>
    </row>
    <row r="344" spans="1:27" ht="12.75" customHeight="1" x14ac:dyDescent="0.2">
      <c r="A344" s="160"/>
      <c r="B344" s="160"/>
      <c r="D344" s="160"/>
      <c r="F344" s="160"/>
      <c r="G344" s="160"/>
      <c r="H344" s="160"/>
      <c r="I344" s="160"/>
      <c r="J344" s="160"/>
      <c r="K344" s="160"/>
      <c r="L344" s="160"/>
      <c r="M344" s="160"/>
      <c r="N344" s="160"/>
      <c r="O344" s="160"/>
      <c r="P344" s="160"/>
      <c r="Q344" s="160"/>
      <c r="R344" s="160"/>
      <c r="S344" s="160"/>
      <c r="T344" s="160"/>
      <c r="U344" s="160"/>
      <c r="V344" s="160"/>
      <c r="W344" s="160"/>
      <c r="X344" s="160"/>
      <c r="Y344" s="160"/>
      <c r="Z344" s="160"/>
      <c r="AA344" s="160"/>
    </row>
    <row r="345" spans="1:27" ht="12.75" customHeight="1" x14ac:dyDescent="0.2">
      <c r="A345" s="160"/>
      <c r="B345" s="160"/>
      <c r="D345" s="160"/>
      <c r="F345" s="160"/>
      <c r="G345" s="160"/>
      <c r="H345" s="160"/>
      <c r="I345" s="160"/>
      <c r="J345" s="160"/>
      <c r="K345" s="160"/>
      <c r="L345" s="160"/>
      <c r="M345" s="160"/>
      <c r="N345" s="160"/>
      <c r="O345" s="160"/>
      <c r="P345" s="160"/>
      <c r="Q345" s="160"/>
      <c r="R345" s="160"/>
      <c r="S345" s="160"/>
      <c r="T345" s="160"/>
      <c r="U345" s="160"/>
      <c r="V345" s="160"/>
      <c r="W345" s="160"/>
      <c r="X345" s="160"/>
      <c r="Y345" s="160"/>
      <c r="Z345" s="160"/>
      <c r="AA345" s="160"/>
    </row>
    <row r="346" spans="1:27" ht="12.75" customHeight="1" x14ac:dyDescent="0.2">
      <c r="A346" s="160"/>
      <c r="B346" s="160"/>
      <c r="D346" s="160"/>
      <c r="F346" s="160"/>
      <c r="G346" s="160"/>
      <c r="H346" s="160"/>
      <c r="I346" s="160"/>
      <c r="J346" s="160"/>
      <c r="K346" s="160"/>
      <c r="L346" s="160"/>
      <c r="M346" s="160"/>
      <c r="N346" s="160"/>
      <c r="O346" s="160"/>
      <c r="P346" s="160"/>
      <c r="Q346" s="160"/>
      <c r="R346" s="160"/>
      <c r="S346" s="160"/>
      <c r="T346" s="160"/>
      <c r="U346" s="160"/>
      <c r="V346" s="160"/>
      <c r="W346" s="160"/>
      <c r="X346" s="160"/>
      <c r="Y346" s="160"/>
      <c r="Z346" s="160"/>
      <c r="AA346" s="160"/>
    </row>
    <row r="347" spans="1:27" ht="12.75" customHeight="1" x14ac:dyDescent="0.2">
      <c r="A347" s="160"/>
      <c r="B347" s="160"/>
      <c r="D347" s="160"/>
      <c r="F347" s="160"/>
      <c r="G347" s="160"/>
      <c r="H347" s="160"/>
      <c r="I347" s="160"/>
      <c r="J347" s="160"/>
      <c r="K347" s="160"/>
      <c r="L347" s="160"/>
      <c r="M347" s="160"/>
      <c r="N347" s="160"/>
      <c r="O347" s="160"/>
      <c r="P347" s="160"/>
      <c r="Q347" s="160"/>
      <c r="R347" s="160"/>
      <c r="S347" s="160"/>
      <c r="T347" s="160"/>
      <c r="U347" s="160"/>
      <c r="V347" s="160"/>
      <c r="W347" s="160"/>
      <c r="X347" s="160"/>
      <c r="Y347" s="160"/>
      <c r="Z347" s="160"/>
      <c r="AA347" s="160"/>
    </row>
    <row r="348" spans="1:27" ht="12.75" customHeight="1" x14ac:dyDescent="0.2">
      <c r="A348" s="160"/>
      <c r="B348" s="160"/>
      <c r="D348" s="160"/>
      <c r="F348" s="160"/>
      <c r="G348" s="160"/>
      <c r="H348" s="160"/>
      <c r="I348" s="160"/>
      <c r="J348" s="160"/>
      <c r="K348" s="160"/>
      <c r="L348" s="160"/>
      <c r="M348" s="160"/>
      <c r="N348" s="160"/>
      <c r="O348" s="160"/>
      <c r="P348" s="160"/>
      <c r="Q348" s="160"/>
      <c r="R348" s="160"/>
      <c r="S348" s="160"/>
      <c r="T348" s="160"/>
      <c r="U348" s="160"/>
      <c r="V348" s="160"/>
      <c r="W348" s="160"/>
      <c r="X348" s="160"/>
      <c r="Y348" s="160"/>
      <c r="Z348" s="160"/>
      <c r="AA348" s="160"/>
    </row>
    <row r="349" spans="1:27" ht="12.75" customHeight="1" x14ac:dyDescent="0.2">
      <c r="A349" s="160"/>
      <c r="B349" s="160"/>
      <c r="D349" s="160"/>
      <c r="F349" s="160"/>
      <c r="G349" s="160"/>
      <c r="H349" s="160"/>
      <c r="I349" s="160"/>
      <c r="J349" s="160"/>
      <c r="K349" s="160"/>
      <c r="L349" s="160"/>
      <c r="M349" s="160"/>
      <c r="N349" s="160"/>
      <c r="O349" s="160"/>
      <c r="P349" s="160"/>
      <c r="Q349" s="160"/>
      <c r="R349" s="160"/>
      <c r="S349" s="160"/>
      <c r="T349" s="160"/>
      <c r="U349" s="160"/>
      <c r="V349" s="160"/>
      <c r="W349" s="160"/>
      <c r="X349" s="160"/>
      <c r="Y349" s="160"/>
      <c r="Z349" s="160"/>
      <c r="AA349" s="160"/>
    </row>
    <row r="350" spans="1:27" ht="12.75" customHeight="1" x14ac:dyDescent="0.2">
      <c r="A350" s="160"/>
      <c r="B350" s="160"/>
      <c r="D350" s="160"/>
      <c r="F350" s="160"/>
      <c r="G350" s="160"/>
      <c r="H350" s="160"/>
      <c r="I350" s="160"/>
      <c r="J350" s="160"/>
      <c r="K350" s="160"/>
      <c r="L350" s="160"/>
      <c r="M350" s="160"/>
      <c r="N350" s="160"/>
      <c r="O350" s="160"/>
      <c r="P350" s="160"/>
      <c r="Q350" s="160"/>
      <c r="R350" s="160"/>
      <c r="S350" s="160"/>
      <c r="T350" s="160"/>
      <c r="U350" s="160"/>
      <c r="V350" s="160"/>
      <c r="W350" s="160"/>
      <c r="X350" s="160"/>
      <c r="Y350" s="160"/>
      <c r="Z350" s="160"/>
      <c r="AA350" s="160"/>
    </row>
    <row r="351" spans="1:27" ht="12.75" customHeight="1" x14ac:dyDescent="0.2">
      <c r="A351" s="160"/>
      <c r="B351" s="160"/>
      <c r="D351" s="160"/>
      <c r="F351" s="160"/>
      <c r="G351" s="160"/>
      <c r="H351" s="160"/>
      <c r="I351" s="160"/>
      <c r="J351" s="160"/>
      <c r="K351" s="160"/>
      <c r="L351" s="160"/>
      <c r="M351" s="160"/>
      <c r="N351" s="160"/>
      <c r="O351" s="160"/>
      <c r="P351" s="160"/>
      <c r="Q351" s="160"/>
      <c r="R351" s="160"/>
      <c r="S351" s="160"/>
      <c r="T351" s="160"/>
      <c r="U351" s="160"/>
      <c r="V351" s="160"/>
      <c r="W351" s="160"/>
      <c r="X351" s="160"/>
      <c r="Y351" s="160"/>
      <c r="Z351" s="160"/>
      <c r="AA351" s="160"/>
    </row>
    <row r="352" spans="1:27" ht="12.75" customHeight="1" x14ac:dyDescent="0.2">
      <c r="A352" s="160"/>
      <c r="B352" s="160"/>
      <c r="D352" s="160"/>
      <c r="F352" s="160"/>
      <c r="G352" s="160"/>
      <c r="H352" s="160"/>
      <c r="I352" s="160"/>
      <c r="J352" s="160"/>
      <c r="K352" s="160"/>
      <c r="L352" s="160"/>
      <c r="M352" s="160"/>
      <c r="N352" s="160"/>
      <c r="O352" s="160"/>
      <c r="P352" s="160"/>
      <c r="Q352" s="160"/>
      <c r="R352" s="160"/>
      <c r="S352" s="160"/>
      <c r="T352" s="160"/>
      <c r="U352" s="160"/>
      <c r="V352" s="160"/>
      <c r="W352" s="160"/>
      <c r="X352" s="160"/>
      <c r="Y352" s="160"/>
      <c r="Z352" s="160"/>
      <c r="AA352" s="160"/>
    </row>
    <row r="353" spans="1:27" ht="12.75" customHeight="1" x14ac:dyDescent="0.2">
      <c r="A353" s="160"/>
      <c r="B353" s="160"/>
      <c r="D353" s="160"/>
      <c r="F353" s="160"/>
      <c r="G353" s="160"/>
      <c r="H353" s="160"/>
      <c r="I353" s="160"/>
      <c r="J353" s="160"/>
      <c r="K353" s="160"/>
      <c r="L353" s="160"/>
      <c r="M353" s="160"/>
      <c r="N353" s="160"/>
      <c r="O353" s="160"/>
      <c r="P353" s="160"/>
      <c r="Q353" s="160"/>
      <c r="R353" s="160"/>
      <c r="S353" s="160"/>
      <c r="T353" s="160"/>
      <c r="U353" s="160"/>
      <c r="V353" s="160"/>
      <c r="W353" s="160"/>
      <c r="X353" s="160"/>
      <c r="Y353" s="160"/>
      <c r="Z353" s="160"/>
      <c r="AA353" s="160"/>
    </row>
    <row r="354" spans="1:27" ht="12.75" customHeight="1" x14ac:dyDescent="0.2">
      <c r="A354" s="160"/>
      <c r="B354" s="160"/>
      <c r="D354" s="160"/>
      <c r="F354" s="160"/>
      <c r="G354" s="160"/>
      <c r="H354" s="160"/>
      <c r="I354" s="160"/>
      <c r="J354" s="160"/>
      <c r="K354" s="160"/>
      <c r="L354" s="160"/>
      <c r="M354" s="160"/>
      <c r="N354" s="160"/>
      <c r="O354" s="160"/>
      <c r="P354" s="160"/>
      <c r="Q354" s="160"/>
      <c r="R354" s="160"/>
      <c r="S354" s="160"/>
      <c r="T354" s="160"/>
      <c r="U354" s="160"/>
      <c r="V354" s="160"/>
      <c r="W354" s="160"/>
      <c r="X354" s="160"/>
      <c r="Y354" s="160"/>
      <c r="Z354" s="160"/>
      <c r="AA354" s="160"/>
    </row>
    <row r="355" spans="1:27" ht="12.75" customHeight="1" x14ac:dyDescent="0.2">
      <c r="A355" s="160"/>
      <c r="B355" s="160"/>
      <c r="D355" s="160"/>
      <c r="F355" s="160"/>
      <c r="G355" s="160"/>
      <c r="H355" s="160"/>
      <c r="I355" s="160"/>
      <c r="J355" s="160"/>
      <c r="K355" s="160"/>
      <c r="L355" s="160"/>
      <c r="M355" s="160"/>
      <c r="N355" s="160"/>
      <c r="O355" s="160"/>
      <c r="P355" s="160"/>
      <c r="Q355" s="160"/>
      <c r="R355" s="160"/>
      <c r="S355" s="160"/>
      <c r="T355" s="160"/>
      <c r="U355" s="160"/>
      <c r="V355" s="160"/>
      <c r="W355" s="160"/>
      <c r="X355" s="160"/>
      <c r="Y355" s="160"/>
      <c r="Z355" s="160"/>
      <c r="AA355" s="160"/>
    </row>
    <row r="356" spans="1:27" ht="12.75" customHeight="1" x14ac:dyDescent="0.2">
      <c r="A356" s="160"/>
      <c r="B356" s="160"/>
      <c r="D356" s="160"/>
      <c r="F356" s="160"/>
      <c r="G356" s="160"/>
      <c r="H356" s="160"/>
      <c r="I356" s="160"/>
      <c r="J356" s="160"/>
      <c r="K356" s="160"/>
      <c r="L356" s="160"/>
      <c r="M356" s="160"/>
      <c r="N356" s="160"/>
      <c r="O356" s="160"/>
      <c r="P356" s="160"/>
      <c r="Q356" s="160"/>
      <c r="R356" s="160"/>
      <c r="S356" s="160"/>
      <c r="T356" s="160"/>
      <c r="U356" s="160"/>
      <c r="V356" s="160"/>
      <c r="W356" s="160"/>
      <c r="X356" s="160"/>
      <c r="Y356" s="160"/>
      <c r="Z356" s="160"/>
      <c r="AA356" s="160"/>
    </row>
    <row r="357" spans="1:27" ht="12.75" customHeight="1" x14ac:dyDescent="0.2">
      <c r="A357" s="160"/>
      <c r="B357" s="160"/>
      <c r="D357" s="160"/>
      <c r="F357" s="160"/>
      <c r="G357" s="160"/>
      <c r="H357" s="160"/>
      <c r="I357" s="160"/>
      <c r="J357" s="160"/>
      <c r="K357" s="160"/>
      <c r="L357" s="160"/>
      <c r="M357" s="160"/>
      <c r="N357" s="160"/>
      <c r="O357" s="160"/>
      <c r="P357" s="160"/>
      <c r="Q357" s="160"/>
      <c r="R357" s="160"/>
      <c r="S357" s="160"/>
      <c r="T357" s="160"/>
      <c r="U357" s="160"/>
      <c r="V357" s="160"/>
      <c r="W357" s="160"/>
      <c r="X357" s="160"/>
      <c r="Y357" s="160"/>
      <c r="Z357" s="160"/>
      <c r="AA357" s="160"/>
    </row>
    <row r="358" spans="1:27" ht="12.75" customHeight="1" x14ac:dyDescent="0.2">
      <c r="A358" s="160"/>
      <c r="B358" s="160"/>
      <c r="D358" s="160"/>
      <c r="F358" s="160"/>
      <c r="G358" s="160"/>
      <c r="H358" s="160"/>
      <c r="I358" s="160"/>
      <c r="J358" s="160"/>
      <c r="K358" s="160"/>
      <c r="L358" s="160"/>
      <c r="M358" s="160"/>
      <c r="N358" s="160"/>
      <c r="O358" s="160"/>
      <c r="P358" s="160"/>
      <c r="Q358" s="160"/>
      <c r="R358" s="160"/>
      <c r="S358" s="160"/>
      <c r="T358" s="160"/>
      <c r="U358" s="160"/>
      <c r="V358" s="160"/>
      <c r="W358" s="160"/>
      <c r="X358" s="160"/>
      <c r="Y358" s="160"/>
      <c r="Z358" s="160"/>
      <c r="AA358" s="160"/>
    </row>
    <row r="359" spans="1:27" ht="12.75" customHeight="1" x14ac:dyDescent="0.2">
      <c r="A359" s="160"/>
      <c r="B359" s="160"/>
      <c r="D359" s="160"/>
      <c r="F359" s="160"/>
      <c r="G359" s="160"/>
      <c r="H359" s="160"/>
      <c r="I359" s="160"/>
      <c r="J359" s="160"/>
      <c r="K359" s="160"/>
      <c r="L359" s="160"/>
      <c r="M359" s="160"/>
      <c r="N359" s="160"/>
      <c r="O359" s="160"/>
      <c r="P359" s="160"/>
      <c r="Q359" s="160"/>
      <c r="R359" s="160"/>
      <c r="S359" s="160"/>
      <c r="T359" s="160"/>
      <c r="U359" s="160"/>
      <c r="V359" s="160"/>
      <c r="W359" s="160"/>
      <c r="X359" s="160"/>
      <c r="Y359" s="160"/>
      <c r="Z359" s="160"/>
      <c r="AA359" s="160"/>
    </row>
    <row r="360" spans="1:27" ht="12.75" customHeight="1" x14ac:dyDescent="0.2">
      <c r="A360" s="160"/>
      <c r="B360" s="160"/>
      <c r="D360" s="160"/>
      <c r="F360" s="160"/>
      <c r="G360" s="160"/>
      <c r="H360" s="160"/>
      <c r="I360" s="160"/>
      <c r="J360" s="160"/>
      <c r="K360" s="160"/>
      <c r="L360" s="160"/>
      <c r="M360" s="160"/>
      <c r="N360" s="160"/>
      <c r="O360" s="160"/>
      <c r="P360" s="160"/>
      <c r="Q360" s="160"/>
      <c r="R360" s="160"/>
      <c r="S360" s="160"/>
      <c r="T360" s="160"/>
      <c r="U360" s="160"/>
      <c r="V360" s="160"/>
      <c r="W360" s="160"/>
      <c r="X360" s="160"/>
      <c r="Y360" s="160"/>
      <c r="Z360" s="160"/>
      <c r="AA360" s="160"/>
    </row>
    <row r="361" spans="1:27" ht="12.75" customHeight="1" x14ac:dyDescent="0.2">
      <c r="A361" s="160"/>
      <c r="B361" s="160"/>
      <c r="D361" s="160"/>
      <c r="F361" s="160"/>
      <c r="G361" s="160"/>
      <c r="H361" s="160"/>
      <c r="I361" s="160"/>
      <c r="J361" s="160"/>
      <c r="K361" s="160"/>
      <c r="L361" s="160"/>
      <c r="M361" s="160"/>
      <c r="N361" s="160"/>
      <c r="O361" s="160"/>
      <c r="P361" s="160"/>
      <c r="Q361" s="160"/>
      <c r="R361" s="160"/>
      <c r="S361" s="160"/>
      <c r="T361" s="160"/>
      <c r="U361" s="160"/>
      <c r="V361" s="160"/>
      <c r="W361" s="160"/>
      <c r="X361" s="160"/>
      <c r="Y361" s="160"/>
      <c r="Z361" s="160"/>
      <c r="AA361" s="160"/>
    </row>
    <row r="362" spans="1:27" ht="12.75" customHeight="1" x14ac:dyDescent="0.2">
      <c r="A362" s="160"/>
      <c r="B362" s="160"/>
      <c r="D362" s="160"/>
      <c r="F362" s="160"/>
      <c r="G362" s="160"/>
      <c r="H362" s="160"/>
      <c r="I362" s="160"/>
      <c r="J362" s="160"/>
      <c r="K362" s="160"/>
      <c r="L362" s="160"/>
      <c r="M362" s="160"/>
      <c r="N362" s="160"/>
      <c r="O362" s="160"/>
      <c r="P362" s="160"/>
      <c r="Q362" s="160"/>
      <c r="R362" s="160"/>
      <c r="S362" s="160"/>
      <c r="T362" s="160"/>
      <c r="U362" s="160"/>
      <c r="V362" s="160"/>
      <c r="W362" s="160"/>
      <c r="X362" s="160"/>
      <c r="Y362" s="160"/>
      <c r="Z362" s="160"/>
      <c r="AA362" s="160"/>
    </row>
    <row r="363" spans="1:27" ht="12.75" customHeight="1" x14ac:dyDescent="0.2">
      <c r="A363" s="160"/>
      <c r="B363" s="160"/>
      <c r="D363" s="160"/>
      <c r="F363" s="160"/>
      <c r="G363" s="160"/>
      <c r="H363" s="160"/>
      <c r="I363" s="160"/>
      <c r="J363" s="160"/>
      <c r="K363" s="160"/>
      <c r="L363" s="160"/>
      <c r="M363" s="160"/>
      <c r="N363" s="160"/>
      <c r="O363" s="160"/>
      <c r="P363" s="160"/>
      <c r="Q363" s="160"/>
      <c r="R363" s="160"/>
      <c r="S363" s="160"/>
      <c r="T363" s="160"/>
      <c r="U363" s="160"/>
      <c r="V363" s="160"/>
      <c r="W363" s="160"/>
      <c r="X363" s="160"/>
      <c r="Y363" s="160"/>
      <c r="Z363" s="160"/>
      <c r="AA363" s="160"/>
    </row>
    <row r="364" spans="1:27" ht="12.75" customHeight="1" x14ac:dyDescent="0.2">
      <c r="A364" s="160"/>
      <c r="B364" s="160"/>
      <c r="D364" s="160"/>
      <c r="F364" s="160"/>
      <c r="G364" s="160"/>
      <c r="H364" s="160"/>
      <c r="I364" s="160"/>
      <c r="J364" s="160"/>
      <c r="K364" s="160"/>
      <c r="L364" s="160"/>
      <c r="M364" s="160"/>
      <c r="N364" s="160"/>
      <c r="O364" s="160"/>
      <c r="P364" s="160"/>
      <c r="Q364" s="160"/>
      <c r="R364" s="160"/>
      <c r="S364" s="160"/>
      <c r="T364" s="160"/>
      <c r="U364" s="160"/>
      <c r="V364" s="160"/>
      <c r="W364" s="160"/>
      <c r="X364" s="160"/>
      <c r="Y364" s="160"/>
      <c r="Z364" s="160"/>
      <c r="AA364" s="160"/>
    </row>
    <row r="365" spans="1:27" ht="12.75" customHeight="1" x14ac:dyDescent="0.2">
      <c r="A365" s="160"/>
      <c r="B365" s="160"/>
      <c r="D365" s="160"/>
      <c r="F365" s="160"/>
      <c r="G365" s="160"/>
      <c r="H365" s="160"/>
      <c r="I365" s="160"/>
      <c r="J365" s="160"/>
      <c r="K365" s="160"/>
      <c r="L365" s="160"/>
      <c r="M365" s="160"/>
      <c r="N365" s="160"/>
      <c r="O365" s="160"/>
      <c r="P365" s="160"/>
      <c r="Q365" s="160"/>
      <c r="R365" s="160"/>
      <c r="S365" s="160"/>
      <c r="T365" s="160"/>
      <c r="U365" s="160"/>
      <c r="V365" s="160"/>
      <c r="W365" s="160"/>
      <c r="X365" s="160"/>
      <c r="Y365" s="160"/>
      <c r="Z365" s="160"/>
      <c r="AA365" s="160"/>
    </row>
    <row r="366" spans="1:27" ht="12.75" customHeight="1" x14ac:dyDescent="0.2">
      <c r="A366" s="160"/>
      <c r="B366" s="160"/>
      <c r="D366" s="160"/>
      <c r="F366" s="160"/>
      <c r="G366" s="160"/>
      <c r="H366" s="160"/>
      <c r="I366" s="160"/>
      <c r="J366" s="160"/>
      <c r="K366" s="160"/>
      <c r="L366" s="160"/>
      <c r="M366" s="160"/>
      <c r="N366" s="160"/>
      <c r="O366" s="160"/>
      <c r="P366" s="160"/>
      <c r="Q366" s="160"/>
      <c r="R366" s="160"/>
      <c r="S366" s="160"/>
      <c r="T366" s="160"/>
      <c r="U366" s="160"/>
      <c r="V366" s="160"/>
      <c r="W366" s="160"/>
      <c r="X366" s="160"/>
      <c r="Y366" s="160"/>
      <c r="Z366" s="160"/>
      <c r="AA366" s="160"/>
    </row>
    <row r="367" spans="1:27" ht="12.75" customHeight="1" x14ac:dyDescent="0.2">
      <c r="A367" s="160"/>
      <c r="B367" s="160"/>
      <c r="D367" s="160"/>
      <c r="F367" s="160"/>
      <c r="G367" s="160"/>
      <c r="H367" s="160"/>
      <c r="I367" s="160"/>
      <c r="J367" s="160"/>
      <c r="K367" s="160"/>
      <c r="L367" s="160"/>
      <c r="M367" s="160"/>
      <c r="N367" s="160"/>
      <c r="O367" s="160"/>
      <c r="P367" s="160"/>
      <c r="Q367" s="160"/>
      <c r="R367" s="160"/>
      <c r="S367" s="160"/>
      <c r="T367" s="160"/>
      <c r="U367" s="160"/>
      <c r="V367" s="160"/>
      <c r="W367" s="160"/>
      <c r="X367" s="160"/>
      <c r="Y367" s="160"/>
      <c r="Z367" s="160"/>
      <c r="AA367" s="160"/>
    </row>
    <row r="368" spans="1:27" ht="12.75" customHeight="1" x14ac:dyDescent="0.2">
      <c r="A368" s="160"/>
      <c r="B368" s="160"/>
      <c r="D368" s="160"/>
      <c r="F368" s="160"/>
      <c r="G368" s="160"/>
      <c r="H368" s="160"/>
      <c r="I368" s="160"/>
      <c r="J368" s="160"/>
      <c r="K368" s="160"/>
      <c r="L368" s="160"/>
      <c r="M368" s="160"/>
      <c r="N368" s="160"/>
      <c r="O368" s="160"/>
      <c r="P368" s="160"/>
      <c r="Q368" s="160"/>
      <c r="R368" s="160"/>
      <c r="S368" s="160"/>
      <c r="T368" s="160"/>
      <c r="U368" s="160"/>
      <c r="V368" s="160"/>
      <c r="W368" s="160"/>
      <c r="X368" s="160"/>
      <c r="Y368" s="160"/>
      <c r="Z368" s="160"/>
      <c r="AA368" s="160"/>
    </row>
    <row r="369" spans="1:27" ht="12.75" customHeight="1" x14ac:dyDescent="0.2">
      <c r="A369" s="160"/>
      <c r="B369" s="160"/>
      <c r="D369" s="160"/>
      <c r="F369" s="160"/>
      <c r="G369" s="160"/>
      <c r="H369" s="160"/>
      <c r="I369" s="160"/>
      <c r="J369" s="160"/>
      <c r="K369" s="160"/>
      <c r="L369" s="160"/>
      <c r="M369" s="160"/>
      <c r="N369" s="160"/>
      <c r="O369" s="160"/>
      <c r="P369" s="160"/>
      <c r="Q369" s="160"/>
      <c r="R369" s="160"/>
      <c r="S369" s="160"/>
      <c r="T369" s="160"/>
      <c r="U369" s="160"/>
      <c r="V369" s="160"/>
      <c r="W369" s="160"/>
      <c r="X369" s="160"/>
      <c r="Y369" s="160"/>
      <c r="Z369" s="160"/>
      <c r="AA369" s="160"/>
    </row>
    <row r="370" spans="1:27" ht="12.75" customHeight="1" x14ac:dyDescent="0.2">
      <c r="A370" s="160"/>
      <c r="B370" s="160"/>
      <c r="D370" s="160"/>
      <c r="F370" s="160"/>
      <c r="G370" s="160"/>
      <c r="H370" s="160"/>
      <c r="I370" s="160"/>
      <c r="J370" s="160"/>
      <c r="K370" s="160"/>
      <c r="L370" s="160"/>
      <c r="M370" s="160"/>
      <c r="N370" s="160"/>
      <c r="O370" s="160"/>
      <c r="P370" s="160"/>
      <c r="Q370" s="160"/>
      <c r="R370" s="160"/>
      <c r="S370" s="160"/>
      <c r="T370" s="160"/>
      <c r="U370" s="160"/>
      <c r="V370" s="160"/>
      <c r="W370" s="160"/>
      <c r="X370" s="160"/>
      <c r="Y370" s="160"/>
      <c r="Z370" s="160"/>
      <c r="AA370" s="160"/>
    </row>
    <row r="371" spans="1:27" ht="12.75" customHeight="1" x14ac:dyDescent="0.2">
      <c r="A371" s="160"/>
      <c r="B371" s="160"/>
      <c r="D371" s="160"/>
      <c r="F371" s="160"/>
      <c r="G371" s="160"/>
      <c r="H371" s="160"/>
      <c r="I371" s="160"/>
      <c r="J371" s="160"/>
      <c r="K371" s="160"/>
      <c r="L371" s="160"/>
      <c r="M371" s="160"/>
      <c r="N371" s="160"/>
      <c r="O371" s="160"/>
      <c r="P371" s="160"/>
      <c r="Q371" s="160"/>
      <c r="R371" s="160"/>
      <c r="S371" s="160"/>
      <c r="T371" s="160"/>
      <c r="U371" s="160"/>
      <c r="V371" s="160"/>
      <c r="W371" s="160"/>
      <c r="X371" s="160"/>
      <c r="Y371" s="160"/>
      <c r="Z371" s="160"/>
      <c r="AA371" s="160"/>
    </row>
    <row r="372" spans="1:27" ht="12.75" customHeight="1" x14ac:dyDescent="0.2">
      <c r="A372" s="160"/>
      <c r="B372" s="160"/>
      <c r="D372" s="160"/>
      <c r="F372" s="160"/>
      <c r="G372" s="160"/>
      <c r="H372" s="160"/>
      <c r="I372" s="160"/>
      <c r="J372" s="160"/>
      <c r="K372" s="160"/>
      <c r="L372" s="160"/>
      <c r="M372" s="160"/>
      <c r="N372" s="160"/>
      <c r="O372" s="160"/>
      <c r="P372" s="160"/>
      <c r="Q372" s="160"/>
      <c r="R372" s="160"/>
      <c r="S372" s="160"/>
      <c r="T372" s="160"/>
      <c r="U372" s="160"/>
      <c r="V372" s="160"/>
      <c r="W372" s="160"/>
      <c r="X372" s="160"/>
      <c r="Y372" s="160"/>
      <c r="Z372" s="160"/>
      <c r="AA372" s="160"/>
    </row>
    <row r="373" spans="1:27" ht="12.75" customHeight="1" x14ac:dyDescent="0.2">
      <c r="A373" s="160"/>
      <c r="B373" s="160"/>
      <c r="D373" s="160"/>
      <c r="F373" s="160"/>
      <c r="G373" s="160"/>
      <c r="H373" s="160"/>
      <c r="I373" s="160"/>
      <c r="J373" s="160"/>
      <c r="K373" s="160"/>
      <c r="L373" s="160"/>
      <c r="M373" s="160"/>
      <c r="N373" s="160"/>
      <c r="O373" s="160"/>
      <c r="P373" s="160"/>
      <c r="Q373" s="160"/>
      <c r="R373" s="160"/>
      <c r="S373" s="160"/>
      <c r="T373" s="160"/>
      <c r="U373" s="160"/>
      <c r="V373" s="160"/>
      <c r="W373" s="160"/>
      <c r="X373" s="160"/>
      <c r="Y373" s="160"/>
      <c r="Z373" s="160"/>
      <c r="AA373" s="160"/>
    </row>
    <row r="374" spans="1:27" ht="12.75" customHeight="1" x14ac:dyDescent="0.2">
      <c r="A374" s="160"/>
      <c r="B374" s="160"/>
      <c r="D374" s="160"/>
      <c r="F374" s="160"/>
      <c r="G374" s="160"/>
      <c r="H374" s="160"/>
      <c r="I374" s="160"/>
      <c r="J374" s="160"/>
      <c r="K374" s="160"/>
      <c r="L374" s="160"/>
      <c r="M374" s="160"/>
      <c r="N374" s="160"/>
      <c r="O374" s="160"/>
      <c r="P374" s="160"/>
      <c r="Q374" s="160"/>
      <c r="R374" s="160"/>
      <c r="S374" s="160"/>
      <c r="T374" s="160"/>
      <c r="U374" s="160"/>
      <c r="V374" s="160"/>
      <c r="W374" s="160"/>
      <c r="X374" s="160"/>
      <c r="Y374" s="160"/>
      <c r="Z374" s="160"/>
      <c r="AA374" s="160"/>
    </row>
    <row r="375" spans="1:27" ht="12.75" customHeight="1" x14ac:dyDescent="0.2">
      <c r="A375" s="160"/>
      <c r="B375" s="160"/>
      <c r="D375" s="160"/>
      <c r="F375" s="160"/>
      <c r="G375" s="160"/>
      <c r="H375" s="160"/>
      <c r="I375" s="160"/>
      <c r="J375" s="160"/>
      <c r="K375" s="160"/>
      <c r="L375" s="160"/>
      <c r="M375" s="160"/>
      <c r="N375" s="160"/>
      <c r="O375" s="160"/>
      <c r="P375" s="160"/>
      <c r="Q375" s="160"/>
      <c r="R375" s="160"/>
      <c r="S375" s="160"/>
      <c r="T375" s="160"/>
      <c r="U375" s="160"/>
      <c r="V375" s="160"/>
      <c r="W375" s="160"/>
      <c r="X375" s="160"/>
      <c r="Y375" s="160"/>
      <c r="Z375" s="160"/>
      <c r="AA375" s="160"/>
    </row>
    <row r="376" spans="1:27" ht="12.75" customHeight="1" x14ac:dyDescent="0.2">
      <c r="A376" s="160"/>
      <c r="B376" s="160"/>
      <c r="D376" s="160"/>
      <c r="F376" s="160"/>
      <c r="G376" s="160"/>
      <c r="H376" s="160"/>
      <c r="I376" s="160"/>
      <c r="J376" s="160"/>
      <c r="K376" s="160"/>
      <c r="L376" s="160"/>
      <c r="M376" s="160"/>
      <c r="N376" s="160"/>
      <c r="O376" s="160"/>
      <c r="P376" s="160"/>
      <c r="Q376" s="160"/>
      <c r="R376" s="160"/>
      <c r="S376" s="160"/>
      <c r="T376" s="160"/>
      <c r="U376" s="160"/>
      <c r="V376" s="160"/>
      <c r="W376" s="160"/>
      <c r="X376" s="160"/>
      <c r="Y376" s="160"/>
      <c r="Z376" s="160"/>
      <c r="AA376" s="160"/>
    </row>
    <row r="377" spans="1:27" ht="12.75" customHeight="1" x14ac:dyDescent="0.2">
      <c r="A377" s="160"/>
      <c r="B377" s="160"/>
      <c r="D377" s="160"/>
      <c r="F377" s="160"/>
      <c r="G377" s="160"/>
      <c r="H377" s="160"/>
      <c r="I377" s="160"/>
      <c r="J377" s="160"/>
      <c r="K377" s="160"/>
      <c r="L377" s="160"/>
      <c r="M377" s="160"/>
      <c r="N377" s="160"/>
      <c r="O377" s="160"/>
      <c r="P377" s="160"/>
      <c r="Q377" s="160"/>
      <c r="R377" s="160"/>
      <c r="S377" s="160"/>
      <c r="T377" s="160"/>
      <c r="U377" s="160"/>
      <c r="V377" s="160"/>
      <c r="W377" s="160"/>
      <c r="X377" s="160"/>
      <c r="Y377" s="160"/>
      <c r="Z377" s="160"/>
      <c r="AA377" s="160"/>
    </row>
    <row r="378" spans="1:27" ht="12.75" customHeight="1" x14ac:dyDescent="0.2">
      <c r="A378" s="160"/>
      <c r="B378" s="160"/>
      <c r="D378" s="160"/>
      <c r="F378" s="160"/>
      <c r="G378" s="160"/>
      <c r="H378" s="160"/>
      <c r="I378" s="160"/>
      <c r="J378" s="160"/>
      <c r="K378" s="160"/>
      <c r="L378" s="160"/>
      <c r="M378" s="160"/>
      <c r="N378" s="160"/>
      <c r="O378" s="160"/>
      <c r="P378" s="160"/>
      <c r="Q378" s="160"/>
      <c r="R378" s="160"/>
      <c r="S378" s="160"/>
      <c r="T378" s="160"/>
      <c r="U378" s="160"/>
      <c r="V378" s="160"/>
      <c r="W378" s="160"/>
      <c r="X378" s="160"/>
      <c r="Y378" s="160"/>
      <c r="Z378" s="160"/>
      <c r="AA378" s="160"/>
    </row>
    <row r="379" spans="1:27" ht="12.75" customHeight="1" x14ac:dyDescent="0.2">
      <c r="A379" s="160"/>
      <c r="B379" s="160"/>
      <c r="D379" s="160"/>
      <c r="F379" s="160"/>
      <c r="G379" s="160"/>
      <c r="H379" s="160"/>
      <c r="I379" s="160"/>
      <c r="J379" s="160"/>
      <c r="K379" s="160"/>
      <c r="L379" s="160"/>
      <c r="M379" s="160"/>
      <c r="N379" s="160"/>
      <c r="O379" s="160"/>
      <c r="P379" s="160"/>
      <c r="Q379" s="160"/>
      <c r="R379" s="160"/>
      <c r="S379" s="160"/>
      <c r="T379" s="160"/>
      <c r="U379" s="160"/>
      <c r="V379" s="160"/>
      <c r="W379" s="160"/>
      <c r="X379" s="160"/>
      <c r="Y379" s="160"/>
      <c r="Z379" s="160"/>
      <c r="AA379" s="160"/>
    </row>
    <row r="380" spans="1:27" ht="12.75" customHeight="1" x14ac:dyDescent="0.2">
      <c r="A380" s="160"/>
      <c r="B380" s="160"/>
      <c r="D380" s="160"/>
      <c r="F380" s="160"/>
      <c r="G380" s="160"/>
      <c r="H380" s="160"/>
      <c r="I380" s="160"/>
      <c r="J380" s="160"/>
      <c r="K380" s="160"/>
      <c r="L380" s="160"/>
      <c r="M380" s="160"/>
      <c r="N380" s="160"/>
      <c r="O380" s="160"/>
      <c r="P380" s="160"/>
      <c r="Q380" s="160"/>
      <c r="R380" s="160"/>
      <c r="S380" s="160"/>
      <c r="T380" s="160"/>
      <c r="U380" s="160"/>
      <c r="V380" s="160"/>
      <c r="W380" s="160"/>
      <c r="X380" s="160"/>
      <c r="Y380" s="160"/>
      <c r="Z380" s="160"/>
      <c r="AA380" s="160"/>
    </row>
    <row r="381" spans="1:27" ht="12.75" customHeight="1" x14ac:dyDescent="0.2">
      <c r="A381" s="160"/>
      <c r="B381" s="160"/>
      <c r="D381" s="160"/>
      <c r="F381" s="160"/>
      <c r="G381" s="160"/>
      <c r="H381" s="160"/>
      <c r="I381" s="160"/>
      <c r="J381" s="160"/>
      <c r="K381" s="160"/>
      <c r="L381" s="160"/>
      <c r="M381" s="160"/>
      <c r="N381" s="160"/>
      <c r="O381" s="160"/>
      <c r="P381" s="160"/>
      <c r="Q381" s="160"/>
      <c r="R381" s="160"/>
      <c r="S381" s="160"/>
      <c r="T381" s="160"/>
      <c r="U381" s="160"/>
      <c r="V381" s="160"/>
      <c r="W381" s="160"/>
      <c r="X381" s="160"/>
      <c r="Y381" s="160"/>
      <c r="Z381" s="160"/>
      <c r="AA381" s="160"/>
    </row>
    <row r="382" spans="1:27" ht="12.75" customHeight="1" x14ac:dyDescent="0.2">
      <c r="A382" s="160"/>
      <c r="B382" s="160"/>
      <c r="D382" s="160"/>
      <c r="F382" s="160"/>
      <c r="G382" s="160"/>
      <c r="H382" s="160"/>
      <c r="I382" s="160"/>
      <c r="J382" s="160"/>
      <c r="K382" s="160"/>
      <c r="L382" s="160"/>
      <c r="M382" s="160"/>
      <c r="N382" s="160"/>
      <c r="O382" s="160"/>
      <c r="P382" s="160"/>
      <c r="Q382" s="160"/>
      <c r="R382" s="160"/>
      <c r="S382" s="160"/>
      <c r="T382" s="160"/>
      <c r="U382" s="160"/>
      <c r="V382" s="160"/>
      <c r="W382" s="160"/>
      <c r="X382" s="160"/>
      <c r="Y382" s="160"/>
      <c r="Z382" s="160"/>
      <c r="AA382" s="160"/>
    </row>
    <row r="383" spans="1:27" ht="12.75" customHeight="1" x14ac:dyDescent="0.2">
      <c r="A383" s="160"/>
      <c r="B383" s="160"/>
      <c r="D383" s="160"/>
      <c r="F383" s="160"/>
      <c r="G383" s="160"/>
      <c r="H383" s="160"/>
      <c r="I383" s="160"/>
      <c r="J383" s="160"/>
      <c r="K383" s="160"/>
      <c r="L383" s="160"/>
      <c r="M383" s="160"/>
      <c r="N383" s="160"/>
      <c r="O383" s="160"/>
      <c r="P383" s="160"/>
      <c r="Q383" s="160"/>
      <c r="R383" s="160"/>
      <c r="S383" s="160"/>
      <c r="T383" s="160"/>
      <c r="U383" s="160"/>
      <c r="V383" s="160"/>
      <c r="W383" s="160"/>
      <c r="X383" s="160"/>
      <c r="Y383" s="160"/>
      <c r="Z383" s="160"/>
      <c r="AA383" s="160"/>
    </row>
    <row r="384" spans="1:27" ht="12.75" customHeight="1" x14ac:dyDescent="0.2">
      <c r="A384" s="160"/>
      <c r="B384" s="160"/>
      <c r="D384" s="160"/>
      <c r="F384" s="160"/>
      <c r="G384" s="160"/>
      <c r="H384" s="160"/>
      <c r="I384" s="160"/>
      <c r="J384" s="160"/>
      <c r="K384" s="160"/>
      <c r="L384" s="160"/>
      <c r="M384" s="160"/>
      <c r="N384" s="160"/>
      <c r="O384" s="160"/>
      <c r="P384" s="160"/>
      <c r="Q384" s="160"/>
      <c r="R384" s="160"/>
      <c r="S384" s="160"/>
      <c r="T384" s="160"/>
      <c r="U384" s="160"/>
      <c r="V384" s="160"/>
      <c r="W384" s="160"/>
      <c r="X384" s="160"/>
      <c r="Y384" s="160"/>
      <c r="Z384" s="160"/>
      <c r="AA384" s="160"/>
    </row>
    <row r="385" spans="1:27" ht="12.75" customHeight="1" x14ac:dyDescent="0.2">
      <c r="A385" s="160"/>
      <c r="B385" s="160"/>
      <c r="D385" s="160"/>
      <c r="F385" s="160"/>
      <c r="G385" s="160"/>
      <c r="H385" s="160"/>
      <c r="I385" s="160"/>
      <c r="J385" s="160"/>
      <c r="K385" s="160"/>
      <c r="L385" s="160"/>
      <c r="M385" s="160"/>
      <c r="N385" s="160"/>
      <c r="O385" s="160"/>
      <c r="P385" s="160"/>
      <c r="Q385" s="160"/>
      <c r="R385" s="160"/>
      <c r="S385" s="160"/>
      <c r="T385" s="160"/>
      <c r="U385" s="160"/>
      <c r="V385" s="160"/>
      <c r="W385" s="160"/>
      <c r="X385" s="160"/>
      <c r="Y385" s="160"/>
      <c r="Z385" s="160"/>
      <c r="AA385" s="160"/>
    </row>
    <row r="386" spans="1:27" ht="12.75" customHeight="1" x14ac:dyDescent="0.2">
      <c r="A386" s="160"/>
      <c r="B386" s="160"/>
      <c r="D386" s="160"/>
      <c r="F386" s="160"/>
      <c r="G386" s="160"/>
      <c r="H386" s="160"/>
      <c r="I386" s="160"/>
      <c r="J386" s="160"/>
      <c r="K386" s="160"/>
      <c r="L386" s="160"/>
      <c r="M386" s="160"/>
      <c r="N386" s="160"/>
      <c r="O386" s="160"/>
      <c r="P386" s="160"/>
      <c r="Q386" s="160"/>
      <c r="R386" s="160"/>
      <c r="S386" s="160"/>
      <c r="T386" s="160"/>
      <c r="U386" s="160"/>
      <c r="V386" s="160"/>
      <c r="W386" s="160"/>
      <c r="X386" s="160"/>
      <c r="Y386" s="160"/>
      <c r="Z386" s="160"/>
      <c r="AA386" s="160"/>
    </row>
    <row r="387" spans="1:27" ht="12.75" customHeight="1" x14ac:dyDescent="0.2">
      <c r="A387" s="160"/>
      <c r="B387" s="160"/>
      <c r="D387" s="160"/>
      <c r="F387" s="160"/>
      <c r="G387" s="160"/>
      <c r="H387" s="160"/>
      <c r="I387" s="160"/>
      <c r="J387" s="160"/>
      <c r="K387" s="160"/>
      <c r="L387" s="160"/>
      <c r="M387" s="160"/>
      <c r="N387" s="160"/>
      <c r="O387" s="160"/>
      <c r="P387" s="160"/>
      <c r="Q387" s="160"/>
      <c r="R387" s="160"/>
      <c r="S387" s="160"/>
      <c r="T387" s="160"/>
      <c r="U387" s="160"/>
      <c r="V387" s="160"/>
      <c r="W387" s="160"/>
      <c r="X387" s="160"/>
      <c r="Y387" s="160"/>
      <c r="Z387" s="160"/>
      <c r="AA387" s="160"/>
    </row>
    <row r="388" spans="1:27" ht="12.75" customHeight="1" x14ac:dyDescent="0.2">
      <c r="A388" s="160"/>
      <c r="B388" s="160"/>
      <c r="D388" s="160"/>
      <c r="F388" s="160"/>
      <c r="G388" s="160"/>
      <c r="H388" s="160"/>
      <c r="I388" s="160"/>
      <c r="J388" s="160"/>
      <c r="K388" s="160"/>
      <c r="L388" s="160"/>
      <c r="M388" s="160"/>
      <c r="N388" s="160"/>
      <c r="O388" s="160"/>
      <c r="P388" s="160"/>
      <c r="Q388" s="160"/>
      <c r="R388" s="160"/>
      <c r="S388" s="160"/>
      <c r="T388" s="160"/>
      <c r="U388" s="160"/>
      <c r="V388" s="160"/>
      <c r="W388" s="160"/>
      <c r="X388" s="160"/>
      <c r="Y388" s="160"/>
      <c r="Z388" s="160"/>
      <c r="AA388" s="160"/>
    </row>
    <row r="389" spans="1:27" ht="12.75" customHeight="1" x14ac:dyDescent="0.2">
      <c r="A389" s="160"/>
      <c r="B389" s="160"/>
      <c r="D389" s="160"/>
      <c r="F389" s="160"/>
      <c r="G389" s="160"/>
      <c r="H389" s="160"/>
      <c r="I389" s="160"/>
      <c r="J389" s="160"/>
      <c r="K389" s="160"/>
      <c r="L389" s="160"/>
      <c r="M389" s="160"/>
      <c r="N389" s="160"/>
      <c r="O389" s="160"/>
      <c r="P389" s="160"/>
      <c r="Q389" s="160"/>
      <c r="R389" s="160"/>
      <c r="S389" s="160"/>
      <c r="T389" s="160"/>
      <c r="U389" s="160"/>
      <c r="V389" s="160"/>
      <c r="W389" s="160"/>
      <c r="X389" s="160"/>
      <c r="Y389" s="160"/>
      <c r="Z389" s="160"/>
      <c r="AA389" s="160"/>
    </row>
    <row r="390" spans="1:27" ht="12.75" customHeight="1" x14ac:dyDescent="0.2">
      <c r="A390" s="160"/>
      <c r="B390" s="160"/>
      <c r="D390" s="160"/>
      <c r="F390" s="160"/>
      <c r="G390" s="160"/>
      <c r="H390" s="160"/>
      <c r="I390" s="160"/>
      <c r="J390" s="160"/>
      <c r="K390" s="160"/>
      <c r="L390" s="160"/>
      <c r="M390" s="160"/>
      <c r="N390" s="160"/>
      <c r="O390" s="160"/>
      <c r="P390" s="160"/>
      <c r="Q390" s="160"/>
      <c r="R390" s="160"/>
      <c r="S390" s="160"/>
      <c r="T390" s="160"/>
      <c r="U390" s="160"/>
      <c r="V390" s="160"/>
      <c r="W390" s="160"/>
      <c r="X390" s="160"/>
      <c r="Y390" s="160"/>
      <c r="Z390" s="160"/>
      <c r="AA390" s="160"/>
    </row>
    <row r="391" spans="1:27" ht="12.75" customHeight="1" x14ac:dyDescent="0.2">
      <c r="A391" s="160"/>
      <c r="B391" s="160"/>
      <c r="D391" s="160"/>
      <c r="F391" s="160"/>
      <c r="G391" s="160"/>
      <c r="H391" s="160"/>
      <c r="I391" s="160"/>
      <c r="J391" s="160"/>
      <c r="K391" s="160"/>
      <c r="L391" s="160"/>
      <c r="M391" s="160"/>
      <c r="N391" s="160"/>
      <c r="O391" s="160"/>
      <c r="P391" s="160"/>
      <c r="Q391" s="160"/>
      <c r="R391" s="160"/>
      <c r="S391" s="160"/>
      <c r="T391" s="160"/>
      <c r="U391" s="160"/>
      <c r="V391" s="160"/>
      <c r="W391" s="160"/>
      <c r="X391" s="160"/>
      <c r="Y391" s="160"/>
      <c r="Z391" s="160"/>
      <c r="AA391" s="160"/>
    </row>
    <row r="392" spans="1:27" ht="12.75" customHeight="1" x14ac:dyDescent="0.2">
      <c r="A392" s="160"/>
      <c r="B392" s="160"/>
      <c r="D392" s="160"/>
      <c r="F392" s="160"/>
      <c r="G392" s="160"/>
      <c r="H392" s="160"/>
      <c r="I392" s="160"/>
      <c r="J392" s="160"/>
      <c r="K392" s="160"/>
      <c r="L392" s="160"/>
      <c r="M392" s="160"/>
      <c r="N392" s="160"/>
      <c r="O392" s="160"/>
      <c r="P392" s="160"/>
      <c r="Q392" s="160"/>
      <c r="R392" s="160"/>
      <c r="S392" s="160"/>
      <c r="T392" s="160"/>
      <c r="U392" s="160"/>
      <c r="V392" s="160"/>
      <c r="W392" s="160"/>
      <c r="X392" s="160"/>
      <c r="Y392" s="160"/>
      <c r="Z392" s="160"/>
      <c r="AA392" s="160"/>
    </row>
    <row r="393" spans="1:27" ht="12.75" customHeight="1" x14ac:dyDescent="0.2">
      <c r="A393" s="160"/>
      <c r="B393" s="160"/>
      <c r="D393" s="160"/>
      <c r="F393" s="160"/>
      <c r="G393" s="160"/>
      <c r="H393" s="160"/>
      <c r="I393" s="160"/>
      <c r="J393" s="160"/>
      <c r="K393" s="160"/>
      <c r="L393" s="160"/>
      <c r="M393" s="160"/>
      <c r="N393" s="160"/>
      <c r="O393" s="160"/>
      <c r="P393" s="160"/>
      <c r="Q393" s="160"/>
      <c r="R393" s="160"/>
      <c r="S393" s="160"/>
      <c r="T393" s="160"/>
      <c r="U393" s="160"/>
      <c r="V393" s="160"/>
      <c r="W393" s="160"/>
      <c r="X393" s="160"/>
      <c r="Y393" s="160"/>
      <c r="Z393" s="160"/>
      <c r="AA393" s="160"/>
    </row>
    <row r="394" spans="1:27" ht="12.75" customHeight="1" x14ac:dyDescent="0.2">
      <c r="A394" s="160"/>
      <c r="B394" s="160"/>
      <c r="D394" s="160"/>
      <c r="F394" s="160"/>
      <c r="G394" s="160"/>
      <c r="H394" s="160"/>
      <c r="I394" s="160"/>
      <c r="J394" s="160"/>
      <c r="K394" s="160"/>
      <c r="L394" s="160"/>
      <c r="M394" s="160"/>
      <c r="N394" s="160"/>
      <c r="O394" s="160"/>
      <c r="P394" s="160"/>
      <c r="Q394" s="160"/>
      <c r="R394" s="160"/>
      <c r="S394" s="160"/>
      <c r="T394" s="160"/>
      <c r="U394" s="160"/>
      <c r="V394" s="160"/>
      <c r="W394" s="160"/>
      <c r="X394" s="160"/>
      <c r="Y394" s="160"/>
      <c r="Z394" s="160"/>
      <c r="AA394" s="160"/>
    </row>
    <row r="395" spans="1:27" ht="12.75" customHeight="1" x14ac:dyDescent="0.2">
      <c r="A395" s="160"/>
      <c r="B395" s="160"/>
      <c r="D395" s="160"/>
      <c r="F395" s="160"/>
      <c r="G395" s="160"/>
      <c r="H395" s="160"/>
      <c r="I395" s="160"/>
      <c r="J395" s="160"/>
      <c r="K395" s="160"/>
      <c r="L395" s="160"/>
      <c r="M395" s="160"/>
      <c r="N395" s="160"/>
      <c r="O395" s="160"/>
      <c r="P395" s="160"/>
      <c r="Q395" s="160"/>
      <c r="R395" s="160"/>
      <c r="S395" s="160"/>
      <c r="T395" s="160"/>
      <c r="U395" s="160"/>
      <c r="V395" s="160"/>
      <c r="W395" s="160"/>
      <c r="X395" s="160"/>
      <c r="Y395" s="160"/>
      <c r="Z395" s="160"/>
      <c r="AA395" s="160"/>
    </row>
    <row r="396" spans="1:27" ht="12.75" customHeight="1" x14ac:dyDescent="0.2">
      <c r="A396" s="160"/>
      <c r="B396" s="160"/>
      <c r="D396" s="160"/>
      <c r="F396" s="160"/>
      <c r="G396" s="160"/>
      <c r="H396" s="160"/>
      <c r="I396" s="160"/>
      <c r="J396" s="160"/>
      <c r="K396" s="160"/>
      <c r="L396" s="160"/>
      <c r="M396" s="160"/>
      <c r="N396" s="160"/>
      <c r="O396" s="160"/>
      <c r="P396" s="160"/>
      <c r="Q396" s="160"/>
      <c r="R396" s="160"/>
      <c r="S396" s="160"/>
      <c r="T396" s="160"/>
      <c r="U396" s="160"/>
      <c r="V396" s="160"/>
      <c r="W396" s="160"/>
      <c r="X396" s="160"/>
      <c r="Y396" s="160"/>
      <c r="Z396" s="160"/>
      <c r="AA396" s="160"/>
    </row>
    <row r="397" spans="1:27" ht="12.75" customHeight="1" x14ac:dyDescent="0.2">
      <c r="A397" s="160"/>
      <c r="B397" s="160"/>
      <c r="D397" s="160"/>
      <c r="F397" s="160"/>
      <c r="G397" s="160"/>
      <c r="H397" s="160"/>
      <c r="I397" s="160"/>
      <c r="J397" s="160"/>
      <c r="K397" s="160"/>
      <c r="L397" s="160"/>
      <c r="M397" s="160"/>
      <c r="N397" s="160"/>
      <c r="O397" s="160"/>
      <c r="P397" s="160"/>
      <c r="Q397" s="160"/>
      <c r="R397" s="160"/>
      <c r="S397" s="160"/>
      <c r="T397" s="160"/>
      <c r="U397" s="160"/>
      <c r="V397" s="160"/>
      <c r="W397" s="160"/>
      <c r="X397" s="160"/>
      <c r="Y397" s="160"/>
      <c r="Z397" s="160"/>
      <c r="AA397" s="160"/>
    </row>
    <row r="398" spans="1:27" ht="12.75" customHeight="1" x14ac:dyDescent="0.2">
      <c r="A398" s="160"/>
      <c r="B398" s="160"/>
      <c r="D398" s="160"/>
      <c r="F398" s="160"/>
      <c r="G398" s="160"/>
      <c r="H398" s="160"/>
      <c r="I398" s="160"/>
      <c r="J398" s="160"/>
      <c r="K398" s="160"/>
      <c r="L398" s="160"/>
      <c r="M398" s="160"/>
      <c r="N398" s="160"/>
      <c r="O398" s="160"/>
      <c r="P398" s="160"/>
      <c r="Q398" s="160"/>
      <c r="R398" s="160"/>
      <c r="S398" s="160"/>
      <c r="T398" s="160"/>
      <c r="U398" s="160"/>
      <c r="V398" s="160"/>
      <c r="W398" s="160"/>
      <c r="X398" s="160"/>
      <c r="Y398" s="160"/>
      <c r="Z398" s="160"/>
      <c r="AA398" s="160"/>
    </row>
    <row r="399" spans="1:27" ht="12.75" customHeight="1" x14ac:dyDescent="0.2">
      <c r="A399" s="160"/>
      <c r="B399" s="160"/>
      <c r="D399" s="160"/>
      <c r="F399" s="160"/>
      <c r="G399" s="160"/>
      <c r="H399" s="160"/>
      <c r="I399" s="160"/>
      <c r="J399" s="160"/>
      <c r="K399" s="160"/>
      <c r="L399" s="160"/>
      <c r="M399" s="160"/>
      <c r="N399" s="160"/>
      <c r="O399" s="160"/>
      <c r="P399" s="160"/>
      <c r="Q399" s="160"/>
      <c r="R399" s="160"/>
      <c r="S399" s="160"/>
      <c r="T399" s="160"/>
      <c r="U399" s="160"/>
      <c r="V399" s="160"/>
      <c r="W399" s="160"/>
      <c r="X399" s="160"/>
      <c r="Y399" s="160"/>
      <c r="Z399" s="160"/>
      <c r="AA399" s="160"/>
    </row>
    <row r="400" spans="1:27" ht="12.75" customHeight="1" x14ac:dyDescent="0.2">
      <c r="A400" s="160"/>
      <c r="B400" s="160"/>
      <c r="D400" s="160"/>
      <c r="F400" s="160"/>
      <c r="G400" s="160"/>
      <c r="H400" s="160"/>
      <c r="I400" s="160"/>
      <c r="J400" s="160"/>
      <c r="K400" s="160"/>
      <c r="L400" s="160"/>
      <c r="M400" s="160"/>
      <c r="N400" s="160"/>
      <c r="O400" s="160"/>
      <c r="P400" s="160"/>
      <c r="Q400" s="160"/>
      <c r="R400" s="160"/>
      <c r="S400" s="160"/>
      <c r="T400" s="160"/>
      <c r="U400" s="160"/>
      <c r="V400" s="160"/>
      <c r="W400" s="160"/>
      <c r="X400" s="160"/>
      <c r="Y400" s="160"/>
      <c r="Z400" s="160"/>
      <c r="AA400" s="160"/>
    </row>
    <row r="401" spans="1:27" ht="12.75" customHeight="1" x14ac:dyDescent="0.2">
      <c r="A401" s="160"/>
      <c r="B401" s="160"/>
      <c r="D401" s="160"/>
      <c r="F401" s="160"/>
      <c r="G401" s="160"/>
      <c r="H401" s="160"/>
      <c r="I401" s="160"/>
      <c r="J401" s="160"/>
      <c r="K401" s="160"/>
      <c r="L401" s="160"/>
      <c r="M401" s="160"/>
      <c r="N401" s="160"/>
      <c r="O401" s="160"/>
      <c r="P401" s="160"/>
      <c r="Q401" s="160"/>
      <c r="R401" s="160"/>
      <c r="S401" s="160"/>
      <c r="T401" s="160"/>
      <c r="U401" s="160"/>
      <c r="V401" s="160"/>
      <c r="W401" s="160"/>
      <c r="X401" s="160"/>
      <c r="Y401" s="160"/>
      <c r="Z401" s="160"/>
      <c r="AA401" s="160"/>
    </row>
    <row r="402" spans="1:27" ht="12.75" customHeight="1" x14ac:dyDescent="0.2">
      <c r="A402" s="160"/>
      <c r="B402" s="160"/>
      <c r="D402" s="160"/>
      <c r="F402" s="160"/>
      <c r="G402" s="160"/>
      <c r="H402" s="160"/>
      <c r="I402" s="160"/>
      <c r="J402" s="160"/>
      <c r="K402" s="160"/>
      <c r="L402" s="160"/>
      <c r="M402" s="160"/>
      <c r="N402" s="160"/>
      <c r="O402" s="160"/>
      <c r="P402" s="160"/>
      <c r="Q402" s="160"/>
      <c r="R402" s="160"/>
      <c r="S402" s="160"/>
      <c r="T402" s="160"/>
      <c r="U402" s="160"/>
      <c r="V402" s="160"/>
      <c r="W402" s="160"/>
      <c r="X402" s="160"/>
      <c r="Y402" s="160"/>
      <c r="Z402" s="160"/>
      <c r="AA402" s="160"/>
    </row>
    <row r="403" spans="1:27" ht="12.75" customHeight="1" x14ac:dyDescent="0.2">
      <c r="A403" s="160"/>
      <c r="B403" s="160"/>
      <c r="D403" s="160"/>
      <c r="F403" s="160"/>
      <c r="G403" s="160"/>
      <c r="H403" s="160"/>
      <c r="I403" s="160"/>
      <c r="J403" s="160"/>
      <c r="K403" s="160"/>
      <c r="L403" s="160"/>
      <c r="M403" s="160"/>
      <c r="N403" s="160"/>
      <c r="O403" s="160"/>
      <c r="P403" s="160"/>
      <c r="Q403" s="160"/>
      <c r="R403" s="160"/>
      <c r="S403" s="160"/>
      <c r="T403" s="160"/>
      <c r="U403" s="160"/>
      <c r="V403" s="160"/>
      <c r="W403" s="160"/>
      <c r="X403" s="160"/>
      <c r="Y403" s="160"/>
      <c r="Z403" s="160"/>
      <c r="AA403" s="160"/>
    </row>
    <row r="404" spans="1:27" ht="12.75" customHeight="1" x14ac:dyDescent="0.2">
      <c r="A404" s="160"/>
      <c r="B404" s="160"/>
      <c r="D404" s="160"/>
      <c r="F404" s="160"/>
      <c r="G404" s="160"/>
      <c r="H404" s="160"/>
      <c r="I404" s="160"/>
      <c r="J404" s="160"/>
      <c r="K404" s="160"/>
      <c r="L404" s="160"/>
      <c r="M404" s="160"/>
      <c r="N404" s="160"/>
      <c r="O404" s="160"/>
      <c r="P404" s="160"/>
      <c r="Q404" s="160"/>
      <c r="R404" s="160"/>
      <c r="S404" s="160"/>
      <c r="T404" s="160"/>
      <c r="U404" s="160"/>
      <c r="V404" s="160"/>
      <c r="W404" s="160"/>
      <c r="X404" s="160"/>
      <c r="Y404" s="160"/>
      <c r="Z404" s="160"/>
      <c r="AA404" s="160"/>
    </row>
    <row r="405" spans="1:27" ht="12.75" customHeight="1" x14ac:dyDescent="0.2">
      <c r="A405" s="160"/>
      <c r="B405" s="160"/>
      <c r="D405" s="160"/>
      <c r="F405" s="160"/>
      <c r="G405" s="160"/>
      <c r="H405" s="160"/>
      <c r="I405" s="160"/>
      <c r="J405" s="160"/>
      <c r="K405" s="160"/>
      <c r="L405" s="160"/>
      <c r="M405" s="160"/>
      <c r="N405" s="160"/>
      <c r="O405" s="160"/>
      <c r="P405" s="160"/>
      <c r="Q405" s="160"/>
      <c r="R405" s="160"/>
      <c r="S405" s="160"/>
      <c r="T405" s="160"/>
      <c r="U405" s="160"/>
      <c r="V405" s="160"/>
      <c r="W405" s="160"/>
      <c r="X405" s="160"/>
      <c r="Y405" s="160"/>
      <c r="Z405" s="160"/>
      <c r="AA405" s="160"/>
    </row>
    <row r="406" spans="1:27" ht="12.75" customHeight="1" x14ac:dyDescent="0.2">
      <c r="A406" s="160"/>
      <c r="B406" s="160"/>
      <c r="D406" s="160"/>
      <c r="F406" s="160"/>
      <c r="G406" s="160"/>
      <c r="H406" s="160"/>
      <c r="I406" s="160"/>
      <c r="J406" s="160"/>
      <c r="K406" s="160"/>
      <c r="L406" s="160"/>
      <c r="M406" s="160"/>
      <c r="N406" s="160"/>
      <c r="O406" s="160"/>
      <c r="P406" s="160"/>
      <c r="Q406" s="160"/>
      <c r="R406" s="160"/>
      <c r="S406" s="160"/>
      <c r="T406" s="160"/>
      <c r="U406" s="160"/>
      <c r="V406" s="160"/>
      <c r="W406" s="160"/>
      <c r="X406" s="160"/>
      <c r="Y406" s="160"/>
      <c r="Z406" s="160"/>
      <c r="AA406" s="160"/>
    </row>
    <row r="407" spans="1:27" ht="12.75" customHeight="1" x14ac:dyDescent="0.2">
      <c r="A407" s="160"/>
      <c r="B407" s="160"/>
      <c r="D407" s="160"/>
      <c r="F407" s="160"/>
      <c r="G407" s="160"/>
      <c r="H407" s="160"/>
      <c r="I407" s="160"/>
      <c r="J407" s="160"/>
      <c r="K407" s="160"/>
      <c r="L407" s="160"/>
      <c r="M407" s="160"/>
      <c r="N407" s="160"/>
      <c r="O407" s="160"/>
      <c r="P407" s="160"/>
      <c r="Q407" s="160"/>
      <c r="R407" s="160"/>
      <c r="S407" s="160"/>
      <c r="T407" s="160"/>
      <c r="U407" s="160"/>
      <c r="V407" s="160"/>
      <c r="W407" s="160"/>
      <c r="X407" s="160"/>
      <c r="Y407" s="160"/>
      <c r="Z407" s="160"/>
      <c r="AA407" s="160"/>
    </row>
    <row r="408" spans="1:27" ht="12.75" customHeight="1" x14ac:dyDescent="0.2">
      <c r="A408" s="160"/>
      <c r="B408" s="160"/>
      <c r="D408" s="160"/>
      <c r="F408" s="160"/>
      <c r="G408" s="160"/>
      <c r="H408" s="160"/>
      <c r="I408" s="160"/>
      <c r="J408" s="160"/>
      <c r="K408" s="160"/>
      <c r="L408" s="160"/>
      <c r="M408" s="160"/>
      <c r="N408" s="160"/>
      <c r="O408" s="160"/>
      <c r="P408" s="160"/>
      <c r="Q408" s="160"/>
      <c r="R408" s="160"/>
      <c r="S408" s="160"/>
      <c r="T408" s="160"/>
      <c r="U408" s="160"/>
      <c r="V408" s="160"/>
      <c r="W408" s="160"/>
      <c r="X408" s="160"/>
      <c r="Y408" s="160"/>
      <c r="Z408" s="160"/>
      <c r="AA408" s="160"/>
    </row>
    <row r="409" spans="1:27" ht="12.75" customHeight="1" x14ac:dyDescent="0.2">
      <c r="A409" s="160"/>
      <c r="B409" s="160"/>
      <c r="D409" s="160"/>
      <c r="F409" s="160"/>
      <c r="G409" s="160"/>
      <c r="H409" s="160"/>
      <c r="I409" s="160"/>
      <c r="J409" s="160"/>
      <c r="K409" s="160"/>
      <c r="L409" s="160"/>
      <c r="M409" s="160"/>
      <c r="N409" s="160"/>
      <c r="O409" s="160"/>
      <c r="P409" s="160"/>
      <c r="Q409" s="160"/>
      <c r="R409" s="160"/>
      <c r="S409" s="160"/>
      <c r="T409" s="160"/>
      <c r="U409" s="160"/>
      <c r="V409" s="160"/>
      <c r="W409" s="160"/>
      <c r="X409" s="160"/>
      <c r="Y409" s="160"/>
      <c r="Z409" s="160"/>
      <c r="AA409" s="160"/>
    </row>
    <row r="410" spans="1:27" ht="12.75" customHeight="1" x14ac:dyDescent="0.2">
      <c r="A410" s="160"/>
      <c r="B410" s="160"/>
      <c r="D410" s="160"/>
      <c r="F410" s="160"/>
      <c r="G410" s="160"/>
      <c r="H410" s="160"/>
      <c r="I410" s="160"/>
      <c r="J410" s="160"/>
      <c r="K410" s="160"/>
      <c r="L410" s="160"/>
      <c r="M410" s="160"/>
      <c r="N410" s="160"/>
      <c r="O410" s="160"/>
      <c r="P410" s="160"/>
      <c r="Q410" s="160"/>
      <c r="R410" s="160"/>
      <c r="S410" s="160"/>
      <c r="T410" s="160"/>
      <c r="U410" s="160"/>
      <c r="V410" s="160"/>
      <c r="W410" s="160"/>
      <c r="X410" s="160"/>
      <c r="Y410" s="160"/>
      <c r="Z410" s="160"/>
      <c r="AA410" s="160"/>
    </row>
    <row r="411" spans="1:27" ht="12.75" customHeight="1" x14ac:dyDescent="0.2">
      <c r="A411" s="160"/>
      <c r="B411" s="160"/>
      <c r="D411" s="160"/>
      <c r="F411" s="160"/>
      <c r="G411" s="160"/>
      <c r="H411" s="160"/>
      <c r="I411" s="160"/>
      <c r="J411" s="160"/>
      <c r="K411" s="160"/>
      <c r="L411" s="160"/>
      <c r="M411" s="160"/>
      <c r="N411" s="160"/>
      <c r="O411" s="160"/>
      <c r="P411" s="160"/>
      <c r="Q411" s="160"/>
      <c r="R411" s="160"/>
      <c r="S411" s="160"/>
      <c r="T411" s="160"/>
      <c r="U411" s="160"/>
      <c r="V411" s="160"/>
      <c r="W411" s="160"/>
      <c r="X411" s="160"/>
      <c r="Y411" s="160"/>
      <c r="Z411" s="160"/>
      <c r="AA411" s="160"/>
    </row>
    <row r="412" spans="1:27" ht="12.75" customHeight="1" x14ac:dyDescent="0.2">
      <c r="A412" s="160"/>
      <c r="B412" s="160"/>
      <c r="D412" s="160"/>
      <c r="F412" s="160"/>
      <c r="G412" s="160"/>
      <c r="H412" s="160"/>
      <c r="I412" s="160"/>
      <c r="J412" s="160"/>
      <c r="K412" s="160"/>
      <c r="L412" s="160"/>
      <c r="M412" s="160"/>
      <c r="N412" s="160"/>
      <c r="O412" s="160"/>
      <c r="P412" s="160"/>
      <c r="Q412" s="160"/>
      <c r="R412" s="160"/>
      <c r="S412" s="160"/>
      <c r="T412" s="160"/>
      <c r="U412" s="160"/>
      <c r="V412" s="160"/>
      <c r="W412" s="160"/>
      <c r="X412" s="160"/>
      <c r="Y412" s="160"/>
      <c r="Z412" s="160"/>
      <c r="AA412" s="160"/>
    </row>
    <row r="413" spans="1:27" ht="12.75" customHeight="1" x14ac:dyDescent="0.2">
      <c r="A413" s="160"/>
      <c r="B413" s="160"/>
      <c r="D413" s="160"/>
      <c r="F413" s="160"/>
      <c r="G413" s="160"/>
      <c r="H413" s="160"/>
      <c r="I413" s="160"/>
      <c r="J413" s="160"/>
      <c r="K413" s="160"/>
      <c r="L413" s="160"/>
      <c r="M413" s="160"/>
      <c r="N413" s="160"/>
      <c r="O413" s="160"/>
      <c r="P413" s="160"/>
      <c r="Q413" s="160"/>
      <c r="R413" s="160"/>
      <c r="S413" s="160"/>
      <c r="T413" s="160"/>
      <c r="U413" s="160"/>
      <c r="V413" s="160"/>
      <c r="W413" s="160"/>
      <c r="X413" s="160"/>
      <c r="Y413" s="160"/>
      <c r="Z413" s="160"/>
      <c r="AA413" s="160"/>
    </row>
    <row r="414" spans="1:27" ht="12.75" customHeight="1" x14ac:dyDescent="0.2">
      <c r="A414" s="160"/>
      <c r="B414" s="160"/>
      <c r="D414" s="160"/>
      <c r="F414" s="160"/>
      <c r="G414" s="160"/>
      <c r="H414" s="160"/>
      <c r="I414" s="160"/>
      <c r="J414" s="160"/>
      <c r="K414" s="160"/>
      <c r="L414" s="160"/>
      <c r="M414" s="160"/>
      <c r="N414" s="160"/>
      <c r="O414" s="160"/>
      <c r="P414" s="160"/>
      <c r="Q414" s="160"/>
      <c r="R414" s="160"/>
      <c r="S414" s="160"/>
      <c r="T414" s="160"/>
      <c r="U414" s="160"/>
      <c r="V414" s="160"/>
      <c r="W414" s="160"/>
      <c r="X414" s="160"/>
      <c r="Y414" s="160"/>
      <c r="Z414" s="160"/>
      <c r="AA414" s="160"/>
    </row>
    <row r="415" spans="1:27" ht="12.75" customHeight="1" x14ac:dyDescent="0.2">
      <c r="A415" s="160"/>
      <c r="B415" s="160"/>
      <c r="D415" s="160"/>
      <c r="F415" s="160"/>
      <c r="G415" s="160"/>
      <c r="H415" s="160"/>
      <c r="I415" s="160"/>
      <c r="J415" s="160"/>
      <c r="K415" s="160"/>
      <c r="L415" s="160"/>
      <c r="M415" s="160"/>
      <c r="N415" s="160"/>
      <c r="O415" s="160"/>
      <c r="P415" s="160"/>
      <c r="Q415" s="160"/>
      <c r="R415" s="160"/>
      <c r="S415" s="160"/>
      <c r="T415" s="160"/>
      <c r="U415" s="160"/>
      <c r="V415" s="160"/>
      <c r="W415" s="160"/>
      <c r="X415" s="160"/>
      <c r="Y415" s="160"/>
      <c r="Z415" s="160"/>
      <c r="AA415" s="160"/>
    </row>
    <row r="416" spans="1:27" ht="12.75" customHeight="1" x14ac:dyDescent="0.2">
      <c r="A416" s="160"/>
      <c r="B416" s="160"/>
      <c r="D416" s="160"/>
      <c r="F416" s="160"/>
      <c r="G416" s="160"/>
      <c r="H416" s="160"/>
      <c r="I416" s="160"/>
      <c r="J416" s="160"/>
      <c r="K416" s="160"/>
      <c r="L416" s="160"/>
      <c r="M416" s="160"/>
      <c r="N416" s="160"/>
      <c r="O416" s="160"/>
      <c r="P416" s="160"/>
      <c r="Q416" s="160"/>
      <c r="R416" s="160"/>
      <c r="S416" s="160"/>
      <c r="T416" s="160"/>
      <c r="U416" s="160"/>
      <c r="V416" s="160"/>
      <c r="W416" s="160"/>
      <c r="X416" s="160"/>
      <c r="Y416" s="160"/>
      <c r="Z416" s="160"/>
      <c r="AA416" s="160"/>
    </row>
    <row r="417" spans="1:27" ht="12.75" customHeight="1" x14ac:dyDescent="0.2">
      <c r="A417" s="160"/>
      <c r="B417" s="160"/>
      <c r="D417" s="160"/>
      <c r="F417" s="160"/>
      <c r="G417" s="160"/>
      <c r="H417" s="160"/>
      <c r="I417" s="160"/>
      <c r="J417" s="160"/>
      <c r="K417" s="160"/>
      <c r="L417" s="160"/>
      <c r="M417" s="160"/>
      <c r="N417" s="160"/>
      <c r="O417" s="160"/>
      <c r="P417" s="160"/>
      <c r="Q417" s="160"/>
      <c r="R417" s="160"/>
      <c r="S417" s="160"/>
      <c r="T417" s="160"/>
      <c r="U417" s="160"/>
      <c r="V417" s="160"/>
      <c r="W417" s="160"/>
      <c r="X417" s="160"/>
      <c r="Y417" s="160"/>
      <c r="Z417" s="160"/>
      <c r="AA417" s="160"/>
    </row>
    <row r="418" spans="1:27" ht="12.75" customHeight="1" x14ac:dyDescent="0.2">
      <c r="A418" s="160"/>
      <c r="B418" s="160"/>
      <c r="D418" s="160"/>
      <c r="F418" s="160"/>
      <c r="G418" s="160"/>
      <c r="H418" s="160"/>
      <c r="I418" s="160"/>
      <c r="J418" s="160"/>
      <c r="K418" s="160"/>
      <c r="L418" s="160"/>
      <c r="M418" s="160"/>
      <c r="N418" s="160"/>
      <c r="O418" s="160"/>
      <c r="P418" s="160"/>
      <c r="Q418" s="160"/>
      <c r="R418" s="160"/>
      <c r="S418" s="160"/>
      <c r="T418" s="160"/>
      <c r="U418" s="160"/>
      <c r="V418" s="160"/>
      <c r="W418" s="160"/>
      <c r="X418" s="160"/>
      <c r="Y418" s="160"/>
      <c r="Z418" s="160"/>
      <c r="AA418" s="160"/>
    </row>
    <row r="419" spans="1:27" ht="12.75" customHeight="1" x14ac:dyDescent="0.2">
      <c r="A419" s="160"/>
      <c r="B419" s="160"/>
      <c r="D419" s="160"/>
      <c r="F419" s="160"/>
      <c r="G419" s="160"/>
      <c r="H419" s="160"/>
      <c r="I419" s="160"/>
      <c r="J419" s="160"/>
      <c r="K419" s="160"/>
      <c r="L419" s="160"/>
      <c r="M419" s="160"/>
      <c r="N419" s="160"/>
      <c r="O419" s="160"/>
      <c r="P419" s="160"/>
      <c r="Q419" s="160"/>
      <c r="R419" s="160"/>
      <c r="S419" s="160"/>
      <c r="T419" s="160"/>
      <c r="U419" s="160"/>
      <c r="V419" s="160"/>
      <c r="W419" s="160"/>
      <c r="X419" s="160"/>
      <c r="Y419" s="160"/>
      <c r="Z419" s="160"/>
      <c r="AA419" s="160"/>
    </row>
    <row r="420" spans="1:27" ht="12.75" customHeight="1" x14ac:dyDescent="0.2">
      <c r="A420" s="160"/>
      <c r="B420" s="160"/>
      <c r="D420" s="160"/>
      <c r="F420" s="160"/>
      <c r="G420" s="160"/>
      <c r="H420" s="160"/>
      <c r="I420" s="160"/>
      <c r="J420" s="160"/>
      <c r="K420" s="160"/>
      <c r="L420" s="160"/>
      <c r="M420" s="160"/>
      <c r="N420" s="160"/>
      <c r="O420" s="160"/>
      <c r="P420" s="160"/>
      <c r="Q420" s="160"/>
      <c r="R420" s="160"/>
      <c r="S420" s="160"/>
      <c r="T420" s="160"/>
      <c r="U420" s="160"/>
      <c r="V420" s="160"/>
      <c r="W420" s="160"/>
      <c r="X420" s="160"/>
      <c r="Y420" s="160"/>
      <c r="Z420" s="160"/>
      <c r="AA420" s="160"/>
    </row>
    <row r="421" spans="1:27" ht="12.75" customHeight="1" x14ac:dyDescent="0.2">
      <c r="A421" s="160"/>
      <c r="B421" s="160"/>
      <c r="D421" s="160"/>
      <c r="F421" s="160"/>
      <c r="G421" s="160"/>
      <c r="H421" s="160"/>
      <c r="I421" s="160"/>
      <c r="J421" s="160"/>
      <c r="K421" s="160"/>
      <c r="L421" s="160"/>
      <c r="M421" s="160"/>
      <c r="N421" s="160"/>
      <c r="O421" s="160"/>
      <c r="P421" s="160"/>
      <c r="Q421" s="160"/>
      <c r="R421" s="160"/>
      <c r="S421" s="160"/>
      <c r="T421" s="160"/>
      <c r="U421" s="160"/>
      <c r="V421" s="160"/>
      <c r="W421" s="160"/>
      <c r="X421" s="160"/>
      <c r="Y421" s="160"/>
      <c r="Z421" s="160"/>
      <c r="AA421" s="160"/>
    </row>
    <row r="422" spans="1:27" ht="12.75" customHeight="1" x14ac:dyDescent="0.2">
      <c r="A422" s="160"/>
      <c r="B422" s="160"/>
      <c r="D422" s="160"/>
      <c r="F422" s="160"/>
      <c r="G422" s="160"/>
      <c r="H422" s="160"/>
      <c r="I422" s="160"/>
      <c r="J422" s="160"/>
      <c r="K422" s="160"/>
      <c r="L422" s="160"/>
      <c r="M422" s="160"/>
      <c r="N422" s="160"/>
      <c r="O422" s="160"/>
      <c r="P422" s="160"/>
      <c r="Q422" s="160"/>
      <c r="R422" s="160"/>
      <c r="S422" s="160"/>
      <c r="T422" s="160"/>
      <c r="U422" s="160"/>
      <c r="V422" s="160"/>
      <c r="W422" s="160"/>
      <c r="X422" s="160"/>
      <c r="Y422" s="160"/>
      <c r="Z422" s="160"/>
      <c r="AA422" s="160"/>
    </row>
    <row r="423" spans="1:27" ht="12.75" customHeight="1" x14ac:dyDescent="0.2">
      <c r="A423" s="160"/>
      <c r="B423" s="160"/>
      <c r="D423" s="160"/>
      <c r="F423" s="160"/>
      <c r="G423" s="160"/>
      <c r="H423" s="160"/>
      <c r="I423" s="160"/>
      <c r="J423" s="160"/>
      <c r="K423" s="160"/>
      <c r="L423" s="160"/>
      <c r="M423" s="160"/>
      <c r="N423" s="160"/>
      <c r="O423" s="160"/>
      <c r="P423" s="160"/>
      <c r="Q423" s="160"/>
      <c r="R423" s="160"/>
      <c r="S423" s="160"/>
      <c r="T423" s="160"/>
      <c r="U423" s="160"/>
      <c r="V423" s="160"/>
      <c r="W423" s="160"/>
      <c r="X423" s="160"/>
      <c r="Y423" s="160"/>
      <c r="Z423" s="160"/>
      <c r="AA423" s="160"/>
    </row>
    <row r="424" spans="1:27" ht="12.75" customHeight="1" x14ac:dyDescent="0.2">
      <c r="A424" s="160"/>
      <c r="B424" s="160"/>
      <c r="D424" s="160"/>
      <c r="F424" s="160"/>
      <c r="G424" s="160"/>
      <c r="H424" s="160"/>
      <c r="I424" s="160"/>
      <c r="J424" s="160"/>
      <c r="K424" s="160"/>
      <c r="L424" s="160"/>
      <c r="M424" s="160"/>
      <c r="N424" s="160"/>
      <c r="O424" s="160"/>
      <c r="P424" s="160"/>
      <c r="Q424" s="160"/>
      <c r="R424" s="160"/>
      <c r="S424" s="160"/>
      <c r="T424" s="160"/>
      <c r="U424" s="160"/>
      <c r="V424" s="160"/>
      <c r="W424" s="160"/>
      <c r="X424" s="160"/>
      <c r="Y424" s="160"/>
      <c r="Z424" s="160"/>
      <c r="AA424" s="160"/>
    </row>
    <row r="425" spans="1:27" ht="12.75" customHeight="1" x14ac:dyDescent="0.2">
      <c r="A425" s="160"/>
      <c r="B425" s="160"/>
      <c r="D425" s="160"/>
      <c r="F425" s="160"/>
      <c r="G425" s="160"/>
      <c r="H425" s="160"/>
      <c r="I425" s="160"/>
      <c r="J425" s="160"/>
      <c r="K425" s="160"/>
      <c r="L425" s="160"/>
      <c r="M425" s="160"/>
      <c r="N425" s="160"/>
      <c r="O425" s="160"/>
      <c r="P425" s="160"/>
      <c r="Q425" s="160"/>
      <c r="R425" s="160"/>
      <c r="S425" s="160"/>
      <c r="T425" s="160"/>
      <c r="U425" s="160"/>
      <c r="V425" s="160"/>
      <c r="W425" s="160"/>
      <c r="X425" s="160"/>
      <c r="Y425" s="160"/>
      <c r="Z425" s="160"/>
      <c r="AA425" s="160"/>
    </row>
    <row r="426" spans="1:27" ht="12.75" customHeight="1" x14ac:dyDescent="0.2">
      <c r="A426" s="160"/>
      <c r="B426" s="160"/>
      <c r="D426" s="160"/>
      <c r="F426" s="160"/>
      <c r="G426" s="160"/>
      <c r="H426" s="160"/>
      <c r="I426" s="160"/>
      <c r="J426" s="160"/>
      <c r="K426" s="160"/>
      <c r="L426" s="160"/>
      <c r="M426" s="160"/>
      <c r="N426" s="160"/>
      <c r="O426" s="160"/>
      <c r="P426" s="160"/>
      <c r="Q426" s="160"/>
      <c r="R426" s="160"/>
      <c r="S426" s="160"/>
      <c r="T426" s="160"/>
      <c r="U426" s="160"/>
      <c r="V426" s="160"/>
      <c r="W426" s="160"/>
      <c r="X426" s="160"/>
      <c r="Y426" s="160"/>
      <c r="Z426" s="160"/>
      <c r="AA426" s="160"/>
    </row>
    <row r="427" spans="1:27" ht="12.75" customHeight="1" x14ac:dyDescent="0.2">
      <c r="A427" s="160"/>
      <c r="B427" s="160"/>
      <c r="D427" s="160"/>
      <c r="F427" s="160"/>
      <c r="G427" s="160"/>
      <c r="H427" s="160"/>
      <c r="I427" s="160"/>
      <c r="J427" s="160"/>
      <c r="K427" s="160"/>
      <c r="L427" s="160"/>
      <c r="M427" s="160"/>
      <c r="N427" s="160"/>
      <c r="O427" s="160"/>
      <c r="P427" s="160"/>
      <c r="Q427" s="160"/>
      <c r="R427" s="160"/>
      <c r="S427" s="160"/>
      <c r="T427" s="160"/>
      <c r="U427" s="160"/>
      <c r="V427" s="160"/>
      <c r="W427" s="160"/>
      <c r="X427" s="160"/>
      <c r="Y427" s="160"/>
      <c r="Z427" s="160"/>
      <c r="AA427" s="160"/>
    </row>
    <row r="428" spans="1:27" ht="12.75" customHeight="1" x14ac:dyDescent="0.2">
      <c r="A428" s="160"/>
      <c r="B428" s="160"/>
      <c r="D428" s="160"/>
      <c r="F428" s="160"/>
      <c r="G428" s="160"/>
      <c r="H428" s="160"/>
      <c r="I428" s="160"/>
      <c r="J428" s="160"/>
      <c r="K428" s="160"/>
      <c r="L428" s="160"/>
      <c r="M428" s="160"/>
      <c r="N428" s="160"/>
      <c r="O428" s="160"/>
      <c r="P428" s="160"/>
      <c r="Q428" s="160"/>
      <c r="R428" s="160"/>
      <c r="S428" s="160"/>
      <c r="T428" s="160"/>
      <c r="U428" s="160"/>
      <c r="V428" s="160"/>
      <c r="W428" s="160"/>
      <c r="X428" s="160"/>
      <c r="Y428" s="160"/>
      <c r="Z428" s="160"/>
      <c r="AA428" s="160"/>
    </row>
    <row r="429" spans="1:27" ht="12.75" customHeight="1" x14ac:dyDescent="0.2">
      <c r="A429" s="160"/>
      <c r="B429" s="160"/>
      <c r="D429" s="160"/>
      <c r="F429" s="160"/>
      <c r="G429" s="160"/>
      <c r="H429" s="160"/>
      <c r="I429" s="160"/>
      <c r="J429" s="160"/>
      <c r="K429" s="160"/>
      <c r="L429" s="160"/>
      <c r="M429" s="160"/>
      <c r="N429" s="160"/>
      <c r="O429" s="160"/>
      <c r="P429" s="160"/>
      <c r="Q429" s="160"/>
      <c r="R429" s="160"/>
      <c r="S429" s="160"/>
      <c r="T429" s="160"/>
      <c r="U429" s="160"/>
      <c r="V429" s="160"/>
      <c r="W429" s="160"/>
      <c r="X429" s="160"/>
      <c r="Y429" s="160"/>
      <c r="Z429" s="160"/>
      <c r="AA429" s="160"/>
    </row>
    <row r="430" spans="1:27" ht="12.75" customHeight="1" x14ac:dyDescent="0.2">
      <c r="A430" s="160"/>
      <c r="B430" s="160"/>
      <c r="D430" s="160"/>
      <c r="F430" s="160"/>
      <c r="G430" s="160"/>
      <c r="H430" s="160"/>
      <c r="I430" s="160"/>
      <c r="J430" s="160"/>
      <c r="K430" s="160"/>
      <c r="L430" s="160"/>
      <c r="M430" s="160"/>
      <c r="N430" s="160"/>
      <c r="O430" s="160"/>
      <c r="P430" s="160"/>
      <c r="Q430" s="160"/>
      <c r="R430" s="160"/>
      <c r="S430" s="160"/>
      <c r="T430" s="160"/>
      <c r="U430" s="160"/>
      <c r="V430" s="160"/>
      <c r="W430" s="160"/>
      <c r="X430" s="160"/>
      <c r="Y430" s="160"/>
      <c r="Z430" s="160"/>
      <c r="AA430" s="160"/>
    </row>
    <row r="431" spans="1:27" ht="12.75" customHeight="1" x14ac:dyDescent="0.2">
      <c r="A431" s="160"/>
      <c r="B431" s="160"/>
      <c r="D431" s="160"/>
      <c r="F431" s="160"/>
      <c r="G431" s="160"/>
      <c r="H431" s="160"/>
      <c r="I431" s="160"/>
      <c r="J431" s="160"/>
      <c r="K431" s="160"/>
      <c r="L431" s="160"/>
      <c r="M431" s="160"/>
      <c r="N431" s="160"/>
      <c r="O431" s="160"/>
      <c r="P431" s="160"/>
      <c r="Q431" s="160"/>
      <c r="R431" s="160"/>
      <c r="S431" s="160"/>
      <c r="T431" s="160"/>
      <c r="U431" s="160"/>
      <c r="V431" s="160"/>
      <c r="W431" s="160"/>
      <c r="X431" s="160"/>
      <c r="Y431" s="160"/>
      <c r="Z431" s="160"/>
      <c r="AA431" s="160"/>
    </row>
    <row r="432" spans="1:27" ht="12.75" customHeight="1" x14ac:dyDescent="0.2">
      <c r="A432" s="160"/>
      <c r="B432" s="160"/>
      <c r="D432" s="160"/>
      <c r="F432" s="160"/>
      <c r="G432" s="160"/>
      <c r="H432" s="160"/>
      <c r="I432" s="160"/>
      <c r="J432" s="160"/>
      <c r="K432" s="160"/>
      <c r="L432" s="160"/>
      <c r="M432" s="160"/>
      <c r="N432" s="160"/>
      <c r="O432" s="160"/>
      <c r="P432" s="160"/>
      <c r="Q432" s="160"/>
      <c r="R432" s="160"/>
      <c r="S432" s="160"/>
      <c r="T432" s="160"/>
      <c r="U432" s="160"/>
      <c r="V432" s="160"/>
      <c r="W432" s="160"/>
      <c r="X432" s="160"/>
      <c r="Y432" s="160"/>
      <c r="Z432" s="160"/>
      <c r="AA432" s="160"/>
    </row>
    <row r="433" spans="1:27" ht="12.75" customHeight="1" x14ac:dyDescent="0.2">
      <c r="A433" s="160"/>
      <c r="B433" s="160"/>
      <c r="D433" s="160"/>
      <c r="F433" s="160"/>
      <c r="G433" s="160"/>
      <c r="H433" s="160"/>
      <c r="I433" s="160"/>
      <c r="J433" s="160"/>
      <c r="K433" s="160"/>
      <c r="L433" s="160"/>
      <c r="M433" s="160"/>
      <c r="N433" s="160"/>
      <c r="O433" s="160"/>
      <c r="P433" s="160"/>
      <c r="Q433" s="160"/>
      <c r="R433" s="160"/>
      <c r="S433" s="160"/>
      <c r="T433" s="160"/>
      <c r="U433" s="160"/>
      <c r="V433" s="160"/>
      <c r="W433" s="160"/>
      <c r="X433" s="160"/>
      <c r="Y433" s="160"/>
      <c r="Z433" s="160"/>
      <c r="AA433" s="160"/>
    </row>
    <row r="434" spans="1:27" ht="12.75" customHeight="1" x14ac:dyDescent="0.2">
      <c r="A434" s="160"/>
      <c r="B434" s="160"/>
      <c r="D434" s="160"/>
      <c r="F434" s="160"/>
      <c r="G434" s="160"/>
      <c r="H434" s="160"/>
      <c r="I434" s="160"/>
      <c r="J434" s="160"/>
      <c r="K434" s="160"/>
      <c r="L434" s="160"/>
      <c r="M434" s="160"/>
      <c r="N434" s="160"/>
      <c r="O434" s="160"/>
      <c r="P434" s="160"/>
      <c r="Q434" s="160"/>
      <c r="R434" s="160"/>
      <c r="S434" s="160"/>
      <c r="T434" s="160"/>
      <c r="U434" s="160"/>
      <c r="V434" s="160"/>
      <c r="W434" s="160"/>
      <c r="X434" s="160"/>
      <c r="Y434" s="160"/>
      <c r="Z434" s="160"/>
      <c r="AA434" s="160"/>
    </row>
    <row r="435" spans="1:27" ht="12.75" customHeight="1" x14ac:dyDescent="0.2">
      <c r="A435" s="160"/>
      <c r="B435" s="160"/>
      <c r="D435" s="160"/>
      <c r="F435" s="160"/>
      <c r="G435" s="160"/>
      <c r="H435" s="160"/>
      <c r="I435" s="160"/>
      <c r="J435" s="160"/>
      <c r="K435" s="160"/>
      <c r="L435" s="160"/>
      <c r="M435" s="160"/>
      <c r="N435" s="160"/>
      <c r="O435" s="160"/>
      <c r="P435" s="160"/>
      <c r="Q435" s="160"/>
      <c r="R435" s="160"/>
      <c r="S435" s="160"/>
      <c r="T435" s="160"/>
      <c r="U435" s="160"/>
      <c r="V435" s="160"/>
      <c r="W435" s="160"/>
      <c r="X435" s="160"/>
      <c r="Y435" s="160"/>
      <c r="Z435" s="160"/>
      <c r="AA435" s="160"/>
    </row>
    <row r="436" spans="1:27" ht="12.75" customHeight="1" x14ac:dyDescent="0.2">
      <c r="A436" s="160"/>
      <c r="B436" s="160"/>
      <c r="D436" s="160"/>
      <c r="F436" s="160"/>
      <c r="G436" s="160"/>
      <c r="H436" s="160"/>
      <c r="I436" s="160"/>
      <c r="J436" s="160"/>
      <c r="K436" s="160"/>
      <c r="L436" s="160"/>
      <c r="M436" s="160"/>
      <c r="N436" s="160"/>
      <c r="O436" s="160"/>
      <c r="P436" s="160"/>
      <c r="Q436" s="160"/>
      <c r="R436" s="160"/>
      <c r="S436" s="160"/>
      <c r="T436" s="160"/>
      <c r="U436" s="160"/>
      <c r="V436" s="160"/>
      <c r="W436" s="160"/>
      <c r="X436" s="160"/>
      <c r="Y436" s="160"/>
      <c r="Z436" s="160"/>
      <c r="AA436" s="160"/>
    </row>
    <row r="437" spans="1:27" ht="12.75" customHeight="1" x14ac:dyDescent="0.2">
      <c r="A437" s="160"/>
      <c r="B437" s="160"/>
      <c r="D437" s="160"/>
      <c r="F437" s="160"/>
      <c r="G437" s="160"/>
      <c r="H437" s="160"/>
      <c r="I437" s="160"/>
      <c r="J437" s="160"/>
      <c r="K437" s="160"/>
      <c r="L437" s="160"/>
      <c r="M437" s="160"/>
      <c r="N437" s="160"/>
      <c r="O437" s="160"/>
      <c r="P437" s="160"/>
      <c r="Q437" s="160"/>
      <c r="R437" s="160"/>
      <c r="S437" s="160"/>
      <c r="T437" s="160"/>
      <c r="U437" s="160"/>
      <c r="V437" s="160"/>
      <c r="W437" s="160"/>
      <c r="X437" s="160"/>
      <c r="Y437" s="160"/>
      <c r="Z437" s="160"/>
      <c r="AA437" s="160"/>
    </row>
    <row r="438" spans="1:27" ht="12.75" customHeight="1" x14ac:dyDescent="0.2">
      <c r="A438" s="160"/>
      <c r="B438" s="160"/>
      <c r="D438" s="160"/>
      <c r="F438" s="160"/>
      <c r="G438" s="160"/>
      <c r="H438" s="160"/>
      <c r="I438" s="160"/>
      <c r="J438" s="160"/>
      <c r="K438" s="160"/>
      <c r="L438" s="160"/>
      <c r="M438" s="160"/>
      <c r="N438" s="160"/>
      <c r="O438" s="160"/>
      <c r="P438" s="160"/>
      <c r="Q438" s="160"/>
      <c r="R438" s="160"/>
      <c r="S438" s="160"/>
      <c r="T438" s="160"/>
      <c r="U438" s="160"/>
      <c r="V438" s="160"/>
      <c r="W438" s="160"/>
      <c r="X438" s="160"/>
      <c r="Y438" s="160"/>
      <c r="Z438" s="160"/>
      <c r="AA438" s="160"/>
    </row>
    <row r="439" spans="1:27" ht="12.75" customHeight="1" x14ac:dyDescent="0.2">
      <c r="A439" s="160"/>
      <c r="B439" s="160"/>
      <c r="D439" s="160"/>
      <c r="F439" s="160"/>
      <c r="G439" s="160"/>
      <c r="H439" s="160"/>
      <c r="I439" s="160"/>
      <c r="J439" s="160"/>
      <c r="K439" s="160"/>
      <c r="L439" s="160"/>
      <c r="M439" s="160"/>
      <c r="N439" s="160"/>
      <c r="O439" s="160"/>
      <c r="P439" s="160"/>
      <c r="Q439" s="160"/>
      <c r="R439" s="160"/>
      <c r="S439" s="160"/>
      <c r="T439" s="160"/>
      <c r="U439" s="160"/>
      <c r="V439" s="160"/>
      <c r="W439" s="160"/>
      <c r="X439" s="160"/>
      <c r="Y439" s="160"/>
      <c r="Z439" s="160"/>
      <c r="AA439" s="160"/>
    </row>
    <row r="440" spans="1:27" ht="12.75" customHeight="1" x14ac:dyDescent="0.2">
      <c r="A440" s="160"/>
      <c r="B440" s="160"/>
      <c r="D440" s="160"/>
      <c r="F440" s="160"/>
      <c r="G440" s="160"/>
      <c r="H440" s="160"/>
      <c r="I440" s="160"/>
      <c r="J440" s="160"/>
      <c r="K440" s="160"/>
      <c r="L440" s="160"/>
      <c r="M440" s="160"/>
      <c r="N440" s="160"/>
      <c r="O440" s="160"/>
      <c r="P440" s="160"/>
      <c r="Q440" s="160"/>
      <c r="R440" s="160"/>
      <c r="S440" s="160"/>
      <c r="T440" s="160"/>
      <c r="U440" s="160"/>
      <c r="V440" s="160"/>
      <c r="W440" s="160"/>
      <c r="X440" s="160"/>
      <c r="Y440" s="160"/>
      <c r="Z440" s="160"/>
      <c r="AA440" s="160"/>
    </row>
    <row r="441" spans="1:27" ht="12.75" customHeight="1" x14ac:dyDescent="0.2">
      <c r="A441" s="160"/>
      <c r="B441" s="160"/>
      <c r="D441" s="160"/>
      <c r="F441" s="160"/>
      <c r="G441" s="160"/>
      <c r="H441" s="160"/>
      <c r="I441" s="160"/>
      <c r="J441" s="160"/>
      <c r="K441" s="160"/>
      <c r="L441" s="160"/>
      <c r="M441" s="160"/>
      <c r="N441" s="160"/>
      <c r="O441" s="160"/>
      <c r="P441" s="160"/>
      <c r="Q441" s="160"/>
      <c r="R441" s="160"/>
      <c r="S441" s="160"/>
      <c r="T441" s="160"/>
      <c r="U441" s="160"/>
      <c r="V441" s="160"/>
      <c r="W441" s="160"/>
      <c r="X441" s="160"/>
      <c r="Y441" s="160"/>
      <c r="Z441" s="160"/>
      <c r="AA441" s="160"/>
    </row>
    <row r="442" spans="1:27" ht="12.75" customHeight="1" x14ac:dyDescent="0.2">
      <c r="A442" s="160"/>
      <c r="B442" s="160"/>
      <c r="D442" s="160"/>
      <c r="F442" s="160"/>
      <c r="G442" s="160"/>
      <c r="H442" s="160"/>
      <c r="I442" s="160"/>
      <c r="J442" s="160"/>
      <c r="K442" s="160"/>
      <c r="L442" s="160"/>
      <c r="M442" s="160"/>
      <c r="N442" s="160"/>
      <c r="O442" s="160"/>
      <c r="P442" s="160"/>
      <c r="Q442" s="160"/>
      <c r="R442" s="160"/>
      <c r="S442" s="160"/>
      <c r="T442" s="160"/>
      <c r="U442" s="160"/>
      <c r="V442" s="160"/>
      <c r="W442" s="160"/>
      <c r="X442" s="160"/>
      <c r="Y442" s="160"/>
      <c r="Z442" s="160"/>
      <c r="AA442" s="160"/>
    </row>
    <row r="443" spans="1:27" ht="12.75" customHeight="1" x14ac:dyDescent="0.2">
      <c r="A443" s="160"/>
      <c r="B443" s="160"/>
      <c r="D443" s="160"/>
      <c r="F443" s="160"/>
      <c r="G443" s="160"/>
      <c r="H443" s="160"/>
      <c r="I443" s="160"/>
      <c r="J443" s="160"/>
      <c r="K443" s="160"/>
      <c r="L443" s="160"/>
      <c r="M443" s="160"/>
      <c r="N443" s="160"/>
      <c r="O443" s="160"/>
      <c r="P443" s="160"/>
      <c r="Q443" s="160"/>
      <c r="R443" s="160"/>
      <c r="S443" s="160"/>
      <c r="T443" s="160"/>
      <c r="U443" s="160"/>
      <c r="V443" s="160"/>
      <c r="W443" s="160"/>
      <c r="X443" s="160"/>
      <c r="Y443" s="160"/>
      <c r="Z443" s="160"/>
      <c r="AA443" s="160"/>
    </row>
    <row r="444" spans="1:27" ht="12.75" customHeight="1" x14ac:dyDescent="0.2">
      <c r="A444" s="160"/>
      <c r="B444" s="160"/>
      <c r="D444" s="160"/>
      <c r="F444" s="160"/>
      <c r="G444" s="160"/>
      <c r="H444" s="160"/>
      <c r="I444" s="160"/>
      <c r="J444" s="160"/>
      <c r="K444" s="160"/>
      <c r="L444" s="160"/>
      <c r="M444" s="160"/>
      <c r="N444" s="160"/>
      <c r="O444" s="160"/>
      <c r="P444" s="160"/>
      <c r="Q444" s="160"/>
      <c r="R444" s="160"/>
      <c r="S444" s="160"/>
      <c r="T444" s="160"/>
      <c r="U444" s="160"/>
      <c r="V444" s="160"/>
      <c r="W444" s="160"/>
      <c r="X444" s="160"/>
      <c r="Y444" s="160"/>
      <c r="Z444" s="160"/>
      <c r="AA444" s="160"/>
    </row>
    <row r="445" spans="1:27" ht="12.75" customHeight="1" x14ac:dyDescent="0.2">
      <c r="A445" s="160"/>
      <c r="B445" s="160"/>
      <c r="D445" s="160"/>
      <c r="F445" s="160"/>
      <c r="G445" s="160"/>
      <c r="H445" s="160"/>
      <c r="I445" s="160"/>
      <c r="J445" s="160"/>
      <c r="K445" s="160"/>
      <c r="L445" s="160"/>
      <c r="M445" s="160"/>
      <c r="N445" s="160"/>
      <c r="O445" s="160"/>
      <c r="P445" s="160"/>
      <c r="Q445" s="160"/>
      <c r="R445" s="160"/>
      <c r="S445" s="160"/>
      <c r="T445" s="160"/>
      <c r="U445" s="160"/>
      <c r="V445" s="160"/>
      <c r="W445" s="160"/>
      <c r="X445" s="160"/>
      <c r="Y445" s="160"/>
      <c r="Z445" s="160"/>
      <c r="AA445" s="160"/>
    </row>
    <row r="446" spans="1:27" ht="12.75" customHeight="1" x14ac:dyDescent="0.2">
      <c r="A446" s="160"/>
      <c r="B446" s="160"/>
      <c r="D446" s="160"/>
      <c r="F446" s="160"/>
      <c r="G446" s="160"/>
      <c r="H446" s="160"/>
      <c r="I446" s="160"/>
      <c r="J446" s="160"/>
      <c r="K446" s="160"/>
      <c r="L446" s="160"/>
      <c r="M446" s="160"/>
      <c r="N446" s="160"/>
      <c r="O446" s="160"/>
      <c r="P446" s="160"/>
      <c r="Q446" s="160"/>
      <c r="R446" s="160"/>
      <c r="S446" s="160"/>
      <c r="T446" s="160"/>
      <c r="U446" s="160"/>
      <c r="V446" s="160"/>
      <c r="W446" s="160"/>
      <c r="X446" s="160"/>
      <c r="Y446" s="160"/>
      <c r="Z446" s="160"/>
      <c r="AA446" s="160"/>
    </row>
    <row r="447" spans="1:27" ht="12.75" customHeight="1" x14ac:dyDescent="0.2">
      <c r="A447" s="160"/>
      <c r="B447" s="160"/>
      <c r="D447" s="160"/>
      <c r="F447" s="160"/>
      <c r="G447" s="160"/>
      <c r="H447" s="160"/>
      <c r="I447" s="160"/>
      <c r="J447" s="160"/>
      <c r="K447" s="160"/>
      <c r="L447" s="160"/>
      <c r="M447" s="160"/>
      <c r="N447" s="160"/>
      <c r="O447" s="160"/>
      <c r="P447" s="160"/>
      <c r="Q447" s="160"/>
      <c r="R447" s="160"/>
      <c r="S447" s="160"/>
      <c r="T447" s="160"/>
      <c r="U447" s="160"/>
      <c r="V447" s="160"/>
      <c r="W447" s="160"/>
      <c r="X447" s="160"/>
      <c r="Y447" s="160"/>
      <c r="Z447" s="160"/>
      <c r="AA447" s="160"/>
    </row>
    <row r="448" spans="1:27" ht="12.75" customHeight="1" x14ac:dyDescent="0.2">
      <c r="A448" s="160"/>
      <c r="B448" s="160"/>
      <c r="D448" s="160"/>
      <c r="F448" s="160"/>
      <c r="G448" s="160"/>
      <c r="H448" s="160"/>
      <c r="I448" s="160"/>
      <c r="J448" s="160"/>
      <c r="K448" s="160"/>
      <c r="L448" s="160"/>
      <c r="M448" s="160"/>
      <c r="N448" s="160"/>
      <c r="O448" s="160"/>
      <c r="P448" s="160"/>
      <c r="Q448" s="160"/>
      <c r="R448" s="160"/>
      <c r="S448" s="160"/>
      <c r="T448" s="160"/>
      <c r="U448" s="160"/>
      <c r="V448" s="160"/>
      <c r="W448" s="160"/>
      <c r="X448" s="160"/>
      <c r="Y448" s="160"/>
      <c r="Z448" s="160"/>
      <c r="AA448" s="160"/>
    </row>
    <row r="449" spans="1:27" ht="12.75" customHeight="1" x14ac:dyDescent="0.2">
      <c r="A449" s="160"/>
      <c r="B449" s="160"/>
      <c r="D449" s="160"/>
      <c r="F449" s="160"/>
      <c r="G449" s="160"/>
      <c r="H449" s="160"/>
      <c r="I449" s="160"/>
      <c r="J449" s="160"/>
      <c r="K449" s="160"/>
      <c r="L449" s="160"/>
      <c r="M449" s="160"/>
      <c r="N449" s="160"/>
      <c r="O449" s="160"/>
      <c r="P449" s="160"/>
      <c r="Q449" s="160"/>
      <c r="R449" s="160"/>
      <c r="S449" s="160"/>
      <c r="T449" s="160"/>
      <c r="U449" s="160"/>
      <c r="V449" s="160"/>
      <c r="W449" s="160"/>
      <c r="X449" s="160"/>
      <c r="Y449" s="160"/>
      <c r="Z449" s="160"/>
      <c r="AA449" s="160"/>
    </row>
    <row r="450" spans="1:27" ht="12.75" customHeight="1" x14ac:dyDescent="0.2">
      <c r="A450" s="160"/>
      <c r="B450" s="160"/>
      <c r="D450" s="160"/>
      <c r="F450" s="160"/>
      <c r="G450" s="160"/>
      <c r="H450" s="160"/>
      <c r="I450" s="160"/>
      <c r="J450" s="160"/>
      <c r="K450" s="160"/>
      <c r="L450" s="160"/>
      <c r="M450" s="160"/>
      <c r="N450" s="160"/>
      <c r="O450" s="160"/>
      <c r="P450" s="160"/>
      <c r="Q450" s="160"/>
      <c r="R450" s="160"/>
      <c r="S450" s="160"/>
      <c r="T450" s="160"/>
      <c r="U450" s="160"/>
      <c r="V450" s="160"/>
      <c r="W450" s="160"/>
      <c r="X450" s="160"/>
      <c r="Y450" s="160"/>
      <c r="Z450" s="160"/>
      <c r="AA450" s="160"/>
    </row>
    <row r="451" spans="1:27" ht="12.75" customHeight="1" x14ac:dyDescent="0.2">
      <c r="A451" s="160"/>
      <c r="B451" s="160"/>
      <c r="D451" s="160"/>
      <c r="F451" s="160"/>
      <c r="G451" s="160"/>
      <c r="H451" s="160"/>
      <c r="I451" s="160"/>
      <c r="J451" s="160"/>
      <c r="K451" s="160"/>
      <c r="L451" s="160"/>
      <c r="M451" s="160"/>
      <c r="N451" s="160"/>
      <c r="O451" s="160"/>
      <c r="P451" s="160"/>
      <c r="Q451" s="160"/>
      <c r="R451" s="160"/>
      <c r="S451" s="160"/>
      <c r="T451" s="160"/>
      <c r="U451" s="160"/>
      <c r="V451" s="160"/>
      <c r="W451" s="160"/>
      <c r="X451" s="160"/>
      <c r="Y451" s="160"/>
      <c r="Z451" s="160"/>
      <c r="AA451" s="160"/>
    </row>
    <row r="452" spans="1:27" ht="12.75" customHeight="1" x14ac:dyDescent="0.2">
      <c r="A452" s="160"/>
      <c r="B452" s="160"/>
      <c r="D452" s="160"/>
      <c r="F452" s="160"/>
      <c r="G452" s="160"/>
      <c r="H452" s="160"/>
      <c r="I452" s="160"/>
      <c r="J452" s="160"/>
      <c r="K452" s="160"/>
      <c r="L452" s="160"/>
      <c r="M452" s="160"/>
      <c r="N452" s="160"/>
      <c r="O452" s="160"/>
      <c r="P452" s="160"/>
      <c r="Q452" s="160"/>
      <c r="R452" s="160"/>
      <c r="S452" s="160"/>
      <c r="T452" s="160"/>
      <c r="U452" s="160"/>
      <c r="V452" s="160"/>
      <c r="W452" s="160"/>
      <c r="X452" s="160"/>
      <c r="Y452" s="160"/>
      <c r="Z452" s="160"/>
      <c r="AA452" s="160"/>
    </row>
    <row r="453" spans="1:27" ht="12.75" customHeight="1" x14ac:dyDescent="0.2">
      <c r="A453" s="160"/>
      <c r="B453" s="160"/>
      <c r="D453" s="160"/>
      <c r="F453" s="160"/>
      <c r="G453" s="160"/>
      <c r="H453" s="160"/>
      <c r="I453" s="160"/>
      <c r="J453" s="160"/>
      <c r="K453" s="160"/>
      <c r="L453" s="160"/>
      <c r="M453" s="160"/>
      <c r="N453" s="160"/>
      <c r="O453" s="160"/>
      <c r="P453" s="160"/>
      <c r="Q453" s="160"/>
      <c r="R453" s="160"/>
      <c r="S453" s="160"/>
      <c r="T453" s="160"/>
      <c r="U453" s="160"/>
      <c r="V453" s="160"/>
      <c r="W453" s="160"/>
      <c r="X453" s="160"/>
      <c r="Y453" s="160"/>
      <c r="Z453" s="160"/>
      <c r="AA453" s="160"/>
    </row>
    <row r="454" spans="1:27" ht="12.75" customHeight="1" x14ac:dyDescent="0.2">
      <c r="A454" s="160"/>
      <c r="B454" s="160"/>
      <c r="D454" s="160"/>
      <c r="F454" s="160"/>
      <c r="G454" s="160"/>
      <c r="H454" s="160"/>
      <c r="I454" s="160"/>
      <c r="J454" s="160"/>
      <c r="K454" s="160"/>
      <c r="L454" s="160"/>
      <c r="M454" s="160"/>
      <c r="N454" s="160"/>
      <c r="O454" s="160"/>
      <c r="P454" s="160"/>
      <c r="Q454" s="160"/>
      <c r="R454" s="160"/>
      <c r="S454" s="160"/>
      <c r="T454" s="160"/>
      <c r="U454" s="160"/>
      <c r="V454" s="160"/>
      <c r="W454" s="160"/>
      <c r="X454" s="160"/>
      <c r="Y454" s="160"/>
      <c r="Z454" s="160"/>
      <c r="AA454" s="160"/>
    </row>
    <row r="455" spans="1:27" ht="12.75" customHeight="1" x14ac:dyDescent="0.2">
      <c r="A455" s="160"/>
      <c r="B455" s="160"/>
      <c r="D455" s="160"/>
      <c r="F455" s="160"/>
      <c r="G455" s="160"/>
      <c r="H455" s="160"/>
      <c r="I455" s="160"/>
      <c r="J455" s="160"/>
      <c r="K455" s="160"/>
      <c r="L455" s="160"/>
      <c r="M455" s="160"/>
      <c r="N455" s="160"/>
      <c r="O455" s="160"/>
      <c r="P455" s="160"/>
      <c r="Q455" s="160"/>
      <c r="R455" s="160"/>
      <c r="S455" s="160"/>
      <c r="T455" s="160"/>
      <c r="U455" s="160"/>
      <c r="V455" s="160"/>
      <c r="W455" s="160"/>
      <c r="X455" s="160"/>
      <c r="Y455" s="160"/>
      <c r="Z455" s="160"/>
      <c r="AA455" s="160"/>
    </row>
    <row r="456" spans="1:27" ht="12.75" customHeight="1" x14ac:dyDescent="0.2">
      <c r="A456" s="160"/>
      <c r="B456" s="160"/>
      <c r="D456" s="160"/>
      <c r="F456" s="160"/>
      <c r="G456" s="160"/>
      <c r="H456" s="160"/>
      <c r="I456" s="160"/>
      <c r="J456" s="160"/>
      <c r="K456" s="160"/>
      <c r="L456" s="160"/>
      <c r="M456" s="160"/>
      <c r="N456" s="160"/>
      <c r="O456" s="160"/>
      <c r="P456" s="160"/>
      <c r="Q456" s="160"/>
      <c r="R456" s="160"/>
      <c r="S456" s="160"/>
      <c r="T456" s="160"/>
      <c r="U456" s="160"/>
      <c r="V456" s="160"/>
      <c r="W456" s="160"/>
      <c r="X456" s="160"/>
      <c r="Y456" s="160"/>
      <c r="Z456" s="160"/>
      <c r="AA456" s="160"/>
    </row>
    <row r="457" spans="1:27" ht="12.75" customHeight="1" x14ac:dyDescent="0.2">
      <c r="A457" s="160"/>
      <c r="B457" s="160"/>
      <c r="D457" s="160"/>
      <c r="F457" s="160"/>
      <c r="G457" s="160"/>
      <c r="H457" s="160"/>
      <c r="I457" s="160"/>
      <c r="J457" s="160"/>
      <c r="K457" s="160"/>
      <c r="L457" s="160"/>
      <c r="M457" s="160"/>
      <c r="N457" s="160"/>
      <c r="O457" s="160"/>
      <c r="P457" s="160"/>
      <c r="Q457" s="160"/>
      <c r="R457" s="160"/>
      <c r="S457" s="160"/>
      <c r="T457" s="160"/>
      <c r="U457" s="160"/>
      <c r="V457" s="160"/>
      <c r="W457" s="160"/>
      <c r="X457" s="160"/>
      <c r="Y457" s="160"/>
      <c r="Z457" s="160"/>
      <c r="AA457" s="160"/>
    </row>
    <row r="458" spans="1:27" ht="12.75" customHeight="1" x14ac:dyDescent="0.2">
      <c r="A458" s="160"/>
      <c r="B458" s="160"/>
      <c r="D458" s="160"/>
      <c r="F458" s="160"/>
      <c r="G458" s="160"/>
      <c r="H458" s="160"/>
      <c r="I458" s="160"/>
      <c r="J458" s="160"/>
      <c r="K458" s="160"/>
      <c r="L458" s="160"/>
      <c r="M458" s="160"/>
      <c r="N458" s="160"/>
      <c r="O458" s="160"/>
      <c r="P458" s="160"/>
      <c r="Q458" s="160"/>
      <c r="R458" s="160"/>
      <c r="S458" s="160"/>
      <c r="T458" s="160"/>
      <c r="U458" s="160"/>
      <c r="V458" s="160"/>
      <c r="W458" s="160"/>
      <c r="X458" s="160"/>
      <c r="Y458" s="160"/>
      <c r="Z458" s="160"/>
      <c r="AA458" s="160"/>
    </row>
    <row r="459" spans="1:27" ht="12.75" customHeight="1" x14ac:dyDescent="0.2">
      <c r="A459" s="160"/>
      <c r="B459" s="160"/>
      <c r="D459" s="160"/>
      <c r="F459" s="160"/>
      <c r="G459" s="160"/>
      <c r="H459" s="160"/>
      <c r="I459" s="160"/>
      <c r="J459" s="160"/>
      <c r="K459" s="160"/>
      <c r="L459" s="160"/>
      <c r="M459" s="160"/>
      <c r="N459" s="160"/>
      <c r="O459" s="160"/>
      <c r="P459" s="160"/>
      <c r="Q459" s="160"/>
      <c r="R459" s="160"/>
      <c r="S459" s="160"/>
      <c r="T459" s="160"/>
      <c r="U459" s="160"/>
      <c r="V459" s="160"/>
      <c r="W459" s="160"/>
      <c r="X459" s="160"/>
      <c r="Y459" s="160"/>
      <c r="Z459" s="160"/>
      <c r="AA459" s="160"/>
    </row>
    <row r="460" spans="1:27" ht="12.75" customHeight="1" x14ac:dyDescent="0.2">
      <c r="A460" s="160"/>
      <c r="B460" s="160"/>
      <c r="D460" s="160"/>
      <c r="F460" s="160"/>
      <c r="G460" s="160"/>
      <c r="H460" s="160"/>
      <c r="I460" s="160"/>
      <c r="J460" s="160"/>
      <c r="K460" s="160"/>
      <c r="L460" s="160"/>
      <c r="M460" s="160"/>
      <c r="N460" s="160"/>
      <c r="O460" s="160"/>
      <c r="P460" s="160"/>
      <c r="Q460" s="160"/>
      <c r="R460" s="160"/>
      <c r="S460" s="160"/>
      <c r="T460" s="160"/>
      <c r="U460" s="160"/>
      <c r="V460" s="160"/>
      <c r="W460" s="160"/>
      <c r="X460" s="160"/>
      <c r="Y460" s="160"/>
      <c r="Z460" s="160"/>
      <c r="AA460" s="160"/>
    </row>
    <row r="461" spans="1:27" ht="12.75" customHeight="1" x14ac:dyDescent="0.2">
      <c r="A461" s="160"/>
      <c r="B461" s="160"/>
      <c r="D461" s="160"/>
      <c r="F461" s="160"/>
      <c r="G461" s="160"/>
      <c r="H461" s="160"/>
      <c r="I461" s="160"/>
      <c r="J461" s="160"/>
      <c r="K461" s="160"/>
      <c r="L461" s="160"/>
      <c r="M461" s="160"/>
      <c r="N461" s="160"/>
      <c r="O461" s="160"/>
      <c r="P461" s="160"/>
      <c r="Q461" s="160"/>
      <c r="R461" s="160"/>
      <c r="S461" s="160"/>
      <c r="T461" s="160"/>
      <c r="U461" s="160"/>
      <c r="V461" s="160"/>
      <c r="W461" s="160"/>
      <c r="X461" s="160"/>
      <c r="Y461" s="160"/>
      <c r="Z461" s="160"/>
      <c r="AA461" s="160"/>
    </row>
    <row r="462" spans="1:27" ht="12.75" customHeight="1" x14ac:dyDescent="0.2">
      <c r="A462" s="160"/>
      <c r="B462" s="160"/>
      <c r="D462" s="160"/>
      <c r="F462" s="160"/>
      <c r="G462" s="160"/>
      <c r="H462" s="160"/>
      <c r="I462" s="160"/>
      <c r="J462" s="160"/>
      <c r="K462" s="160"/>
      <c r="L462" s="160"/>
      <c r="M462" s="160"/>
      <c r="N462" s="160"/>
      <c r="O462" s="160"/>
      <c r="P462" s="160"/>
      <c r="Q462" s="160"/>
      <c r="R462" s="160"/>
      <c r="S462" s="160"/>
      <c r="T462" s="160"/>
      <c r="U462" s="160"/>
      <c r="V462" s="160"/>
      <c r="W462" s="160"/>
      <c r="X462" s="160"/>
      <c r="Y462" s="160"/>
      <c r="Z462" s="160"/>
      <c r="AA462" s="160"/>
    </row>
    <row r="463" spans="1:27" ht="12.75" customHeight="1" x14ac:dyDescent="0.2">
      <c r="A463" s="160"/>
      <c r="B463" s="160"/>
      <c r="D463" s="160"/>
      <c r="F463" s="160"/>
      <c r="G463" s="160"/>
      <c r="H463" s="160"/>
      <c r="I463" s="160"/>
      <c r="J463" s="160"/>
      <c r="K463" s="160"/>
      <c r="L463" s="160"/>
      <c r="M463" s="160"/>
      <c r="N463" s="160"/>
      <c r="O463" s="160"/>
      <c r="P463" s="160"/>
      <c r="Q463" s="160"/>
      <c r="R463" s="160"/>
      <c r="S463" s="160"/>
      <c r="T463" s="160"/>
      <c r="U463" s="160"/>
      <c r="V463" s="160"/>
      <c r="W463" s="160"/>
      <c r="X463" s="160"/>
      <c r="Y463" s="160"/>
      <c r="Z463" s="160"/>
      <c r="AA463" s="160"/>
    </row>
    <row r="464" spans="1:27" ht="12.75" customHeight="1" x14ac:dyDescent="0.2">
      <c r="A464" s="160"/>
      <c r="B464" s="160"/>
      <c r="D464" s="160"/>
      <c r="F464" s="160"/>
      <c r="G464" s="160"/>
      <c r="H464" s="160"/>
      <c r="I464" s="160"/>
      <c r="J464" s="160"/>
      <c r="K464" s="160"/>
      <c r="L464" s="160"/>
      <c r="M464" s="160"/>
      <c r="N464" s="160"/>
      <c r="O464" s="160"/>
      <c r="P464" s="160"/>
      <c r="Q464" s="160"/>
      <c r="R464" s="160"/>
      <c r="S464" s="160"/>
      <c r="T464" s="160"/>
      <c r="U464" s="160"/>
      <c r="V464" s="160"/>
      <c r="W464" s="160"/>
      <c r="X464" s="160"/>
      <c r="Y464" s="160"/>
      <c r="Z464" s="160"/>
      <c r="AA464" s="160"/>
    </row>
    <row r="465" spans="1:27" ht="12.75" customHeight="1" x14ac:dyDescent="0.2">
      <c r="A465" s="160"/>
      <c r="B465" s="160"/>
      <c r="D465" s="160"/>
      <c r="F465" s="160"/>
      <c r="G465" s="160"/>
      <c r="H465" s="160"/>
      <c r="I465" s="160"/>
      <c r="J465" s="160"/>
      <c r="K465" s="160"/>
      <c r="L465" s="160"/>
      <c r="M465" s="160"/>
      <c r="N465" s="160"/>
      <c r="O465" s="160"/>
      <c r="P465" s="160"/>
      <c r="Q465" s="160"/>
      <c r="R465" s="160"/>
      <c r="S465" s="160"/>
      <c r="T465" s="160"/>
      <c r="U465" s="160"/>
      <c r="V465" s="160"/>
      <c r="W465" s="160"/>
      <c r="X465" s="160"/>
      <c r="Y465" s="160"/>
      <c r="Z465" s="160"/>
      <c r="AA465" s="160"/>
    </row>
    <row r="466" spans="1:27" ht="12.75" customHeight="1" x14ac:dyDescent="0.2">
      <c r="A466" s="160"/>
      <c r="B466" s="160"/>
      <c r="D466" s="160"/>
      <c r="F466" s="160"/>
      <c r="G466" s="160"/>
      <c r="H466" s="160"/>
      <c r="I466" s="160"/>
      <c r="J466" s="160"/>
      <c r="K466" s="160"/>
      <c r="L466" s="160"/>
      <c r="M466" s="160"/>
      <c r="N466" s="160"/>
      <c r="O466" s="160"/>
      <c r="P466" s="160"/>
      <c r="Q466" s="160"/>
      <c r="R466" s="160"/>
      <c r="S466" s="160"/>
      <c r="T466" s="160"/>
      <c r="U466" s="160"/>
      <c r="V466" s="160"/>
      <c r="W466" s="160"/>
      <c r="X466" s="160"/>
      <c r="Y466" s="160"/>
      <c r="Z466" s="160"/>
      <c r="AA466" s="160"/>
    </row>
    <row r="467" spans="1:27" ht="12.75" customHeight="1" x14ac:dyDescent="0.2">
      <c r="A467" s="160"/>
      <c r="B467" s="160"/>
      <c r="D467" s="160"/>
      <c r="F467" s="160"/>
      <c r="G467" s="160"/>
      <c r="H467" s="160"/>
      <c r="I467" s="160"/>
      <c r="J467" s="160"/>
      <c r="K467" s="160"/>
      <c r="L467" s="160"/>
      <c r="M467" s="160"/>
      <c r="N467" s="160"/>
      <c r="O467" s="160"/>
      <c r="P467" s="160"/>
      <c r="Q467" s="160"/>
      <c r="R467" s="160"/>
      <c r="S467" s="160"/>
      <c r="T467" s="160"/>
      <c r="U467" s="160"/>
      <c r="V467" s="160"/>
      <c r="W467" s="160"/>
      <c r="X467" s="160"/>
      <c r="Y467" s="160"/>
      <c r="Z467" s="160"/>
      <c r="AA467" s="160"/>
    </row>
    <row r="468" spans="1:27" ht="12.75" customHeight="1" x14ac:dyDescent="0.2">
      <c r="A468" s="160"/>
      <c r="B468" s="160"/>
      <c r="D468" s="160"/>
      <c r="F468" s="160"/>
      <c r="G468" s="160"/>
      <c r="H468" s="160"/>
      <c r="I468" s="160"/>
      <c r="J468" s="160"/>
      <c r="K468" s="160"/>
      <c r="L468" s="160"/>
      <c r="M468" s="160"/>
      <c r="N468" s="160"/>
      <c r="O468" s="160"/>
      <c r="P468" s="160"/>
      <c r="Q468" s="160"/>
      <c r="R468" s="160"/>
      <c r="S468" s="160"/>
      <c r="T468" s="160"/>
      <c r="U468" s="160"/>
      <c r="V468" s="160"/>
      <c r="W468" s="160"/>
      <c r="X468" s="160"/>
      <c r="Y468" s="160"/>
      <c r="Z468" s="160"/>
      <c r="AA468" s="160"/>
    </row>
    <row r="469" spans="1:27" ht="12.75" customHeight="1" x14ac:dyDescent="0.2">
      <c r="A469" s="160"/>
      <c r="B469" s="160"/>
      <c r="D469" s="160"/>
      <c r="F469" s="160"/>
      <c r="G469" s="160"/>
      <c r="H469" s="160"/>
      <c r="I469" s="160"/>
      <c r="J469" s="160"/>
      <c r="K469" s="160"/>
      <c r="L469" s="160"/>
      <c r="M469" s="160"/>
      <c r="N469" s="160"/>
      <c r="O469" s="160"/>
      <c r="P469" s="160"/>
      <c r="Q469" s="160"/>
      <c r="R469" s="160"/>
      <c r="S469" s="160"/>
      <c r="T469" s="160"/>
      <c r="U469" s="160"/>
      <c r="V469" s="160"/>
      <c r="W469" s="160"/>
      <c r="X469" s="160"/>
      <c r="Y469" s="160"/>
      <c r="Z469" s="160"/>
      <c r="AA469" s="160"/>
    </row>
    <row r="470" spans="1:27" ht="12.75" customHeight="1" x14ac:dyDescent="0.2">
      <c r="A470" s="160"/>
      <c r="B470" s="160"/>
      <c r="D470" s="160"/>
      <c r="F470" s="160"/>
      <c r="G470" s="160"/>
      <c r="H470" s="160"/>
      <c r="I470" s="160"/>
      <c r="J470" s="160"/>
      <c r="K470" s="160"/>
      <c r="L470" s="160"/>
      <c r="M470" s="160"/>
      <c r="N470" s="160"/>
      <c r="O470" s="160"/>
      <c r="P470" s="160"/>
      <c r="Q470" s="160"/>
      <c r="R470" s="160"/>
      <c r="S470" s="160"/>
      <c r="T470" s="160"/>
      <c r="U470" s="160"/>
      <c r="V470" s="160"/>
      <c r="W470" s="160"/>
      <c r="X470" s="160"/>
      <c r="Y470" s="160"/>
      <c r="Z470" s="160"/>
      <c r="AA470" s="160"/>
    </row>
    <row r="471" spans="1:27" ht="12.75" customHeight="1" x14ac:dyDescent="0.2">
      <c r="A471" s="160"/>
      <c r="B471" s="160"/>
      <c r="D471" s="160"/>
      <c r="F471" s="160"/>
      <c r="G471" s="160"/>
      <c r="H471" s="160"/>
      <c r="I471" s="160"/>
      <c r="J471" s="160"/>
      <c r="K471" s="160"/>
      <c r="L471" s="160"/>
      <c r="M471" s="160"/>
      <c r="N471" s="160"/>
      <c r="O471" s="160"/>
      <c r="P471" s="160"/>
      <c r="Q471" s="160"/>
      <c r="R471" s="160"/>
      <c r="S471" s="160"/>
      <c r="T471" s="160"/>
      <c r="U471" s="160"/>
      <c r="V471" s="160"/>
      <c r="W471" s="160"/>
      <c r="X471" s="160"/>
      <c r="Y471" s="160"/>
      <c r="Z471" s="160"/>
      <c r="AA471" s="160"/>
    </row>
    <row r="472" spans="1:27" ht="12.75" customHeight="1" x14ac:dyDescent="0.2">
      <c r="A472" s="160"/>
      <c r="B472" s="160"/>
      <c r="D472" s="160"/>
      <c r="F472" s="160"/>
      <c r="G472" s="160"/>
      <c r="H472" s="160"/>
      <c r="I472" s="160"/>
      <c r="J472" s="160"/>
      <c r="K472" s="160"/>
      <c r="L472" s="160"/>
      <c r="M472" s="160"/>
      <c r="N472" s="160"/>
      <c r="O472" s="160"/>
      <c r="P472" s="160"/>
      <c r="Q472" s="160"/>
      <c r="R472" s="160"/>
      <c r="S472" s="160"/>
      <c r="T472" s="160"/>
      <c r="U472" s="160"/>
      <c r="V472" s="160"/>
      <c r="W472" s="160"/>
      <c r="X472" s="160"/>
      <c r="Y472" s="160"/>
      <c r="Z472" s="160"/>
      <c r="AA472" s="160"/>
    </row>
    <row r="473" spans="1:27" ht="12.75" customHeight="1" x14ac:dyDescent="0.2">
      <c r="A473" s="160"/>
      <c r="B473" s="160"/>
      <c r="D473" s="160"/>
      <c r="F473" s="160"/>
      <c r="G473" s="160"/>
      <c r="H473" s="160"/>
      <c r="I473" s="160"/>
      <c r="J473" s="160"/>
      <c r="K473" s="160"/>
      <c r="L473" s="160"/>
      <c r="M473" s="160"/>
      <c r="N473" s="160"/>
      <c r="O473" s="160"/>
      <c r="P473" s="160"/>
      <c r="Q473" s="160"/>
      <c r="R473" s="160"/>
      <c r="S473" s="160"/>
      <c r="T473" s="160"/>
      <c r="U473" s="160"/>
      <c r="V473" s="160"/>
      <c r="W473" s="160"/>
      <c r="X473" s="160"/>
      <c r="Y473" s="160"/>
      <c r="Z473" s="160"/>
      <c r="AA473" s="160"/>
    </row>
    <row r="474" spans="1:27" ht="12.75" customHeight="1" x14ac:dyDescent="0.2">
      <c r="A474" s="160"/>
      <c r="B474" s="160"/>
      <c r="D474" s="160"/>
      <c r="F474" s="160"/>
      <c r="G474" s="160"/>
      <c r="H474" s="160"/>
      <c r="I474" s="160"/>
      <c r="J474" s="160"/>
      <c r="K474" s="160"/>
      <c r="L474" s="160"/>
      <c r="M474" s="160"/>
      <c r="N474" s="160"/>
      <c r="O474" s="160"/>
      <c r="P474" s="160"/>
      <c r="Q474" s="160"/>
      <c r="R474" s="160"/>
      <c r="S474" s="160"/>
      <c r="T474" s="160"/>
      <c r="U474" s="160"/>
      <c r="V474" s="160"/>
      <c r="W474" s="160"/>
      <c r="X474" s="160"/>
      <c r="Y474" s="160"/>
      <c r="Z474" s="160"/>
      <c r="AA474" s="160"/>
    </row>
    <row r="475" spans="1:27" ht="12.75" customHeight="1" x14ac:dyDescent="0.2">
      <c r="A475" s="160"/>
      <c r="B475" s="160"/>
      <c r="D475" s="160"/>
      <c r="F475" s="160"/>
      <c r="G475" s="160"/>
      <c r="H475" s="160"/>
      <c r="I475" s="160"/>
      <c r="J475" s="160"/>
      <c r="K475" s="160"/>
      <c r="L475" s="160"/>
      <c r="M475" s="160"/>
      <c r="N475" s="160"/>
      <c r="O475" s="160"/>
      <c r="P475" s="160"/>
      <c r="Q475" s="160"/>
      <c r="R475" s="160"/>
      <c r="S475" s="160"/>
      <c r="T475" s="160"/>
      <c r="U475" s="160"/>
      <c r="V475" s="160"/>
      <c r="W475" s="160"/>
      <c r="X475" s="160"/>
      <c r="Y475" s="160"/>
      <c r="Z475" s="160"/>
      <c r="AA475" s="160"/>
    </row>
    <row r="476" spans="1:27" ht="12.75" customHeight="1" x14ac:dyDescent="0.2">
      <c r="A476" s="160"/>
      <c r="B476" s="160"/>
      <c r="D476" s="160"/>
      <c r="F476" s="160"/>
      <c r="G476" s="160"/>
      <c r="H476" s="160"/>
      <c r="I476" s="160"/>
      <c r="J476" s="160"/>
      <c r="K476" s="160"/>
      <c r="L476" s="160"/>
      <c r="M476" s="160"/>
      <c r="N476" s="160"/>
      <c r="O476" s="160"/>
      <c r="P476" s="160"/>
      <c r="Q476" s="160"/>
      <c r="R476" s="160"/>
      <c r="S476" s="160"/>
      <c r="T476" s="160"/>
      <c r="U476" s="160"/>
      <c r="V476" s="160"/>
      <c r="W476" s="160"/>
      <c r="X476" s="160"/>
      <c r="Y476" s="160"/>
      <c r="Z476" s="160"/>
      <c r="AA476" s="160"/>
    </row>
    <row r="477" spans="1:27" ht="12.75" customHeight="1" x14ac:dyDescent="0.2">
      <c r="A477" s="160"/>
      <c r="B477" s="160"/>
      <c r="D477" s="160"/>
      <c r="F477" s="160"/>
      <c r="G477" s="160"/>
      <c r="H477" s="160"/>
      <c r="I477" s="160"/>
      <c r="J477" s="160"/>
      <c r="K477" s="160"/>
      <c r="L477" s="160"/>
      <c r="M477" s="160"/>
      <c r="N477" s="160"/>
      <c r="O477" s="160"/>
      <c r="P477" s="160"/>
      <c r="Q477" s="160"/>
      <c r="R477" s="160"/>
      <c r="S477" s="160"/>
      <c r="T477" s="160"/>
      <c r="U477" s="160"/>
      <c r="V477" s="160"/>
      <c r="W477" s="160"/>
      <c r="X477" s="160"/>
      <c r="Y477" s="160"/>
      <c r="Z477" s="160"/>
      <c r="AA477" s="160"/>
    </row>
    <row r="478" spans="1:27" ht="12.75" customHeight="1" x14ac:dyDescent="0.2">
      <c r="A478" s="160"/>
      <c r="B478" s="160"/>
      <c r="D478" s="160"/>
      <c r="F478" s="160"/>
      <c r="G478" s="160"/>
      <c r="H478" s="160"/>
      <c r="I478" s="160"/>
      <c r="J478" s="160"/>
      <c r="K478" s="160"/>
      <c r="L478" s="160"/>
      <c r="M478" s="160"/>
      <c r="N478" s="160"/>
      <c r="O478" s="160"/>
      <c r="P478" s="160"/>
      <c r="Q478" s="160"/>
      <c r="R478" s="160"/>
      <c r="S478" s="160"/>
      <c r="T478" s="160"/>
      <c r="U478" s="160"/>
      <c r="V478" s="160"/>
      <c r="W478" s="160"/>
      <c r="X478" s="160"/>
      <c r="Y478" s="160"/>
      <c r="Z478" s="160"/>
      <c r="AA478" s="160"/>
    </row>
    <row r="479" spans="1:27" ht="12.75" customHeight="1" x14ac:dyDescent="0.2">
      <c r="A479" s="160"/>
      <c r="B479" s="160"/>
      <c r="D479" s="160"/>
      <c r="F479" s="160"/>
      <c r="G479" s="160"/>
      <c r="H479" s="160"/>
      <c r="I479" s="160"/>
      <c r="J479" s="160"/>
      <c r="K479" s="160"/>
      <c r="L479" s="160"/>
      <c r="M479" s="160"/>
      <c r="N479" s="160"/>
      <c r="O479" s="160"/>
      <c r="P479" s="160"/>
      <c r="Q479" s="160"/>
      <c r="R479" s="160"/>
      <c r="S479" s="160"/>
      <c r="T479" s="160"/>
      <c r="U479" s="160"/>
      <c r="V479" s="160"/>
      <c r="W479" s="160"/>
      <c r="X479" s="160"/>
      <c r="Y479" s="160"/>
      <c r="Z479" s="160"/>
      <c r="AA479" s="160"/>
    </row>
    <row r="480" spans="1:27" ht="12.75" customHeight="1" x14ac:dyDescent="0.2">
      <c r="A480" s="160"/>
      <c r="B480" s="160"/>
      <c r="D480" s="160"/>
      <c r="F480" s="160"/>
      <c r="G480" s="160"/>
      <c r="H480" s="160"/>
      <c r="I480" s="160"/>
      <c r="J480" s="160"/>
      <c r="K480" s="160"/>
      <c r="L480" s="160"/>
      <c r="M480" s="160"/>
      <c r="N480" s="160"/>
      <c r="O480" s="160"/>
      <c r="P480" s="160"/>
      <c r="Q480" s="160"/>
      <c r="R480" s="160"/>
      <c r="S480" s="160"/>
      <c r="T480" s="160"/>
      <c r="U480" s="160"/>
      <c r="V480" s="160"/>
      <c r="W480" s="160"/>
      <c r="X480" s="160"/>
      <c r="Y480" s="160"/>
      <c r="Z480" s="160"/>
      <c r="AA480" s="160"/>
    </row>
    <row r="481" spans="1:27" ht="12.75" customHeight="1" x14ac:dyDescent="0.2">
      <c r="A481" s="160"/>
      <c r="B481" s="160"/>
      <c r="D481" s="160"/>
      <c r="F481" s="160"/>
      <c r="G481" s="160"/>
      <c r="H481" s="160"/>
      <c r="I481" s="160"/>
      <c r="J481" s="160"/>
      <c r="K481" s="160"/>
      <c r="L481" s="160"/>
      <c r="M481" s="160"/>
      <c r="N481" s="160"/>
      <c r="O481" s="160"/>
      <c r="P481" s="160"/>
      <c r="Q481" s="160"/>
      <c r="R481" s="160"/>
      <c r="S481" s="160"/>
      <c r="T481" s="160"/>
      <c r="U481" s="160"/>
      <c r="V481" s="160"/>
      <c r="W481" s="160"/>
      <c r="X481" s="160"/>
      <c r="Y481" s="160"/>
      <c r="Z481" s="160"/>
      <c r="AA481" s="160"/>
    </row>
    <row r="482" spans="1:27" ht="12.75" customHeight="1" x14ac:dyDescent="0.2">
      <c r="A482" s="160"/>
      <c r="B482" s="160"/>
      <c r="D482" s="160"/>
      <c r="F482" s="160"/>
      <c r="G482" s="160"/>
      <c r="H482" s="160"/>
      <c r="I482" s="160"/>
      <c r="J482" s="160"/>
      <c r="K482" s="160"/>
      <c r="L482" s="160"/>
      <c r="M482" s="160"/>
      <c r="N482" s="160"/>
      <c r="O482" s="160"/>
      <c r="P482" s="160"/>
      <c r="Q482" s="160"/>
      <c r="R482" s="160"/>
      <c r="S482" s="160"/>
      <c r="T482" s="160"/>
      <c r="U482" s="160"/>
      <c r="V482" s="160"/>
      <c r="W482" s="160"/>
      <c r="X482" s="160"/>
      <c r="Y482" s="160"/>
      <c r="Z482" s="160"/>
      <c r="AA482" s="160"/>
    </row>
    <row r="483" spans="1:27" ht="12.75" customHeight="1" x14ac:dyDescent="0.2">
      <c r="A483" s="160"/>
      <c r="B483" s="160"/>
      <c r="D483" s="160"/>
      <c r="F483" s="160"/>
      <c r="G483" s="160"/>
      <c r="H483" s="160"/>
      <c r="I483" s="160"/>
      <c r="J483" s="160"/>
      <c r="K483" s="160"/>
      <c r="L483" s="160"/>
      <c r="M483" s="160"/>
      <c r="N483" s="160"/>
      <c r="O483" s="160"/>
      <c r="P483" s="160"/>
      <c r="Q483" s="160"/>
      <c r="R483" s="160"/>
      <c r="S483" s="160"/>
      <c r="T483" s="160"/>
      <c r="U483" s="160"/>
      <c r="V483" s="160"/>
      <c r="W483" s="160"/>
      <c r="X483" s="160"/>
      <c r="Y483" s="160"/>
      <c r="Z483" s="160"/>
      <c r="AA483" s="160"/>
    </row>
    <row r="484" spans="1:27" ht="12.75" customHeight="1" x14ac:dyDescent="0.2">
      <c r="A484" s="160"/>
      <c r="B484" s="160"/>
      <c r="D484" s="160"/>
      <c r="F484" s="160"/>
      <c r="G484" s="160"/>
      <c r="H484" s="160"/>
      <c r="I484" s="160"/>
      <c r="J484" s="160"/>
      <c r="K484" s="160"/>
      <c r="L484" s="160"/>
      <c r="M484" s="160"/>
      <c r="N484" s="160"/>
      <c r="O484" s="160"/>
      <c r="P484" s="160"/>
      <c r="Q484" s="160"/>
      <c r="R484" s="160"/>
      <c r="S484" s="160"/>
      <c r="T484" s="160"/>
      <c r="U484" s="160"/>
      <c r="V484" s="160"/>
      <c r="W484" s="160"/>
      <c r="X484" s="160"/>
      <c r="Y484" s="160"/>
      <c r="Z484" s="160"/>
      <c r="AA484" s="160"/>
    </row>
    <row r="485" spans="1:27" ht="12.75" customHeight="1" x14ac:dyDescent="0.2">
      <c r="A485" s="160"/>
      <c r="B485" s="160"/>
      <c r="D485" s="160"/>
      <c r="F485" s="160"/>
      <c r="G485" s="160"/>
      <c r="H485" s="160"/>
      <c r="I485" s="160"/>
      <c r="J485" s="160"/>
      <c r="K485" s="160"/>
      <c r="L485" s="160"/>
      <c r="M485" s="160"/>
      <c r="N485" s="160"/>
      <c r="O485" s="160"/>
      <c r="P485" s="160"/>
      <c r="Q485" s="160"/>
      <c r="R485" s="160"/>
      <c r="S485" s="160"/>
      <c r="T485" s="160"/>
      <c r="U485" s="160"/>
      <c r="V485" s="160"/>
      <c r="W485" s="160"/>
      <c r="X485" s="160"/>
      <c r="Y485" s="160"/>
      <c r="Z485" s="160"/>
      <c r="AA485" s="160"/>
    </row>
    <row r="486" spans="1:27" ht="12.75" customHeight="1" x14ac:dyDescent="0.2">
      <c r="A486" s="160"/>
      <c r="B486" s="160"/>
      <c r="D486" s="160"/>
      <c r="F486" s="160"/>
      <c r="G486" s="160"/>
      <c r="H486" s="160"/>
      <c r="I486" s="160"/>
      <c r="J486" s="160"/>
      <c r="K486" s="160"/>
      <c r="L486" s="160"/>
      <c r="M486" s="160"/>
      <c r="N486" s="160"/>
      <c r="O486" s="160"/>
      <c r="P486" s="160"/>
      <c r="Q486" s="160"/>
      <c r="R486" s="160"/>
      <c r="S486" s="160"/>
      <c r="T486" s="160"/>
      <c r="U486" s="160"/>
      <c r="V486" s="160"/>
      <c r="W486" s="160"/>
      <c r="X486" s="160"/>
      <c r="Y486" s="160"/>
      <c r="Z486" s="160"/>
      <c r="AA486" s="160"/>
    </row>
    <row r="487" spans="1:27" ht="12.75" customHeight="1" x14ac:dyDescent="0.2">
      <c r="A487" s="160"/>
      <c r="B487" s="160"/>
      <c r="D487" s="160"/>
      <c r="F487" s="160"/>
      <c r="G487" s="160"/>
      <c r="H487" s="160"/>
      <c r="I487" s="160"/>
      <c r="J487" s="160"/>
      <c r="K487" s="160"/>
      <c r="L487" s="160"/>
      <c r="M487" s="160"/>
      <c r="N487" s="160"/>
      <c r="O487" s="160"/>
      <c r="P487" s="160"/>
      <c r="Q487" s="160"/>
      <c r="R487" s="160"/>
      <c r="S487" s="160"/>
      <c r="T487" s="160"/>
      <c r="U487" s="160"/>
      <c r="V487" s="160"/>
      <c r="W487" s="160"/>
      <c r="X487" s="160"/>
      <c r="Y487" s="160"/>
      <c r="Z487" s="160"/>
      <c r="AA487" s="160"/>
    </row>
    <row r="488" spans="1:27" ht="12.75" customHeight="1" x14ac:dyDescent="0.2">
      <c r="A488" s="160"/>
      <c r="B488" s="160"/>
      <c r="D488" s="160"/>
      <c r="F488" s="160"/>
      <c r="G488" s="160"/>
      <c r="H488" s="160"/>
      <c r="I488" s="160"/>
      <c r="J488" s="160"/>
      <c r="K488" s="160"/>
      <c r="L488" s="160"/>
      <c r="M488" s="160"/>
      <c r="N488" s="160"/>
      <c r="O488" s="160"/>
      <c r="P488" s="160"/>
      <c r="Q488" s="160"/>
      <c r="R488" s="160"/>
      <c r="S488" s="160"/>
      <c r="T488" s="160"/>
      <c r="U488" s="160"/>
      <c r="V488" s="160"/>
      <c r="W488" s="160"/>
      <c r="X488" s="160"/>
      <c r="Y488" s="160"/>
      <c r="Z488" s="160"/>
      <c r="AA488" s="160"/>
    </row>
    <row r="489" spans="1:27" ht="12.75" customHeight="1" x14ac:dyDescent="0.2">
      <c r="A489" s="160"/>
      <c r="B489" s="160"/>
      <c r="D489" s="160"/>
      <c r="F489" s="160"/>
      <c r="G489" s="160"/>
      <c r="H489" s="160"/>
      <c r="I489" s="160"/>
      <c r="J489" s="160"/>
      <c r="K489" s="160"/>
      <c r="L489" s="160"/>
      <c r="M489" s="160"/>
      <c r="N489" s="160"/>
      <c r="O489" s="160"/>
      <c r="P489" s="160"/>
      <c r="Q489" s="160"/>
      <c r="R489" s="160"/>
      <c r="S489" s="160"/>
      <c r="T489" s="160"/>
      <c r="U489" s="160"/>
      <c r="V489" s="160"/>
      <c r="W489" s="160"/>
      <c r="X489" s="160"/>
      <c r="Y489" s="160"/>
      <c r="Z489" s="160"/>
      <c r="AA489" s="160"/>
    </row>
    <row r="490" spans="1:27" ht="12.75" customHeight="1" x14ac:dyDescent="0.2">
      <c r="A490" s="160"/>
      <c r="B490" s="160"/>
      <c r="D490" s="160"/>
      <c r="F490" s="160"/>
      <c r="G490" s="160"/>
      <c r="H490" s="160"/>
      <c r="I490" s="160"/>
      <c r="J490" s="160"/>
      <c r="K490" s="160"/>
      <c r="L490" s="160"/>
      <c r="M490" s="160"/>
      <c r="N490" s="160"/>
      <c r="O490" s="160"/>
      <c r="P490" s="160"/>
      <c r="Q490" s="160"/>
      <c r="R490" s="160"/>
      <c r="S490" s="160"/>
      <c r="T490" s="160"/>
      <c r="U490" s="160"/>
      <c r="V490" s="160"/>
      <c r="W490" s="160"/>
      <c r="X490" s="160"/>
      <c r="Y490" s="160"/>
      <c r="Z490" s="160"/>
      <c r="AA490" s="160"/>
    </row>
    <row r="491" spans="1:27" ht="12.75" customHeight="1" x14ac:dyDescent="0.2">
      <c r="A491" s="160"/>
      <c r="B491" s="160"/>
      <c r="D491" s="160"/>
      <c r="F491" s="160"/>
      <c r="G491" s="160"/>
      <c r="H491" s="160"/>
      <c r="I491" s="160"/>
      <c r="J491" s="160"/>
      <c r="K491" s="160"/>
      <c r="L491" s="160"/>
      <c r="M491" s="160"/>
      <c r="N491" s="160"/>
      <c r="O491" s="160"/>
      <c r="P491" s="160"/>
      <c r="Q491" s="160"/>
      <c r="R491" s="160"/>
      <c r="S491" s="160"/>
      <c r="T491" s="160"/>
      <c r="U491" s="160"/>
      <c r="V491" s="160"/>
      <c r="W491" s="160"/>
      <c r="X491" s="160"/>
      <c r="Y491" s="160"/>
      <c r="Z491" s="160"/>
      <c r="AA491" s="160"/>
    </row>
    <row r="492" spans="1:27" ht="12.75" customHeight="1" x14ac:dyDescent="0.2">
      <c r="A492" s="160"/>
      <c r="B492" s="160"/>
      <c r="D492" s="160"/>
      <c r="F492" s="160"/>
      <c r="G492" s="160"/>
      <c r="H492" s="160"/>
      <c r="I492" s="160"/>
      <c r="J492" s="160"/>
      <c r="K492" s="160"/>
      <c r="L492" s="160"/>
      <c r="M492" s="160"/>
      <c r="N492" s="160"/>
      <c r="O492" s="160"/>
      <c r="P492" s="160"/>
      <c r="Q492" s="160"/>
      <c r="R492" s="160"/>
      <c r="S492" s="160"/>
      <c r="T492" s="160"/>
      <c r="U492" s="160"/>
      <c r="V492" s="160"/>
      <c r="W492" s="160"/>
      <c r="X492" s="160"/>
      <c r="Y492" s="160"/>
      <c r="Z492" s="160"/>
      <c r="AA492" s="160"/>
    </row>
    <row r="493" spans="1:27" ht="12.75" customHeight="1" x14ac:dyDescent="0.2">
      <c r="A493" s="160"/>
      <c r="B493" s="160"/>
      <c r="D493" s="160"/>
      <c r="F493" s="160"/>
      <c r="G493" s="160"/>
      <c r="H493" s="160"/>
      <c r="I493" s="160"/>
      <c r="J493" s="160"/>
      <c r="K493" s="160"/>
      <c r="L493" s="160"/>
      <c r="M493" s="160"/>
      <c r="N493" s="160"/>
      <c r="O493" s="160"/>
      <c r="P493" s="160"/>
      <c r="Q493" s="160"/>
      <c r="R493" s="160"/>
      <c r="S493" s="160"/>
      <c r="T493" s="160"/>
      <c r="U493" s="160"/>
      <c r="V493" s="160"/>
      <c r="W493" s="160"/>
      <c r="X493" s="160"/>
      <c r="Y493" s="160"/>
      <c r="Z493" s="160"/>
      <c r="AA493" s="160"/>
    </row>
    <row r="494" spans="1:27" ht="12.75" customHeight="1" x14ac:dyDescent="0.2">
      <c r="A494" s="160"/>
      <c r="B494" s="160"/>
      <c r="D494" s="160"/>
      <c r="F494" s="160"/>
      <c r="G494" s="160"/>
      <c r="H494" s="160"/>
      <c r="I494" s="160"/>
      <c r="J494" s="160"/>
      <c r="K494" s="160"/>
      <c r="L494" s="160"/>
      <c r="M494" s="160"/>
      <c r="N494" s="160"/>
      <c r="O494" s="160"/>
      <c r="P494" s="160"/>
      <c r="Q494" s="160"/>
      <c r="R494" s="160"/>
      <c r="S494" s="160"/>
      <c r="T494" s="160"/>
      <c r="U494" s="160"/>
      <c r="V494" s="160"/>
      <c r="W494" s="160"/>
      <c r="X494" s="160"/>
      <c r="Y494" s="160"/>
      <c r="Z494" s="160"/>
      <c r="AA494" s="160"/>
    </row>
    <row r="495" spans="1:27" ht="12.75" customHeight="1" x14ac:dyDescent="0.2">
      <c r="A495" s="160"/>
      <c r="B495" s="160"/>
      <c r="D495" s="160"/>
      <c r="F495" s="160"/>
      <c r="G495" s="160"/>
      <c r="H495" s="160"/>
      <c r="I495" s="160"/>
      <c r="J495" s="160"/>
      <c r="K495" s="160"/>
      <c r="L495" s="160"/>
      <c r="M495" s="160"/>
      <c r="N495" s="160"/>
      <c r="O495" s="160"/>
      <c r="P495" s="160"/>
      <c r="Q495" s="160"/>
      <c r="R495" s="160"/>
      <c r="S495" s="160"/>
      <c r="T495" s="160"/>
      <c r="U495" s="160"/>
      <c r="V495" s="160"/>
      <c r="W495" s="160"/>
      <c r="X495" s="160"/>
      <c r="Y495" s="160"/>
      <c r="Z495" s="160"/>
      <c r="AA495" s="160"/>
    </row>
    <row r="496" spans="1:27" ht="12.75" customHeight="1" x14ac:dyDescent="0.2">
      <c r="A496" s="160"/>
      <c r="B496" s="160"/>
      <c r="D496" s="160"/>
      <c r="F496" s="160"/>
      <c r="G496" s="160"/>
      <c r="H496" s="160"/>
      <c r="I496" s="160"/>
      <c r="J496" s="160"/>
      <c r="K496" s="160"/>
      <c r="L496" s="160"/>
      <c r="M496" s="160"/>
      <c r="N496" s="160"/>
      <c r="O496" s="160"/>
      <c r="P496" s="160"/>
      <c r="Q496" s="160"/>
      <c r="R496" s="160"/>
      <c r="S496" s="160"/>
      <c r="T496" s="160"/>
      <c r="U496" s="160"/>
      <c r="V496" s="160"/>
      <c r="W496" s="160"/>
      <c r="X496" s="160"/>
      <c r="Y496" s="160"/>
      <c r="Z496" s="160"/>
      <c r="AA496" s="160"/>
    </row>
    <row r="497" spans="1:27" ht="12.75" customHeight="1" x14ac:dyDescent="0.2">
      <c r="A497" s="160"/>
      <c r="B497" s="160"/>
      <c r="D497" s="160"/>
      <c r="F497" s="160"/>
      <c r="G497" s="160"/>
      <c r="H497" s="160"/>
      <c r="I497" s="160"/>
      <c r="J497" s="160"/>
      <c r="K497" s="160"/>
      <c r="L497" s="160"/>
      <c r="M497" s="160"/>
      <c r="N497" s="160"/>
      <c r="O497" s="160"/>
      <c r="P497" s="160"/>
      <c r="Q497" s="160"/>
      <c r="R497" s="160"/>
      <c r="S497" s="160"/>
      <c r="T497" s="160"/>
      <c r="U497" s="160"/>
      <c r="V497" s="160"/>
      <c r="W497" s="160"/>
      <c r="X497" s="160"/>
      <c r="Y497" s="160"/>
      <c r="Z497" s="160"/>
      <c r="AA497" s="160"/>
    </row>
    <row r="498" spans="1:27" ht="12.75" customHeight="1" x14ac:dyDescent="0.2">
      <c r="A498" s="160"/>
      <c r="B498" s="160"/>
      <c r="D498" s="160"/>
      <c r="F498" s="160"/>
      <c r="G498" s="160"/>
      <c r="H498" s="160"/>
      <c r="I498" s="160"/>
      <c r="J498" s="160"/>
      <c r="K498" s="160"/>
      <c r="L498" s="160"/>
      <c r="M498" s="160"/>
      <c r="N498" s="160"/>
      <c r="O498" s="160"/>
      <c r="P498" s="160"/>
      <c r="Q498" s="160"/>
      <c r="R498" s="160"/>
      <c r="S498" s="160"/>
      <c r="T498" s="160"/>
      <c r="U498" s="160"/>
      <c r="V498" s="160"/>
      <c r="W498" s="160"/>
      <c r="X498" s="160"/>
      <c r="Y498" s="160"/>
      <c r="Z498" s="160"/>
      <c r="AA498" s="160"/>
    </row>
    <row r="499" spans="1:27" ht="12.75" customHeight="1" x14ac:dyDescent="0.2">
      <c r="A499" s="160"/>
      <c r="B499" s="160"/>
      <c r="D499" s="160"/>
      <c r="F499" s="160"/>
      <c r="G499" s="160"/>
      <c r="H499" s="160"/>
      <c r="I499" s="160"/>
      <c r="J499" s="160"/>
      <c r="K499" s="160"/>
      <c r="L499" s="160"/>
      <c r="M499" s="160"/>
      <c r="N499" s="160"/>
      <c r="O499" s="160"/>
      <c r="P499" s="160"/>
      <c r="Q499" s="160"/>
      <c r="R499" s="160"/>
      <c r="S499" s="160"/>
      <c r="T499" s="160"/>
      <c r="U499" s="160"/>
      <c r="V499" s="160"/>
      <c r="W499" s="160"/>
      <c r="X499" s="160"/>
      <c r="Y499" s="160"/>
      <c r="Z499" s="160"/>
      <c r="AA499" s="160"/>
    </row>
    <row r="500" spans="1:27" ht="12.75" customHeight="1" x14ac:dyDescent="0.2">
      <c r="A500" s="160"/>
      <c r="B500" s="160"/>
      <c r="D500" s="160"/>
      <c r="F500" s="160"/>
      <c r="G500" s="160"/>
      <c r="H500" s="160"/>
      <c r="I500" s="160"/>
      <c r="J500" s="160"/>
      <c r="K500" s="160"/>
      <c r="L500" s="160"/>
      <c r="M500" s="160"/>
      <c r="N500" s="160"/>
      <c r="O500" s="160"/>
      <c r="P500" s="160"/>
      <c r="Q500" s="160"/>
      <c r="R500" s="160"/>
      <c r="S500" s="160"/>
      <c r="T500" s="160"/>
      <c r="U500" s="160"/>
      <c r="V500" s="160"/>
      <c r="W500" s="160"/>
      <c r="X500" s="160"/>
      <c r="Y500" s="160"/>
      <c r="Z500" s="160"/>
      <c r="AA500" s="160"/>
    </row>
    <row r="501" spans="1:27" ht="12.75" customHeight="1" x14ac:dyDescent="0.2">
      <c r="A501" s="160"/>
      <c r="B501" s="160"/>
      <c r="D501" s="160"/>
      <c r="F501" s="160"/>
      <c r="G501" s="160"/>
      <c r="H501" s="160"/>
      <c r="I501" s="160"/>
      <c r="J501" s="160"/>
      <c r="K501" s="160"/>
      <c r="L501" s="160"/>
      <c r="M501" s="160"/>
      <c r="N501" s="160"/>
      <c r="O501" s="160"/>
      <c r="P501" s="160"/>
      <c r="Q501" s="160"/>
      <c r="R501" s="160"/>
      <c r="S501" s="160"/>
      <c r="T501" s="160"/>
      <c r="U501" s="160"/>
      <c r="V501" s="160"/>
      <c r="W501" s="160"/>
      <c r="X501" s="160"/>
      <c r="Y501" s="160"/>
      <c r="Z501" s="160"/>
      <c r="AA501" s="160"/>
    </row>
    <row r="502" spans="1:27" ht="12.75" customHeight="1" x14ac:dyDescent="0.2">
      <c r="A502" s="160"/>
      <c r="B502" s="160"/>
      <c r="D502" s="160"/>
      <c r="F502" s="160"/>
      <c r="G502" s="160"/>
      <c r="H502" s="160"/>
      <c r="I502" s="160"/>
      <c r="J502" s="160"/>
      <c r="K502" s="160"/>
      <c r="L502" s="160"/>
      <c r="M502" s="160"/>
      <c r="N502" s="160"/>
      <c r="O502" s="160"/>
      <c r="P502" s="160"/>
      <c r="Q502" s="160"/>
      <c r="R502" s="160"/>
      <c r="S502" s="160"/>
      <c r="T502" s="160"/>
      <c r="U502" s="160"/>
      <c r="V502" s="160"/>
      <c r="W502" s="160"/>
      <c r="X502" s="160"/>
      <c r="Y502" s="160"/>
      <c r="Z502" s="160"/>
      <c r="AA502" s="160"/>
    </row>
    <row r="503" spans="1:27" ht="12.75" customHeight="1" x14ac:dyDescent="0.2">
      <c r="A503" s="160"/>
      <c r="B503" s="160"/>
      <c r="D503" s="160"/>
      <c r="F503" s="160"/>
      <c r="G503" s="160"/>
      <c r="H503" s="160"/>
      <c r="I503" s="160"/>
      <c r="J503" s="160"/>
      <c r="K503" s="160"/>
      <c r="L503" s="160"/>
      <c r="M503" s="160"/>
      <c r="N503" s="160"/>
      <c r="O503" s="160"/>
      <c r="P503" s="160"/>
      <c r="Q503" s="160"/>
      <c r="R503" s="160"/>
      <c r="S503" s="160"/>
      <c r="T503" s="160"/>
      <c r="U503" s="160"/>
      <c r="V503" s="160"/>
      <c r="W503" s="160"/>
      <c r="X503" s="160"/>
      <c r="Y503" s="160"/>
      <c r="Z503" s="160"/>
      <c r="AA503" s="160"/>
    </row>
    <row r="504" spans="1:27" ht="12.75" customHeight="1" x14ac:dyDescent="0.2">
      <c r="A504" s="160"/>
      <c r="B504" s="160"/>
      <c r="D504" s="160"/>
      <c r="F504" s="160"/>
      <c r="G504" s="160"/>
      <c r="H504" s="160"/>
      <c r="I504" s="160"/>
      <c r="J504" s="160"/>
      <c r="K504" s="160"/>
      <c r="L504" s="160"/>
      <c r="M504" s="160"/>
      <c r="N504" s="160"/>
      <c r="O504" s="160"/>
      <c r="P504" s="160"/>
      <c r="Q504" s="160"/>
      <c r="R504" s="160"/>
      <c r="S504" s="160"/>
      <c r="T504" s="160"/>
      <c r="U504" s="160"/>
      <c r="V504" s="160"/>
      <c r="W504" s="160"/>
      <c r="X504" s="160"/>
      <c r="Y504" s="160"/>
      <c r="Z504" s="160"/>
      <c r="AA504" s="160"/>
    </row>
    <row r="505" spans="1:27" ht="12.75" customHeight="1" x14ac:dyDescent="0.2">
      <c r="A505" s="160"/>
      <c r="B505" s="160"/>
      <c r="D505" s="160"/>
      <c r="F505" s="160"/>
      <c r="G505" s="160"/>
      <c r="H505" s="160"/>
      <c r="I505" s="160"/>
      <c r="J505" s="160"/>
      <c r="K505" s="160"/>
      <c r="L505" s="160"/>
      <c r="M505" s="160"/>
      <c r="N505" s="160"/>
      <c r="O505" s="160"/>
      <c r="P505" s="160"/>
      <c r="Q505" s="160"/>
      <c r="R505" s="160"/>
      <c r="S505" s="160"/>
      <c r="T505" s="160"/>
      <c r="U505" s="160"/>
      <c r="V505" s="160"/>
      <c r="W505" s="160"/>
      <c r="X505" s="160"/>
      <c r="Y505" s="160"/>
      <c r="Z505" s="160"/>
      <c r="AA505" s="160"/>
    </row>
    <row r="506" spans="1:27" ht="12.75" customHeight="1" x14ac:dyDescent="0.2">
      <c r="A506" s="160"/>
      <c r="B506" s="160"/>
      <c r="D506" s="160"/>
      <c r="F506" s="160"/>
      <c r="G506" s="160"/>
      <c r="H506" s="160"/>
      <c r="I506" s="160"/>
      <c r="J506" s="160"/>
      <c r="K506" s="160"/>
      <c r="L506" s="160"/>
      <c r="M506" s="160"/>
      <c r="N506" s="160"/>
      <c r="O506" s="160"/>
      <c r="P506" s="160"/>
      <c r="Q506" s="160"/>
      <c r="R506" s="160"/>
      <c r="S506" s="160"/>
      <c r="T506" s="160"/>
      <c r="U506" s="160"/>
      <c r="V506" s="160"/>
      <c r="W506" s="160"/>
      <c r="X506" s="160"/>
      <c r="Y506" s="160"/>
      <c r="Z506" s="160"/>
      <c r="AA506" s="160"/>
    </row>
    <row r="507" spans="1:27" ht="12.75" customHeight="1" x14ac:dyDescent="0.2">
      <c r="A507" s="160"/>
      <c r="B507" s="160"/>
      <c r="D507" s="160"/>
      <c r="F507" s="160"/>
      <c r="G507" s="160"/>
      <c r="H507" s="160"/>
      <c r="I507" s="160"/>
      <c r="J507" s="160"/>
      <c r="K507" s="160"/>
      <c r="L507" s="160"/>
      <c r="M507" s="160"/>
      <c r="N507" s="160"/>
      <c r="O507" s="160"/>
      <c r="P507" s="160"/>
      <c r="Q507" s="160"/>
      <c r="R507" s="160"/>
      <c r="S507" s="160"/>
      <c r="T507" s="160"/>
      <c r="U507" s="160"/>
      <c r="V507" s="160"/>
      <c r="W507" s="160"/>
      <c r="X507" s="160"/>
      <c r="Y507" s="160"/>
      <c r="Z507" s="160"/>
      <c r="AA507" s="160"/>
    </row>
    <row r="508" spans="1:27" ht="12.75" customHeight="1" x14ac:dyDescent="0.2">
      <c r="A508" s="160"/>
      <c r="B508" s="160"/>
      <c r="D508" s="160"/>
      <c r="F508" s="160"/>
      <c r="G508" s="160"/>
      <c r="H508" s="160"/>
      <c r="I508" s="160"/>
      <c r="J508" s="160"/>
      <c r="K508" s="160"/>
      <c r="L508" s="160"/>
      <c r="M508" s="160"/>
      <c r="N508" s="160"/>
      <c r="O508" s="160"/>
      <c r="P508" s="160"/>
      <c r="Q508" s="160"/>
      <c r="R508" s="160"/>
      <c r="S508" s="160"/>
      <c r="T508" s="160"/>
      <c r="U508" s="160"/>
      <c r="V508" s="160"/>
      <c r="W508" s="160"/>
      <c r="X508" s="160"/>
      <c r="Y508" s="160"/>
      <c r="Z508" s="160"/>
      <c r="AA508" s="160"/>
    </row>
    <row r="509" spans="1:27" ht="12.75" customHeight="1" x14ac:dyDescent="0.2">
      <c r="A509" s="160"/>
      <c r="B509" s="160"/>
      <c r="D509" s="160"/>
      <c r="F509" s="160"/>
      <c r="G509" s="160"/>
      <c r="H509" s="160"/>
      <c r="I509" s="160"/>
      <c r="J509" s="160"/>
      <c r="K509" s="160"/>
      <c r="L509" s="160"/>
      <c r="M509" s="160"/>
      <c r="N509" s="160"/>
      <c r="O509" s="160"/>
      <c r="P509" s="160"/>
      <c r="Q509" s="160"/>
      <c r="R509" s="160"/>
      <c r="S509" s="160"/>
      <c r="T509" s="160"/>
      <c r="U509" s="160"/>
      <c r="V509" s="160"/>
      <c r="W509" s="160"/>
      <c r="X509" s="160"/>
      <c r="Y509" s="160"/>
      <c r="Z509" s="160"/>
      <c r="AA509" s="160"/>
    </row>
    <row r="510" spans="1:27" ht="12.75" customHeight="1" x14ac:dyDescent="0.2">
      <c r="A510" s="160"/>
      <c r="B510" s="160"/>
      <c r="D510" s="160"/>
      <c r="F510" s="160"/>
      <c r="G510" s="160"/>
      <c r="H510" s="160"/>
      <c r="I510" s="160"/>
      <c r="J510" s="160"/>
      <c r="K510" s="160"/>
      <c r="L510" s="160"/>
      <c r="M510" s="160"/>
      <c r="N510" s="160"/>
      <c r="O510" s="160"/>
      <c r="P510" s="160"/>
      <c r="Q510" s="160"/>
      <c r="R510" s="160"/>
      <c r="S510" s="160"/>
      <c r="T510" s="160"/>
      <c r="U510" s="160"/>
      <c r="V510" s="160"/>
      <c r="W510" s="160"/>
      <c r="X510" s="160"/>
      <c r="Y510" s="160"/>
      <c r="Z510" s="160"/>
      <c r="AA510" s="160"/>
    </row>
    <row r="511" spans="1:27" ht="12.75" customHeight="1" x14ac:dyDescent="0.2">
      <c r="A511" s="160"/>
      <c r="B511" s="160"/>
      <c r="D511" s="160"/>
      <c r="F511" s="160"/>
      <c r="G511" s="160"/>
      <c r="H511" s="160"/>
      <c r="I511" s="160"/>
      <c r="J511" s="160"/>
      <c r="K511" s="160"/>
      <c r="L511" s="160"/>
      <c r="M511" s="160"/>
      <c r="N511" s="160"/>
      <c r="O511" s="160"/>
      <c r="P511" s="160"/>
      <c r="Q511" s="160"/>
      <c r="R511" s="160"/>
      <c r="S511" s="160"/>
      <c r="T511" s="160"/>
      <c r="U511" s="160"/>
      <c r="V511" s="160"/>
      <c r="W511" s="160"/>
      <c r="X511" s="160"/>
      <c r="Y511" s="160"/>
      <c r="Z511" s="160"/>
      <c r="AA511" s="160"/>
    </row>
    <row r="512" spans="1:27" ht="12.75" customHeight="1" x14ac:dyDescent="0.2">
      <c r="A512" s="160"/>
      <c r="B512" s="160"/>
      <c r="D512" s="160"/>
      <c r="F512" s="160"/>
      <c r="G512" s="160"/>
      <c r="H512" s="160"/>
      <c r="I512" s="160"/>
      <c r="J512" s="160"/>
      <c r="K512" s="160"/>
      <c r="L512" s="160"/>
      <c r="M512" s="160"/>
      <c r="N512" s="160"/>
      <c r="O512" s="160"/>
      <c r="P512" s="160"/>
      <c r="Q512" s="160"/>
      <c r="R512" s="160"/>
      <c r="S512" s="160"/>
      <c r="T512" s="160"/>
      <c r="U512" s="160"/>
      <c r="V512" s="160"/>
      <c r="W512" s="160"/>
      <c r="X512" s="160"/>
      <c r="Y512" s="160"/>
      <c r="Z512" s="160"/>
      <c r="AA512" s="160"/>
    </row>
    <row r="513" spans="1:27" ht="12.75" customHeight="1" x14ac:dyDescent="0.2">
      <c r="A513" s="160"/>
      <c r="B513" s="160"/>
      <c r="D513" s="160"/>
      <c r="F513" s="160"/>
      <c r="G513" s="160"/>
      <c r="H513" s="160"/>
      <c r="I513" s="160"/>
      <c r="J513" s="160"/>
      <c r="K513" s="160"/>
      <c r="L513" s="160"/>
      <c r="M513" s="160"/>
      <c r="N513" s="160"/>
      <c r="O513" s="160"/>
      <c r="P513" s="160"/>
      <c r="Q513" s="160"/>
      <c r="R513" s="160"/>
      <c r="S513" s="160"/>
      <c r="T513" s="160"/>
      <c r="U513" s="160"/>
      <c r="V513" s="160"/>
      <c r="W513" s="160"/>
      <c r="X513" s="160"/>
      <c r="Y513" s="160"/>
      <c r="Z513" s="160"/>
      <c r="AA513" s="160"/>
    </row>
    <row r="514" spans="1:27" ht="12.75" customHeight="1" x14ac:dyDescent="0.2">
      <c r="A514" s="160"/>
      <c r="B514" s="160"/>
      <c r="D514" s="160"/>
      <c r="F514" s="160"/>
      <c r="G514" s="160"/>
      <c r="H514" s="160"/>
      <c r="I514" s="160"/>
      <c r="J514" s="160"/>
      <c r="K514" s="160"/>
      <c r="L514" s="160"/>
      <c r="M514" s="160"/>
      <c r="N514" s="160"/>
      <c r="O514" s="160"/>
      <c r="P514" s="160"/>
      <c r="Q514" s="160"/>
      <c r="R514" s="160"/>
      <c r="S514" s="160"/>
      <c r="T514" s="160"/>
      <c r="U514" s="160"/>
      <c r="V514" s="160"/>
      <c r="W514" s="160"/>
      <c r="X514" s="160"/>
      <c r="Y514" s="160"/>
      <c r="Z514" s="160"/>
      <c r="AA514" s="160"/>
    </row>
    <row r="515" spans="1:27" ht="12.75" customHeight="1" x14ac:dyDescent="0.2">
      <c r="A515" s="160"/>
      <c r="B515" s="160"/>
      <c r="D515" s="160"/>
      <c r="F515" s="160"/>
      <c r="G515" s="160"/>
      <c r="H515" s="160"/>
      <c r="I515" s="160"/>
      <c r="J515" s="160"/>
      <c r="K515" s="160"/>
      <c r="L515" s="160"/>
      <c r="M515" s="160"/>
      <c r="N515" s="160"/>
      <c r="O515" s="160"/>
      <c r="P515" s="160"/>
      <c r="Q515" s="160"/>
      <c r="R515" s="160"/>
      <c r="S515" s="160"/>
      <c r="T515" s="160"/>
      <c r="U515" s="160"/>
      <c r="V515" s="160"/>
      <c r="W515" s="160"/>
      <c r="X515" s="160"/>
      <c r="Y515" s="160"/>
      <c r="Z515" s="160"/>
      <c r="AA515" s="160"/>
    </row>
    <row r="516" spans="1:27" ht="12.75" customHeight="1" x14ac:dyDescent="0.2">
      <c r="A516" s="160"/>
      <c r="B516" s="160"/>
      <c r="D516" s="160"/>
      <c r="F516" s="160"/>
      <c r="G516" s="160"/>
      <c r="H516" s="160"/>
      <c r="I516" s="160"/>
      <c r="J516" s="160"/>
      <c r="K516" s="160"/>
      <c r="L516" s="160"/>
      <c r="M516" s="160"/>
      <c r="N516" s="160"/>
      <c r="O516" s="160"/>
      <c r="P516" s="160"/>
      <c r="Q516" s="160"/>
      <c r="R516" s="160"/>
      <c r="S516" s="160"/>
      <c r="T516" s="160"/>
      <c r="U516" s="160"/>
      <c r="V516" s="160"/>
      <c r="W516" s="160"/>
      <c r="X516" s="160"/>
      <c r="Y516" s="160"/>
      <c r="Z516" s="160"/>
      <c r="AA516" s="160"/>
    </row>
    <row r="517" spans="1:27" ht="12.75" customHeight="1" x14ac:dyDescent="0.2">
      <c r="A517" s="160"/>
      <c r="B517" s="160"/>
      <c r="D517" s="160"/>
      <c r="F517" s="160"/>
      <c r="G517" s="160"/>
      <c r="H517" s="160"/>
      <c r="I517" s="160"/>
      <c r="J517" s="160"/>
      <c r="K517" s="160"/>
      <c r="L517" s="160"/>
      <c r="M517" s="160"/>
      <c r="N517" s="160"/>
      <c r="O517" s="160"/>
      <c r="P517" s="160"/>
      <c r="Q517" s="160"/>
      <c r="R517" s="160"/>
      <c r="S517" s="160"/>
      <c r="T517" s="160"/>
      <c r="U517" s="160"/>
      <c r="V517" s="160"/>
      <c r="W517" s="160"/>
      <c r="X517" s="160"/>
      <c r="Y517" s="160"/>
      <c r="Z517" s="160"/>
      <c r="AA517" s="160"/>
    </row>
    <row r="518" spans="1:27" ht="12.75" customHeight="1" x14ac:dyDescent="0.2">
      <c r="A518" s="160"/>
      <c r="B518" s="160"/>
      <c r="D518" s="160"/>
      <c r="F518" s="160"/>
      <c r="G518" s="160"/>
      <c r="H518" s="160"/>
      <c r="I518" s="160"/>
      <c r="J518" s="160"/>
      <c r="K518" s="160"/>
      <c r="L518" s="160"/>
      <c r="M518" s="160"/>
      <c r="N518" s="160"/>
      <c r="O518" s="160"/>
      <c r="P518" s="160"/>
      <c r="Q518" s="160"/>
      <c r="R518" s="160"/>
      <c r="S518" s="160"/>
      <c r="T518" s="160"/>
      <c r="U518" s="160"/>
      <c r="V518" s="160"/>
      <c r="W518" s="160"/>
      <c r="X518" s="160"/>
      <c r="Y518" s="160"/>
      <c r="Z518" s="160"/>
      <c r="AA518" s="160"/>
    </row>
    <row r="519" spans="1:27" ht="12.75" customHeight="1" x14ac:dyDescent="0.2">
      <c r="A519" s="160"/>
      <c r="B519" s="160"/>
      <c r="D519" s="160"/>
      <c r="F519" s="160"/>
      <c r="G519" s="160"/>
      <c r="H519" s="160"/>
      <c r="I519" s="160"/>
      <c r="J519" s="160"/>
      <c r="K519" s="160"/>
      <c r="L519" s="160"/>
      <c r="M519" s="160"/>
      <c r="N519" s="160"/>
      <c r="O519" s="160"/>
      <c r="P519" s="160"/>
      <c r="Q519" s="160"/>
      <c r="R519" s="160"/>
      <c r="S519" s="160"/>
      <c r="T519" s="160"/>
      <c r="U519" s="160"/>
      <c r="V519" s="160"/>
      <c r="W519" s="160"/>
      <c r="X519" s="160"/>
      <c r="Y519" s="160"/>
      <c r="Z519" s="160"/>
      <c r="AA519" s="160"/>
    </row>
    <row r="520" spans="1:27" ht="12.75" customHeight="1" x14ac:dyDescent="0.2">
      <c r="A520" s="160"/>
      <c r="B520" s="160"/>
      <c r="D520" s="160"/>
      <c r="F520" s="160"/>
      <c r="G520" s="160"/>
      <c r="H520" s="160"/>
      <c r="I520" s="160"/>
      <c r="J520" s="160"/>
      <c r="K520" s="160"/>
      <c r="L520" s="160"/>
      <c r="M520" s="160"/>
      <c r="N520" s="160"/>
      <c r="O520" s="160"/>
      <c r="P520" s="160"/>
      <c r="Q520" s="160"/>
      <c r="R520" s="160"/>
      <c r="S520" s="160"/>
      <c r="T520" s="160"/>
      <c r="U520" s="160"/>
      <c r="V520" s="160"/>
      <c r="W520" s="160"/>
      <c r="X520" s="160"/>
      <c r="Y520" s="160"/>
      <c r="Z520" s="160"/>
      <c r="AA520" s="160"/>
    </row>
    <row r="521" spans="1:27" ht="12.75" customHeight="1" x14ac:dyDescent="0.2">
      <c r="A521" s="160"/>
      <c r="B521" s="160"/>
      <c r="D521" s="160"/>
      <c r="F521" s="160"/>
      <c r="G521" s="160"/>
      <c r="H521" s="160"/>
      <c r="I521" s="160"/>
      <c r="J521" s="160"/>
      <c r="K521" s="160"/>
      <c r="L521" s="160"/>
      <c r="M521" s="160"/>
      <c r="N521" s="160"/>
      <c r="O521" s="160"/>
      <c r="P521" s="160"/>
      <c r="Q521" s="160"/>
      <c r="R521" s="160"/>
      <c r="S521" s="160"/>
      <c r="T521" s="160"/>
      <c r="U521" s="160"/>
      <c r="V521" s="160"/>
      <c r="W521" s="160"/>
      <c r="X521" s="160"/>
      <c r="Y521" s="160"/>
      <c r="Z521" s="160"/>
      <c r="AA521" s="160"/>
    </row>
    <row r="522" spans="1:27" ht="12.75" customHeight="1" x14ac:dyDescent="0.2">
      <c r="A522" s="160"/>
      <c r="B522" s="160"/>
      <c r="D522" s="160"/>
      <c r="F522" s="160"/>
      <c r="G522" s="160"/>
      <c r="H522" s="160"/>
      <c r="I522" s="160"/>
      <c r="J522" s="160"/>
      <c r="K522" s="160"/>
      <c r="L522" s="160"/>
      <c r="M522" s="160"/>
      <c r="N522" s="160"/>
      <c r="O522" s="160"/>
      <c r="P522" s="160"/>
      <c r="Q522" s="160"/>
      <c r="R522" s="160"/>
      <c r="S522" s="160"/>
      <c r="T522" s="160"/>
      <c r="U522" s="160"/>
      <c r="V522" s="160"/>
      <c r="W522" s="160"/>
      <c r="X522" s="160"/>
      <c r="Y522" s="160"/>
      <c r="Z522" s="160"/>
      <c r="AA522" s="160"/>
    </row>
    <row r="523" spans="1:27" ht="12.75" customHeight="1" x14ac:dyDescent="0.2">
      <c r="A523" s="160"/>
      <c r="B523" s="160"/>
      <c r="D523" s="160"/>
      <c r="F523" s="160"/>
      <c r="G523" s="160"/>
      <c r="H523" s="160"/>
      <c r="I523" s="160"/>
      <c r="J523" s="160"/>
      <c r="K523" s="160"/>
      <c r="L523" s="160"/>
      <c r="M523" s="160"/>
      <c r="N523" s="160"/>
      <c r="O523" s="160"/>
      <c r="P523" s="160"/>
      <c r="Q523" s="160"/>
      <c r="R523" s="160"/>
      <c r="S523" s="160"/>
      <c r="T523" s="160"/>
      <c r="U523" s="160"/>
      <c r="V523" s="160"/>
      <c r="W523" s="160"/>
      <c r="X523" s="160"/>
      <c r="Y523" s="160"/>
      <c r="Z523" s="160"/>
      <c r="AA523" s="160"/>
    </row>
    <row r="524" spans="1:27" ht="12.75" customHeight="1" x14ac:dyDescent="0.2">
      <c r="A524" s="160"/>
      <c r="B524" s="160"/>
      <c r="D524" s="160"/>
      <c r="F524" s="160"/>
      <c r="G524" s="160"/>
      <c r="H524" s="160"/>
      <c r="I524" s="160"/>
      <c r="J524" s="160"/>
      <c r="K524" s="160"/>
      <c r="L524" s="160"/>
      <c r="M524" s="160"/>
      <c r="N524" s="160"/>
      <c r="O524" s="160"/>
      <c r="P524" s="160"/>
      <c r="Q524" s="160"/>
      <c r="R524" s="160"/>
      <c r="S524" s="160"/>
      <c r="T524" s="160"/>
      <c r="U524" s="160"/>
      <c r="V524" s="160"/>
      <c r="W524" s="160"/>
      <c r="X524" s="160"/>
      <c r="Y524" s="160"/>
      <c r="Z524" s="160"/>
      <c r="AA524" s="160"/>
    </row>
    <row r="525" spans="1:27" ht="12.75" customHeight="1" x14ac:dyDescent="0.2">
      <c r="A525" s="160"/>
      <c r="B525" s="160"/>
      <c r="D525" s="160"/>
      <c r="F525" s="160"/>
      <c r="G525" s="160"/>
      <c r="H525" s="160"/>
      <c r="I525" s="160"/>
      <c r="J525" s="160"/>
      <c r="K525" s="160"/>
      <c r="L525" s="160"/>
      <c r="M525" s="160"/>
      <c r="N525" s="160"/>
      <c r="O525" s="160"/>
      <c r="P525" s="160"/>
      <c r="Q525" s="160"/>
      <c r="R525" s="160"/>
      <c r="S525" s="160"/>
      <c r="T525" s="160"/>
      <c r="U525" s="160"/>
      <c r="V525" s="160"/>
      <c r="W525" s="160"/>
      <c r="X525" s="160"/>
      <c r="Y525" s="160"/>
      <c r="Z525" s="160"/>
      <c r="AA525" s="160"/>
    </row>
    <row r="526" spans="1:27" ht="12.75" customHeight="1" x14ac:dyDescent="0.2">
      <c r="A526" s="160"/>
      <c r="B526" s="160"/>
      <c r="D526" s="160"/>
      <c r="F526" s="160"/>
      <c r="G526" s="160"/>
      <c r="H526" s="160"/>
      <c r="I526" s="160"/>
      <c r="J526" s="160"/>
      <c r="K526" s="160"/>
      <c r="L526" s="160"/>
      <c r="M526" s="160"/>
      <c r="N526" s="160"/>
      <c r="O526" s="160"/>
      <c r="P526" s="160"/>
      <c r="Q526" s="160"/>
      <c r="R526" s="160"/>
      <c r="S526" s="160"/>
      <c r="T526" s="160"/>
      <c r="U526" s="160"/>
      <c r="V526" s="160"/>
      <c r="W526" s="160"/>
      <c r="X526" s="160"/>
      <c r="Y526" s="160"/>
      <c r="Z526" s="160"/>
      <c r="AA526" s="160"/>
    </row>
    <row r="527" spans="1:27" ht="12.75" customHeight="1" x14ac:dyDescent="0.2">
      <c r="A527" s="160"/>
      <c r="B527" s="160"/>
      <c r="D527" s="160"/>
      <c r="F527" s="160"/>
      <c r="G527" s="160"/>
      <c r="H527" s="160"/>
      <c r="I527" s="160"/>
      <c r="J527" s="160"/>
      <c r="K527" s="160"/>
      <c r="L527" s="160"/>
      <c r="M527" s="160"/>
      <c r="N527" s="160"/>
      <c r="O527" s="160"/>
      <c r="P527" s="160"/>
      <c r="Q527" s="160"/>
      <c r="R527" s="160"/>
      <c r="S527" s="160"/>
      <c r="T527" s="160"/>
      <c r="U527" s="160"/>
      <c r="V527" s="160"/>
      <c r="W527" s="160"/>
      <c r="X527" s="160"/>
      <c r="Y527" s="160"/>
      <c r="Z527" s="160"/>
      <c r="AA527" s="160"/>
    </row>
    <row r="528" spans="1:27" ht="12.75" customHeight="1" x14ac:dyDescent="0.2">
      <c r="A528" s="160"/>
      <c r="B528" s="160"/>
      <c r="D528" s="160"/>
      <c r="F528" s="160"/>
      <c r="G528" s="160"/>
      <c r="H528" s="160"/>
      <c r="I528" s="160"/>
      <c r="J528" s="160"/>
      <c r="K528" s="160"/>
      <c r="L528" s="160"/>
      <c r="M528" s="160"/>
      <c r="N528" s="160"/>
      <c r="O528" s="160"/>
      <c r="P528" s="160"/>
      <c r="Q528" s="160"/>
      <c r="R528" s="160"/>
      <c r="S528" s="160"/>
      <c r="T528" s="160"/>
      <c r="U528" s="160"/>
      <c r="V528" s="160"/>
      <c r="W528" s="160"/>
      <c r="X528" s="160"/>
      <c r="Y528" s="160"/>
      <c r="Z528" s="160"/>
      <c r="AA528" s="160"/>
    </row>
    <row r="529" spans="1:27" ht="12.75" customHeight="1" x14ac:dyDescent="0.2">
      <c r="A529" s="160"/>
      <c r="B529" s="160"/>
      <c r="D529" s="160"/>
      <c r="F529" s="160"/>
      <c r="G529" s="160"/>
      <c r="H529" s="160"/>
      <c r="I529" s="160"/>
      <c r="J529" s="160"/>
      <c r="K529" s="160"/>
      <c r="L529" s="160"/>
      <c r="M529" s="160"/>
      <c r="N529" s="160"/>
      <c r="O529" s="160"/>
      <c r="P529" s="160"/>
      <c r="Q529" s="160"/>
      <c r="R529" s="160"/>
      <c r="S529" s="160"/>
      <c r="T529" s="160"/>
      <c r="U529" s="160"/>
      <c r="V529" s="160"/>
      <c r="W529" s="160"/>
      <c r="X529" s="160"/>
      <c r="Y529" s="160"/>
      <c r="Z529" s="160"/>
      <c r="AA529" s="160"/>
    </row>
    <row r="530" spans="1:27" ht="12.75" customHeight="1" x14ac:dyDescent="0.2">
      <c r="A530" s="160"/>
      <c r="B530" s="160"/>
      <c r="D530" s="160"/>
      <c r="F530" s="160"/>
      <c r="G530" s="160"/>
      <c r="H530" s="160"/>
      <c r="I530" s="160"/>
      <c r="J530" s="160"/>
      <c r="K530" s="160"/>
      <c r="L530" s="160"/>
      <c r="M530" s="160"/>
      <c r="N530" s="160"/>
      <c r="O530" s="160"/>
      <c r="P530" s="160"/>
      <c r="Q530" s="160"/>
      <c r="R530" s="160"/>
      <c r="S530" s="160"/>
      <c r="T530" s="160"/>
      <c r="U530" s="160"/>
      <c r="V530" s="160"/>
      <c r="W530" s="160"/>
      <c r="X530" s="160"/>
      <c r="Y530" s="160"/>
      <c r="Z530" s="160"/>
      <c r="AA530" s="160"/>
    </row>
    <row r="531" spans="1:27" ht="12.75" customHeight="1" x14ac:dyDescent="0.2">
      <c r="A531" s="160"/>
      <c r="B531" s="160"/>
      <c r="D531" s="160"/>
      <c r="F531" s="160"/>
      <c r="G531" s="160"/>
      <c r="H531" s="160"/>
      <c r="I531" s="160"/>
      <c r="J531" s="160"/>
      <c r="K531" s="160"/>
      <c r="L531" s="160"/>
      <c r="M531" s="160"/>
      <c r="N531" s="160"/>
      <c r="O531" s="160"/>
      <c r="P531" s="160"/>
      <c r="Q531" s="160"/>
      <c r="R531" s="160"/>
      <c r="S531" s="160"/>
      <c r="T531" s="160"/>
      <c r="U531" s="160"/>
      <c r="V531" s="160"/>
      <c r="W531" s="160"/>
      <c r="X531" s="160"/>
      <c r="Y531" s="160"/>
      <c r="Z531" s="160"/>
      <c r="AA531" s="160"/>
    </row>
    <row r="532" spans="1:27" ht="12.75" customHeight="1" x14ac:dyDescent="0.2">
      <c r="A532" s="160"/>
      <c r="B532" s="160"/>
      <c r="D532" s="160"/>
      <c r="F532" s="160"/>
      <c r="G532" s="160"/>
      <c r="H532" s="160"/>
      <c r="I532" s="160"/>
      <c r="J532" s="160"/>
      <c r="K532" s="160"/>
      <c r="L532" s="160"/>
      <c r="M532" s="160"/>
      <c r="N532" s="160"/>
      <c r="O532" s="160"/>
      <c r="P532" s="160"/>
      <c r="Q532" s="160"/>
      <c r="R532" s="160"/>
      <c r="S532" s="160"/>
      <c r="T532" s="160"/>
      <c r="U532" s="160"/>
      <c r="V532" s="160"/>
      <c r="W532" s="160"/>
      <c r="X532" s="160"/>
      <c r="Y532" s="160"/>
      <c r="Z532" s="160"/>
      <c r="AA532" s="160"/>
    </row>
    <row r="533" spans="1:27" ht="12.75" customHeight="1" x14ac:dyDescent="0.2">
      <c r="A533" s="160"/>
      <c r="B533" s="160"/>
      <c r="D533" s="160"/>
      <c r="F533" s="160"/>
      <c r="G533" s="160"/>
      <c r="H533" s="160"/>
      <c r="I533" s="160"/>
      <c r="J533" s="160"/>
      <c r="K533" s="160"/>
      <c r="L533" s="160"/>
      <c r="M533" s="160"/>
      <c r="N533" s="160"/>
      <c r="O533" s="160"/>
      <c r="P533" s="160"/>
      <c r="Q533" s="160"/>
      <c r="R533" s="160"/>
      <c r="S533" s="160"/>
      <c r="T533" s="160"/>
      <c r="U533" s="160"/>
      <c r="V533" s="160"/>
      <c r="W533" s="160"/>
      <c r="X533" s="160"/>
      <c r="Y533" s="160"/>
      <c r="Z533" s="160"/>
      <c r="AA533" s="160"/>
    </row>
    <row r="534" spans="1:27" ht="12.75" customHeight="1" x14ac:dyDescent="0.2">
      <c r="A534" s="160"/>
      <c r="B534" s="160"/>
      <c r="D534" s="160"/>
      <c r="F534" s="160"/>
      <c r="G534" s="160"/>
      <c r="H534" s="160"/>
      <c r="I534" s="160"/>
      <c r="J534" s="160"/>
      <c r="K534" s="160"/>
      <c r="L534" s="160"/>
      <c r="M534" s="160"/>
      <c r="N534" s="160"/>
      <c r="O534" s="160"/>
      <c r="P534" s="160"/>
      <c r="Q534" s="160"/>
      <c r="R534" s="160"/>
      <c r="S534" s="160"/>
      <c r="T534" s="160"/>
      <c r="U534" s="160"/>
      <c r="V534" s="160"/>
      <c r="W534" s="160"/>
      <c r="X534" s="160"/>
      <c r="Y534" s="160"/>
      <c r="Z534" s="160"/>
      <c r="AA534" s="160"/>
    </row>
    <row r="535" spans="1:27" ht="12.75" customHeight="1" x14ac:dyDescent="0.2">
      <c r="A535" s="160"/>
      <c r="B535" s="160"/>
      <c r="D535" s="160"/>
      <c r="F535" s="160"/>
      <c r="G535" s="160"/>
      <c r="H535" s="160"/>
      <c r="I535" s="160"/>
      <c r="J535" s="160"/>
      <c r="K535" s="160"/>
      <c r="L535" s="160"/>
      <c r="M535" s="160"/>
      <c r="N535" s="160"/>
      <c r="O535" s="160"/>
      <c r="P535" s="160"/>
      <c r="Q535" s="160"/>
      <c r="R535" s="160"/>
      <c r="S535" s="160"/>
      <c r="T535" s="160"/>
      <c r="U535" s="160"/>
      <c r="V535" s="160"/>
      <c r="W535" s="160"/>
      <c r="X535" s="160"/>
      <c r="Y535" s="160"/>
      <c r="Z535" s="160"/>
      <c r="AA535" s="160"/>
    </row>
    <row r="536" spans="1:27" ht="12.75" customHeight="1" x14ac:dyDescent="0.2">
      <c r="A536" s="160"/>
      <c r="B536" s="160"/>
      <c r="D536" s="160"/>
      <c r="F536" s="160"/>
      <c r="G536" s="160"/>
      <c r="H536" s="160"/>
      <c r="I536" s="160"/>
      <c r="J536" s="160"/>
      <c r="K536" s="160"/>
      <c r="L536" s="160"/>
      <c r="M536" s="160"/>
      <c r="N536" s="160"/>
      <c r="O536" s="160"/>
      <c r="P536" s="160"/>
      <c r="Q536" s="160"/>
      <c r="R536" s="160"/>
      <c r="S536" s="160"/>
      <c r="T536" s="160"/>
      <c r="U536" s="160"/>
      <c r="V536" s="160"/>
      <c r="W536" s="160"/>
      <c r="X536" s="160"/>
      <c r="Y536" s="160"/>
      <c r="Z536" s="160"/>
      <c r="AA536" s="160"/>
    </row>
    <row r="537" spans="1:27" ht="12.75" customHeight="1" x14ac:dyDescent="0.2">
      <c r="A537" s="160"/>
      <c r="B537" s="160"/>
      <c r="D537" s="160"/>
      <c r="F537" s="160"/>
      <c r="G537" s="160"/>
      <c r="H537" s="160"/>
      <c r="I537" s="160"/>
      <c r="J537" s="160"/>
      <c r="K537" s="160"/>
      <c r="L537" s="160"/>
      <c r="M537" s="160"/>
      <c r="N537" s="160"/>
      <c r="O537" s="160"/>
      <c r="P537" s="160"/>
      <c r="Q537" s="160"/>
      <c r="R537" s="160"/>
      <c r="S537" s="160"/>
      <c r="T537" s="160"/>
      <c r="U537" s="160"/>
      <c r="V537" s="160"/>
      <c r="W537" s="160"/>
      <c r="X537" s="160"/>
      <c r="Y537" s="160"/>
      <c r="Z537" s="160"/>
      <c r="AA537" s="160"/>
    </row>
    <row r="538" spans="1:27" ht="12.75" customHeight="1" x14ac:dyDescent="0.2">
      <c r="A538" s="160"/>
      <c r="B538" s="160"/>
      <c r="D538" s="160"/>
      <c r="F538" s="160"/>
      <c r="G538" s="160"/>
      <c r="H538" s="160"/>
      <c r="I538" s="160"/>
      <c r="J538" s="160"/>
      <c r="K538" s="160"/>
      <c r="L538" s="160"/>
      <c r="M538" s="160"/>
      <c r="N538" s="160"/>
      <c r="O538" s="160"/>
      <c r="P538" s="160"/>
      <c r="Q538" s="160"/>
      <c r="R538" s="160"/>
      <c r="S538" s="160"/>
      <c r="T538" s="160"/>
      <c r="U538" s="160"/>
      <c r="V538" s="160"/>
      <c r="W538" s="160"/>
      <c r="X538" s="160"/>
      <c r="Y538" s="160"/>
      <c r="Z538" s="160"/>
      <c r="AA538" s="160"/>
    </row>
    <row r="539" spans="1:27" ht="12.75" customHeight="1" x14ac:dyDescent="0.2">
      <c r="A539" s="160"/>
      <c r="B539" s="160"/>
      <c r="D539" s="160"/>
      <c r="F539" s="160"/>
      <c r="G539" s="160"/>
      <c r="H539" s="160"/>
      <c r="I539" s="160"/>
      <c r="J539" s="160"/>
      <c r="K539" s="160"/>
      <c r="L539" s="160"/>
      <c r="M539" s="160"/>
      <c r="N539" s="160"/>
      <c r="O539" s="160"/>
      <c r="P539" s="160"/>
      <c r="Q539" s="160"/>
      <c r="R539" s="160"/>
      <c r="S539" s="160"/>
      <c r="T539" s="160"/>
      <c r="U539" s="160"/>
      <c r="V539" s="160"/>
      <c r="W539" s="160"/>
      <c r="X539" s="160"/>
      <c r="Y539" s="160"/>
      <c r="Z539" s="160"/>
      <c r="AA539" s="160"/>
    </row>
    <row r="540" spans="1:27" ht="12.75" customHeight="1" x14ac:dyDescent="0.2">
      <c r="A540" s="160"/>
      <c r="B540" s="160"/>
      <c r="D540" s="160"/>
      <c r="F540" s="160"/>
      <c r="G540" s="160"/>
      <c r="H540" s="160"/>
      <c r="I540" s="160"/>
      <c r="J540" s="160"/>
      <c r="K540" s="160"/>
      <c r="L540" s="160"/>
      <c r="M540" s="160"/>
      <c r="N540" s="160"/>
      <c r="O540" s="160"/>
      <c r="P540" s="160"/>
      <c r="Q540" s="160"/>
      <c r="R540" s="160"/>
      <c r="S540" s="160"/>
      <c r="T540" s="160"/>
      <c r="U540" s="160"/>
      <c r="V540" s="160"/>
      <c r="W540" s="160"/>
      <c r="X540" s="160"/>
      <c r="Y540" s="160"/>
      <c r="Z540" s="160"/>
      <c r="AA540" s="160"/>
    </row>
    <row r="541" spans="1:27" ht="12.75" customHeight="1" x14ac:dyDescent="0.2">
      <c r="A541" s="160"/>
      <c r="B541" s="160"/>
      <c r="D541" s="160"/>
      <c r="F541" s="160"/>
      <c r="G541" s="160"/>
      <c r="H541" s="160"/>
      <c r="I541" s="160"/>
      <c r="J541" s="160"/>
      <c r="K541" s="160"/>
      <c r="L541" s="160"/>
      <c r="M541" s="160"/>
      <c r="N541" s="160"/>
      <c r="O541" s="160"/>
      <c r="P541" s="160"/>
      <c r="Q541" s="160"/>
      <c r="R541" s="160"/>
      <c r="S541" s="160"/>
      <c r="T541" s="160"/>
      <c r="U541" s="160"/>
      <c r="V541" s="160"/>
      <c r="W541" s="160"/>
      <c r="X541" s="160"/>
      <c r="Y541" s="160"/>
      <c r="Z541" s="160"/>
      <c r="AA541" s="160"/>
    </row>
    <row r="542" spans="1:27" ht="12.75" customHeight="1" x14ac:dyDescent="0.2">
      <c r="A542" s="160"/>
      <c r="B542" s="160"/>
      <c r="D542" s="160"/>
      <c r="F542" s="160"/>
      <c r="G542" s="160"/>
      <c r="H542" s="160"/>
      <c r="I542" s="160"/>
      <c r="J542" s="160"/>
      <c r="K542" s="160"/>
      <c r="L542" s="160"/>
      <c r="M542" s="160"/>
      <c r="N542" s="160"/>
      <c r="O542" s="160"/>
      <c r="P542" s="160"/>
      <c r="Q542" s="160"/>
      <c r="R542" s="160"/>
      <c r="S542" s="160"/>
      <c r="T542" s="160"/>
      <c r="U542" s="160"/>
      <c r="V542" s="160"/>
      <c r="W542" s="160"/>
      <c r="X542" s="160"/>
      <c r="Y542" s="160"/>
      <c r="Z542" s="160"/>
      <c r="AA542" s="160"/>
    </row>
    <row r="543" spans="1:27" ht="12.75" customHeight="1" x14ac:dyDescent="0.2">
      <c r="A543" s="160"/>
      <c r="B543" s="160"/>
      <c r="D543" s="160"/>
      <c r="F543" s="160"/>
      <c r="G543" s="160"/>
      <c r="H543" s="160"/>
      <c r="I543" s="160"/>
      <c r="J543" s="160"/>
      <c r="K543" s="160"/>
      <c r="L543" s="160"/>
      <c r="M543" s="160"/>
      <c r="N543" s="160"/>
      <c r="O543" s="160"/>
      <c r="P543" s="160"/>
      <c r="Q543" s="160"/>
      <c r="R543" s="160"/>
      <c r="S543" s="160"/>
      <c r="T543" s="160"/>
      <c r="U543" s="160"/>
      <c r="V543" s="160"/>
      <c r="W543" s="160"/>
      <c r="X543" s="160"/>
      <c r="Y543" s="160"/>
      <c r="Z543" s="160"/>
      <c r="AA543" s="160"/>
    </row>
    <row r="544" spans="1:27" ht="12.75" customHeight="1" x14ac:dyDescent="0.2">
      <c r="A544" s="160"/>
      <c r="B544" s="160"/>
      <c r="D544" s="160"/>
      <c r="F544" s="160"/>
      <c r="G544" s="160"/>
      <c r="H544" s="160"/>
      <c r="I544" s="160"/>
      <c r="J544" s="160"/>
      <c r="K544" s="160"/>
      <c r="L544" s="160"/>
      <c r="M544" s="160"/>
      <c r="N544" s="160"/>
      <c r="O544" s="160"/>
      <c r="P544" s="160"/>
      <c r="Q544" s="160"/>
      <c r="R544" s="160"/>
      <c r="S544" s="160"/>
      <c r="T544" s="160"/>
      <c r="U544" s="160"/>
      <c r="V544" s="160"/>
      <c r="W544" s="160"/>
      <c r="X544" s="160"/>
      <c r="Y544" s="160"/>
      <c r="Z544" s="160"/>
      <c r="AA544" s="160"/>
    </row>
    <row r="545" spans="1:27" ht="12.75" customHeight="1" x14ac:dyDescent="0.2">
      <c r="A545" s="160"/>
      <c r="B545" s="160"/>
      <c r="D545" s="160"/>
      <c r="F545" s="160"/>
      <c r="G545" s="160"/>
      <c r="H545" s="160"/>
      <c r="I545" s="160"/>
      <c r="J545" s="160"/>
      <c r="K545" s="160"/>
      <c r="L545" s="160"/>
      <c r="M545" s="160"/>
      <c r="N545" s="160"/>
      <c r="O545" s="160"/>
      <c r="P545" s="160"/>
      <c r="Q545" s="160"/>
      <c r="R545" s="160"/>
      <c r="S545" s="160"/>
      <c r="T545" s="160"/>
      <c r="U545" s="160"/>
      <c r="V545" s="160"/>
      <c r="W545" s="160"/>
      <c r="X545" s="160"/>
      <c r="Y545" s="160"/>
      <c r="Z545" s="160"/>
      <c r="AA545" s="160"/>
    </row>
    <row r="546" spans="1:27" ht="12.75" customHeight="1" x14ac:dyDescent="0.2">
      <c r="A546" s="160"/>
      <c r="B546" s="160"/>
      <c r="D546" s="160"/>
      <c r="F546" s="160"/>
      <c r="G546" s="160"/>
      <c r="H546" s="160"/>
      <c r="I546" s="160"/>
      <c r="J546" s="160"/>
      <c r="K546" s="160"/>
      <c r="L546" s="160"/>
      <c r="M546" s="160"/>
      <c r="N546" s="160"/>
      <c r="O546" s="160"/>
      <c r="P546" s="160"/>
      <c r="Q546" s="160"/>
      <c r="R546" s="160"/>
      <c r="S546" s="160"/>
      <c r="T546" s="160"/>
      <c r="U546" s="160"/>
      <c r="V546" s="160"/>
      <c r="W546" s="160"/>
      <c r="X546" s="160"/>
      <c r="Y546" s="160"/>
      <c r="Z546" s="160"/>
      <c r="AA546" s="160"/>
    </row>
    <row r="547" spans="1:27" ht="12.75" customHeight="1" x14ac:dyDescent="0.2">
      <c r="A547" s="160"/>
      <c r="B547" s="160"/>
      <c r="D547" s="160"/>
      <c r="F547" s="160"/>
      <c r="G547" s="160"/>
      <c r="H547" s="160"/>
      <c r="I547" s="160"/>
      <c r="J547" s="160"/>
      <c r="K547" s="160"/>
      <c r="L547" s="160"/>
      <c r="M547" s="160"/>
      <c r="N547" s="160"/>
      <c r="O547" s="160"/>
      <c r="P547" s="160"/>
      <c r="Q547" s="160"/>
      <c r="R547" s="160"/>
      <c r="S547" s="160"/>
      <c r="T547" s="160"/>
      <c r="U547" s="160"/>
      <c r="V547" s="160"/>
      <c r="W547" s="160"/>
      <c r="X547" s="160"/>
      <c r="Y547" s="160"/>
      <c r="Z547" s="160"/>
      <c r="AA547" s="160"/>
    </row>
    <row r="548" spans="1:27" ht="12.75" customHeight="1" x14ac:dyDescent="0.2">
      <c r="A548" s="160"/>
      <c r="B548" s="160"/>
      <c r="D548" s="160"/>
      <c r="F548" s="160"/>
      <c r="G548" s="160"/>
      <c r="H548" s="160"/>
      <c r="I548" s="160"/>
      <c r="J548" s="160"/>
      <c r="K548" s="160"/>
      <c r="L548" s="160"/>
      <c r="M548" s="160"/>
      <c r="N548" s="160"/>
      <c r="O548" s="160"/>
      <c r="P548" s="160"/>
      <c r="Q548" s="160"/>
      <c r="R548" s="160"/>
      <c r="S548" s="160"/>
      <c r="T548" s="160"/>
      <c r="U548" s="160"/>
      <c r="V548" s="160"/>
      <c r="W548" s="160"/>
      <c r="X548" s="160"/>
      <c r="Y548" s="160"/>
      <c r="Z548" s="160"/>
      <c r="AA548" s="160"/>
    </row>
    <row r="549" spans="1:27" ht="12.75" customHeight="1" x14ac:dyDescent="0.2">
      <c r="A549" s="160"/>
      <c r="B549" s="160"/>
      <c r="D549" s="160"/>
      <c r="F549" s="160"/>
      <c r="G549" s="160"/>
      <c r="H549" s="160"/>
      <c r="I549" s="160"/>
      <c r="J549" s="160"/>
      <c r="K549" s="160"/>
      <c r="L549" s="160"/>
      <c r="M549" s="160"/>
      <c r="N549" s="160"/>
      <c r="O549" s="160"/>
      <c r="P549" s="160"/>
      <c r="Q549" s="160"/>
      <c r="R549" s="160"/>
      <c r="S549" s="160"/>
      <c r="T549" s="160"/>
      <c r="U549" s="160"/>
      <c r="V549" s="160"/>
      <c r="W549" s="160"/>
      <c r="X549" s="160"/>
      <c r="Y549" s="160"/>
      <c r="Z549" s="160"/>
      <c r="AA549" s="160"/>
    </row>
    <row r="550" spans="1:27" ht="12.75" customHeight="1" x14ac:dyDescent="0.2">
      <c r="A550" s="160"/>
      <c r="B550" s="160"/>
      <c r="D550" s="160"/>
      <c r="F550" s="160"/>
      <c r="G550" s="160"/>
      <c r="H550" s="160"/>
      <c r="I550" s="160"/>
      <c r="J550" s="160"/>
      <c r="K550" s="160"/>
      <c r="L550" s="160"/>
      <c r="M550" s="160"/>
      <c r="N550" s="160"/>
      <c r="O550" s="160"/>
      <c r="P550" s="160"/>
      <c r="Q550" s="160"/>
      <c r="R550" s="160"/>
      <c r="S550" s="160"/>
      <c r="T550" s="160"/>
      <c r="U550" s="160"/>
      <c r="V550" s="160"/>
      <c r="W550" s="160"/>
      <c r="X550" s="160"/>
      <c r="Y550" s="160"/>
      <c r="Z550" s="160"/>
      <c r="AA550" s="160"/>
    </row>
    <row r="551" spans="1:27" ht="12.75" customHeight="1" x14ac:dyDescent="0.2">
      <c r="A551" s="160"/>
      <c r="B551" s="160"/>
      <c r="D551" s="160"/>
      <c r="F551" s="160"/>
      <c r="G551" s="160"/>
      <c r="H551" s="160"/>
      <c r="I551" s="160"/>
      <c r="J551" s="160"/>
      <c r="K551" s="160"/>
      <c r="L551" s="160"/>
      <c r="M551" s="160"/>
      <c r="N551" s="160"/>
      <c r="O551" s="160"/>
      <c r="P551" s="160"/>
      <c r="Q551" s="160"/>
      <c r="R551" s="160"/>
      <c r="S551" s="160"/>
      <c r="T551" s="160"/>
      <c r="U551" s="160"/>
      <c r="V551" s="160"/>
      <c r="W551" s="160"/>
      <c r="X551" s="160"/>
      <c r="Y551" s="160"/>
      <c r="Z551" s="160"/>
      <c r="AA551" s="160"/>
    </row>
    <row r="552" spans="1:27" ht="12.75" customHeight="1" x14ac:dyDescent="0.2">
      <c r="A552" s="160"/>
      <c r="B552" s="160"/>
      <c r="D552" s="160"/>
      <c r="F552" s="160"/>
      <c r="G552" s="160"/>
      <c r="H552" s="160"/>
      <c r="I552" s="160"/>
      <c r="J552" s="160"/>
      <c r="K552" s="160"/>
      <c r="L552" s="160"/>
      <c r="M552" s="160"/>
      <c r="N552" s="160"/>
      <c r="O552" s="160"/>
      <c r="P552" s="160"/>
      <c r="Q552" s="160"/>
      <c r="R552" s="160"/>
      <c r="S552" s="160"/>
      <c r="T552" s="160"/>
      <c r="U552" s="160"/>
      <c r="V552" s="160"/>
      <c r="W552" s="160"/>
      <c r="X552" s="160"/>
      <c r="Y552" s="160"/>
      <c r="Z552" s="160"/>
      <c r="AA552" s="160"/>
    </row>
    <row r="553" spans="1:27" ht="12.75" customHeight="1" x14ac:dyDescent="0.2">
      <c r="A553" s="160"/>
      <c r="B553" s="160"/>
      <c r="D553" s="160"/>
      <c r="F553" s="160"/>
      <c r="G553" s="160"/>
      <c r="H553" s="160"/>
      <c r="I553" s="160"/>
      <c r="J553" s="160"/>
      <c r="K553" s="160"/>
      <c r="L553" s="160"/>
      <c r="M553" s="160"/>
      <c r="N553" s="160"/>
      <c r="O553" s="160"/>
      <c r="P553" s="160"/>
      <c r="Q553" s="160"/>
      <c r="R553" s="160"/>
      <c r="S553" s="160"/>
      <c r="T553" s="160"/>
      <c r="U553" s="160"/>
      <c r="V553" s="160"/>
      <c r="W553" s="160"/>
      <c r="X553" s="160"/>
      <c r="Y553" s="160"/>
      <c r="Z553" s="160"/>
      <c r="AA553" s="160"/>
    </row>
    <row r="554" spans="1:27" ht="12.75" customHeight="1" x14ac:dyDescent="0.2">
      <c r="A554" s="160"/>
      <c r="B554" s="160"/>
      <c r="D554" s="160"/>
      <c r="F554" s="160"/>
      <c r="G554" s="160"/>
      <c r="H554" s="160"/>
      <c r="I554" s="160"/>
      <c r="J554" s="160"/>
      <c r="K554" s="160"/>
      <c r="L554" s="160"/>
      <c r="M554" s="160"/>
      <c r="N554" s="160"/>
      <c r="O554" s="160"/>
      <c r="P554" s="160"/>
      <c r="Q554" s="160"/>
      <c r="R554" s="160"/>
      <c r="S554" s="160"/>
      <c r="T554" s="160"/>
      <c r="U554" s="160"/>
      <c r="V554" s="160"/>
      <c r="W554" s="160"/>
      <c r="X554" s="160"/>
      <c r="Y554" s="160"/>
      <c r="Z554" s="160"/>
      <c r="AA554" s="160"/>
    </row>
    <row r="555" spans="1:27" ht="12.75" customHeight="1" x14ac:dyDescent="0.2">
      <c r="A555" s="160"/>
      <c r="B555" s="160"/>
      <c r="D555" s="160"/>
      <c r="F555" s="160"/>
      <c r="G555" s="160"/>
      <c r="H555" s="160"/>
      <c r="I555" s="160"/>
      <c r="J555" s="160"/>
      <c r="K555" s="160"/>
      <c r="L555" s="160"/>
      <c r="M555" s="160"/>
      <c r="N555" s="160"/>
      <c r="O555" s="160"/>
      <c r="P555" s="160"/>
      <c r="Q555" s="160"/>
      <c r="R555" s="160"/>
      <c r="S555" s="160"/>
      <c r="T555" s="160"/>
      <c r="U555" s="160"/>
      <c r="V555" s="160"/>
      <c r="W555" s="160"/>
      <c r="X555" s="160"/>
      <c r="Y555" s="160"/>
      <c r="Z555" s="160"/>
      <c r="AA555" s="160"/>
    </row>
    <row r="556" spans="1:27" ht="12.75" customHeight="1" x14ac:dyDescent="0.2">
      <c r="A556" s="160"/>
      <c r="B556" s="160"/>
      <c r="D556" s="160"/>
      <c r="F556" s="160"/>
      <c r="G556" s="160"/>
      <c r="H556" s="160"/>
      <c r="I556" s="160"/>
      <c r="J556" s="160"/>
      <c r="K556" s="160"/>
      <c r="L556" s="160"/>
      <c r="M556" s="160"/>
      <c r="N556" s="160"/>
      <c r="O556" s="160"/>
      <c r="P556" s="160"/>
      <c r="Q556" s="160"/>
      <c r="R556" s="160"/>
      <c r="S556" s="160"/>
      <c r="T556" s="160"/>
      <c r="U556" s="160"/>
      <c r="V556" s="160"/>
      <c r="W556" s="160"/>
      <c r="X556" s="160"/>
      <c r="Y556" s="160"/>
      <c r="Z556" s="160"/>
      <c r="AA556" s="160"/>
    </row>
    <row r="557" spans="1:27" ht="12.75" customHeight="1" x14ac:dyDescent="0.2">
      <c r="A557" s="160"/>
      <c r="B557" s="160"/>
      <c r="D557" s="160"/>
      <c r="F557" s="160"/>
      <c r="G557" s="160"/>
      <c r="H557" s="160"/>
      <c r="I557" s="160"/>
      <c r="J557" s="160"/>
      <c r="K557" s="160"/>
      <c r="L557" s="160"/>
      <c r="M557" s="160"/>
      <c r="N557" s="160"/>
      <c r="O557" s="160"/>
      <c r="P557" s="160"/>
      <c r="Q557" s="160"/>
      <c r="R557" s="160"/>
      <c r="S557" s="160"/>
      <c r="T557" s="160"/>
      <c r="U557" s="160"/>
      <c r="V557" s="160"/>
      <c r="W557" s="160"/>
      <c r="X557" s="160"/>
      <c r="Y557" s="160"/>
      <c r="Z557" s="160"/>
      <c r="AA557" s="160"/>
    </row>
    <row r="558" spans="1:27" ht="12.75" customHeight="1" x14ac:dyDescent="0.2">
      <c r="A558" s="160"/>
      <c r="B558" s="160"/>
      <c r="D558" s="160"/>
      <c r="F558" s="160"/>
      <c r="G558" s="160"/>
      <c r="H558" s="160"/>
      <c r="I558" s="160"/>
      <c r="J558" s="160"/>
      <c r="K558" s="160"/>
      <c r="L558" s="160"/>
      <c r="M558" s="160"/>
      <c r="N558" s="160"/>
      <c r="O558" s="160"/>
      <c r="P558" s="160"/>
      <c r="Q558" s="160"/>
      <c r="R558" s="160"/>
      <c r="S558" s="160"/>
      <c r="T558" s="160"/>
      <c r="U558" s="160"/>
      <c r="V558" s="160"/>
      <c r="W558" s="160"/>
      <c r="X558" s="160"/>
      <c r="Y558" s="160"/>
      <c r="Z558" s="160"/>
      <c r="AA558" s="160"/>
    </row>
    <row r="559" spans="1:27" ht="12.75" customHeight="1" x14ac:dyDescent="0.2">
      <c r="A559" s="160"/>
      <c r="B559" s="160"/>
      <c r="D559" s="160"/>
      <c r="F559" s="160"/>
      <c r="G559" s="160"/>
      <c r="H559" s="160"/>
      <c r="I559" s="160"/>
      <c r="J559" s="160"/>
      <c r="K559" s="160"/>
      <c r="L559" s="160"/>
      <c r="M559" s="160"/>
      <c r="N559" s="160"/>
      <c r="O559" s="160"/>
      <c r="P559" s="160"/>
      <c r="Q559" s="160"/>
      <c r="R559" s="160"/>
      <c r="S559" s="160"/>
      <c r="T559" s="160"/>
      <c r="U559" s="160"/>
      <c r="V559" s="160"/>
      <c r="W559" s="160"/>
      <c r="X559" s="160"/>
      <c r="Y559" s="160"/>
      <c r="Z559" s="160"/>
      <c r="AA559" s="160"/>
    </row>
    <row r="560" spans="1:27" ht="12.75" customHeight="1" x14ac:dyDescent="0.2">
      <c r="A560" s="160"/>
      <c r="B560" s="160"/>
      <c r="D560" s="160"/>
      <c r="F560" s="160"/>
      <c r="G560" s="160"/>
      <c r="H560" s="160"/>
      <c r="I560" s="160"/>
      <c r="J560" s="160"/>
      <c r="K560" s="160"/>
      <c r="L560" s="160"/>
      <c r="M560" s="160"/>
      <c r="N560" s="160"/>
      <c r="O560" s="160"/>
      <c r="P560" s="160"/>
      <c r="Q560" s="160"/>
      <c r="R560" s="160"/>
      <c r="S560" s="160"/>
      <c r="T560" s="160"/>
      <c r="U560" s="160"/>
      <c r="V560" s="160"/>
      <c r="W560" s="160"/>
      <c r="X560" s="160"/>
      <c r="Y560" s="160"/>
      <c r="Z560" s="160"/>
      <c r="AA560" s="160"/>
    </row>
    <row r="561" spans="1:27" ht="12.75" customHeight="1" x14ac:dyDescent="0.2">
      <c r="A561" s="160"/>
      <c r="B561" s="160"/>
      <c r="D561" s="160"/>
      <c r="F561" s="160"/>
      <c r="G561" s="160"/>
      <c r="H561" s="160"/>
      <c r="I561" s="160"/>
      <c r="J561" s="160"/>
      <c r="K561" s="160"/>
      <c r="L561" s="160"/>
      <c r="M561" s="160"/>
      <c r="N561" s="160"/>
      <c r="O561" s="160"/>
      <c r="P561" s="160"/>
      <c r="Q561" s="160"/>
      <c r="R561" s="160"/>
      <c r="S561" s="160"/>
      <c r="T561" s="160"/>
      <c r="U561" s="160"/>
      <c r="V561" s="160"/>
      <c r="W561" s="160"/>
      <c r="X561" s="160"/>
      <c r="Y561" s="160"/>
      <c r="Z561" s="160"/>
      <c r="AA561" s="160"/>
    </row>
    <row r="562" spans="1:27" ht="12.75" customHeight="1" x14ac:dyDescent="0.2">
      <c r="A562" s="160"/>
      <c r="B562" s="160"/>
      <c r="D562" s="160"/>
      <c r="F562" s="160"/>
      <c r="G562" s="160"/>
      <c r="H562" s="160"/>
      <c r="I562" s="160"/>
      <c r="J562" s="160"/>
      <c r="K562" s="160"/>
      <c r="L562" s="160"/>
      <c r="M562" s="160"/>
      <c r="N562" s="160"/>
      <c r="O562" s="160"/>
      <c r="P562" s="160"/>
      <c r="Q562" s="160"/>
      <c r="R562" s="160"/>
      <c r="S562" s="160"/>
      <c r="T562" s="160"/>
      <c r="U562" s="160"/>
      <c r="V562" s="160"/>
      <c r="W562" s="160"/>
      <c r="X562" s="160"/>
      <c r="Y562" s="160"/>
      <c r="Z562" s="160"/>
      <c r="AA562" s="160"/>
    </row>
    <row r="563" spans="1:27" ht="12.75" customHeight="1" x14ac:dyDescent="0.2">
      <c r="A563" s="160"/>
      <c r="B563" s="160"/>
      <c r="D563" s="160"/>
      <c r="F563" s="160"/>
      <c r="G563" s="160"/>
      <c r="H563" s="160"/>
      <c r="I563" s="160"/>
      <c r="J563" s="160"/>
      <c r="K563" s="160"/>
      <c r="L563" s="160"/>
      <c r="M563" s="160"/>
      <c r="N563" s="160"/>
      <c r="O563" s="160"/>
      <c r="P563" s="160"/>
      <c r="Q563" s="160"/>
      <c r="R563" s="160"/>
      <c r="S563" s="160"/>
      <c r="T563" s="160"/>
      <c r="U563" s="160"/>
      <c r="V563" s="160"/>
      <c r="W563" s="160"/>
      <c r="X563" s="160"/>
      <c r="Y563" s="160"/>
      <c r="Z563" s="160"/>
      <c r="AA563" s="160"/>
    </row>
    <row r="564" spans="1:27" ht="12.75" customHeight="1" x14ac:dyDescent="0.2">
      <c r="A564" s="160"/>
      <c r="B564" s="160"/>
      <c r="D564" s="160"/>
      <c r="F564" s="160"/>
      <c r="G564" s="160"/>
      <c r="H564" s="160"/>
      <c r="I564" s="160"/>
      <c r="J564" s="160"/>
      <c r="K564" s="160"/>
      <c r="L564" s="160"/>
      <c r="M564" s="160"/>
      <c r="N564" s="160"/>
      <c r="O564" s="160"/>
      <c r="P564" s="160"/>
      <c r="Q564" s="160"/>
      <c r="R564" s="160"/>
      <c r="S564" s="160"/>
      <c r="T564" s="160"/>
      <c r="U564" s="160"/>
      <c r="V564" s="160"/>
      <c r="W564" s="160"/>
      <c r="X564" s="160"/>
      <c r="Y564" s="160"/>
      <c r="Z564" s="160"/>
      <c r="AA564" s="160"/>
    </row>
    <row r="565" spans="1:27" ht="12.75" customHeight="1" x14ac:dyDescent="0.2">
      <c r="A565" s="160"/>
      <c r="B565" s="160"/>
      <c r="D565" s="160"/>
      <c r="F565" s="160"/>
      <c r="G565" s="160"/>
      <c r="H565" s="160"/>
      <c r="I565" s="160"/>
      <c r="J565" s="160"/>
      <c r="K565" s="160"/>
      <c r="L565" s="160"/>
      <c r="M565" s="160"/>
      <c r="N565" s="160"/>
      <c r="O565" s="160"/>
      <c r="P565" s="160"/>
      <c r="Q565" s="160"/>
      <c r="R565" s="160"/>
      <c r="S565" s="160"/>
      <c r="T565" s="160"/>
      <c r="U565" s="160"/>
      <c r="V565" s="160"/>
      <c r="W565" s="160"/>
      <c r="X565" s="160"/>
      <c r="Y565" s="160"/>
      <c r="Z565" s="160"/>
      <c r="AA565" s="160"/>
    </row>
    <row r="566" spans="1:27" ht="12.75" customHeight="1" x14ac:dyDescent="0.2">
      <c r="A566" s="160"/>
      <c r="B566" s="160"/>
      <c r="D566" s="160"/>
      <c r="F566" s="160"/>
      <c r="G566" s="160"/>
      <c r="H566" s="160"/>
      <c r="I566" s="160"/>
      <c r="J566" s="160"/>
      <c r="K566" s="160"/>
      <c r="L566" s="160"/>
      <c r="M566" s="160"/>
      <c r="N566" s="160"/>
      <c r="O566" s="160"/>
      <c r="P566" s="160"/>
      <c r="Q566" s="160"/>
      <c r="R566" s="160"/>
      <c r="S566" s="160"/>
      <c r="T566" s="160"/>
      <c r="U566" s="160"/>
      <c r="V566" s="160"/>
      <c r="W566" s="160"/>
      <c r="X566" s="160"/>
      <c r="Y566" s="160"/>
      <c r="Z566" s="160"/>
      <c r="AA566" s="160"/>
    </row>
    <row r="567" spans="1:27" ht="12.75" customHeight="1" x14ac:dyDescent="0.2">
      <c r="A567" s="160"/>
      <c r="B567" s="160"/>
      <c r="D567" s="160"/>
      <c r="F567" s="160"/>
      <c r="G567" s="160"/>
      <c r="H567" s="160"/>
      <c r="I567" s="160"/>
      <c r="J567" s="160"/>
      <c r="K567" s="160"/>
      <c r="L567" s="160"/>
      <c r="M567" s="160"/>
      <c r="N567" s="160"/>
      <c r="O567" s="160"/>
      <c r="P567" s="160"/>
      <c r="Q567" s="160"/>
      <c r="R567" s="160"/>
      <c r="S567" s="160"/>
      <c r="T567" s="160"/>
      <c r="U567" s="160"/>
      <c r="V567" s="160"/>
      <c r="W567" s="160"/>
      <c r="X567" s="160"/>
      <c r="Y567" s="160"/>
      <c r="Z567" s="160"/>
      <c r="AA567" s="160"/>
    </row>
    <row r="568" spans="1:27" ht="12.75" customHeight="1" x14ac:dyDescent="0.2">
      <c r="A568" s="160"/>
      <c r="B568" s="160"/>
      <c r="D568" s="160"/>
      <c r="F568" s="160"/>
      <c r="G568" s="160"/>
      <c r="H568" s="160"/>
      <c r="I568" s="160"/>
      <c r="J568" s="160"/>
      <c r="K568" s="160"/>
      <c r="L568" s="160"/>
      <c r="M568" s="160"/>
      <c r="N568" s="160"/>
      <c r="O568" s="160"/>
      <c r="P568" s="160"/>
      <c r="Q568" s="160"/>
      <c r="R568" s="160"/>
      <c r="S568" s="160"/>
      <c r="T568" s="160"/>
      <c r="U568" s="160"/>
      <c r="V568" s="160"/>
      <c r="W568" s="160"/>
      <c r="X568" s="160"/>
      <c r="Y568" s="160"/>
      <c r="Z568" s="160"/>
      <c r="AA568" s="160"/>
    </row>
    <row r="569" spans="1:27" ht="12.75" customHeight="1" x14ac:dyDescent="0.2">
      <c r="A569" s="160"/>
      <c r="B569" s="160"/>
      <c r="D569" s="160"/>
      <c r="F569" s="160"/>
      <c r="G569" s="160"/>
      <c r="H569" s="160"/>
      <c r="I569" s="160"/>
      <c r="J569" s="160"/>
      <c r="K569" s="160"/>
      <c r="L569" s="160"/>
      <c r="M569" s="160"/>
      <c r="N569" s="160"/>
      <c r="O569" s="160"/>
      <c r="P569" s="160"/>
      <c r="Q569" s="160"/>
      <c r="R569" s="160"/>
      <c r="S569" s="160"/>
      <c r="T569" s="160"/>
      <c r="U569" s="160"/>
      <c r="V569" s="160"/>
      <c r="W569" s="160"/>
      <c r="X569" s="160"/>
      <c r="Y569" s="160"/>
      <c r="Z569" s="160"/>
      <c r="AA569" s="160"/>
    </row>
    <row r="570" spans="1:27" ht="12.75" customHeight="1" x14ac:dyDescent="0.2">
      <c r="A570" s="160"/>
      <c r="B570" s="160"/>
      <c r="D570" s="160"/>
      <c r="F570" s="160"/>
      <c r="G570" s="160"/>
      <c r="H570" s="160"/>
      <c r="I570" s="160"/>
      <c r="J570" s="160"/>
      <c r="K570" s="160"/>
      <c r="L570" s="160"/>
      <c r="M570" s="160"/>
      <c r="N570" s="160"/>
      <c r="O570" s="160"/>
      <c r="P570" s="160"/>
      <c r="Q570" s="160"/>
      <c r="R570" s="160"/>
      <c r="S570" s="160"/>
      <c r="T570" s="160"/>
      <c r="U570" s="160"/>
      <c r="V570" s="160"/>
      <c r="W570" s="160"/>
      <c r="X570" s="160"/>
      <c r="Y570" s="160"/>
      <c r="Z570" s="160"/>
      <c r="AA570" s="160"/>
    </row>
    <row r="571" spans="1:27" ht="12.75" customHeight="1" x14ac:dyDescent="0.2">
      <c r="A571" s="160"/>
      <c r="B571" s="160"/>
      <c r="D571" s="160"/>
      <c r="F571" s="160"/>
      <c r="G571" s="160"/>
      <c r="H571" s="160"/>
      <c r="I571" s="160"/>
      <c r="J571" s="160"/>
      <c r="K571" s="160"/>
      <c r="L571" s="160"/>
      <c r="M571" s="160"/>
      <c r="N571" s="160"/>
      <c r="O571" s="160"/>
      <c r="P571" s="160"/>
      <c r="Q571" s="160"/>
      <c r="R571" s="160"/>
      <c r="S571" s="160"/>
      <c r="T571" s="160"/>
      <c r="U571" s="160"/>
      <c r="V571" s="160"/>
      <c r="W571" s="160"/>
      <c r="X571" s="160"/>
      <c r="Y571" s="160"/>
      <c r="Z571" s="160"/>
      <c r="AA571" s="160"/>
    </row>
    <row r="572" spans="1:27" ht="12.75" customHeight="1" x14ac:dyDescent="0.2">
      <c r="A572" s="160"/>
      <c r="B572" s="160"/>
      <c r="D572" s="160"/>
      <c r="F572" s="160"/>
      <c r="G572" s="160"/>
      <c r="H572" s="160"/>
      <c r="I572" s="160"/>
      <c r="J572" s="160"/>
      <c r="K572" s="160"/>
      <c r="L572" s="160"/>
      <c r="M572" s="160"/>
      <c r="N572" s="160"/>
      <c r="O572" s="160"/>
      <c r="P572" s="160"/>
      <c r="Q572" s="160"/>
      <c r="R572" s="160"/>
      <c r="S572" s="160"/>
      <c r="T572" s="160"/>
      <c r="U572" s="160"/>
      <c r="V572" s="160"/>
      <c r="W572" s="160"/>
      <c r="X572" s="160"/>
      <c r="Y572" s="160"/>
      <c r="Z572" s="160"/>
      <c r="AA572" s="160"/>
    </row>
    <row r="573" spans="1:27" ht="12.75" customHeight="1" x14ac:dyDescent="0.2">
      <c r="A573" s="160"/>
      <c r="B573" s="160"/>
      <c r="D573" s="160"/>
      <c r="F573" s="160"/>
      <c r="G573" s="160"/>
      <c r="H573" s="160"/>
      <c r="I573" s="160"/>
      <c r="J573" s="160"/>
      <c r="K573" s="160"/>
      <c r="L573" s="160"/>
      <c r="M573" s="160"/>
      <c r="N573" s="160"/>
      <c r="O573" s="160"/>
      <c r="P573" s="160"/>
      <c r="Q573" s="160"/>
      <c r="R573" s="160"/>
      <c r="S573" s="160"/>
      <c r="T573" s="160"/>
      <c r="U573" s="160"/>
      <c r="V573" s="160"/>
      <c r="W573" s="160"/>
      <c r="X573" s="160"/>
      <c r="Y573" s="160"/>
      <c r="Z573" s="160"/>
      <c r="AA573" s="160"/>
    </row>
    <row r="574" spans="1:27" ht="12.75" customHeight="1" x14ac:dyDescent="0.2">
      <c r="A574" s="160"/>
      <c r="B574" s="160"/>
      <c r="D574" s="160"/>
      <c r="F574" s="160"/>
      <c r="G574" s="160"/>
      <c r="H574" s="160"/>
      <c r="I574" s="160"/>
      <c r="J574" s="160"/>
      <c r="K574" s="160"/>
      <c r="L574" s="160"/>
      <c r="M574" s="160"/>
      <c r="N574" s="160"/>
      <c r="O574" s="160"/>
      <c r="P574" s="160"/>
      <c r="Q574" s="160"/>
      <c r="R574" s="160"/>
      <c r="S574" s="160"/>
      <c r="T574" s="160"/>
      <c r="U574" s="160"/>
      <c r="V574" s="160"/>
      <c r="W574" s="160"/>
      <c r="X574" s="160"/>
      <c r="Y574" s="160"/>
      <c r="Z574" s="160"/>
      <c r="AA574" s="160"/>
    </row>
    <row r="575" spans="1:27" ht="12.75" customHeight="1" x14ac:dyDescent="0.2">
      <c r="A575" s="160"/>
      <c r="B575" s="160"/>
      <c r="D575" s="160"/>
      <c r="F575" s="160"/>
      <c r="G575" s="160"/>
      <c r="H575" s="160"/>
      <c r="I575" s="160"/>
      <c r="J575" s="160"/>
      <c r="K575" s="160"/>
      <c r="L575" s="160"/>
      <c r="M575" s="160"/>
      <c r="N575" s="160"/>
      <c r="O575" s="160"/>
      <c r="P575" s="160"/>
      <c r="Q575" s="160"/>
      <c r="R575" s="160"/>
      <c r="S575" s="160"/>
      <c r="T575" s="160"/>
      <c r="U575" s="160"/>
      <c r="V575" s="160"/>
      <c r="W575" s="160"/>
      <c r="X575" s="160"/>
      <c r="Y575" s="160"/>
      <c r="Z575" s="160"/>
      <c r="AA575" s="160"/>
    </row>
    <row r="576" spans="1:27" ht="12.75" customHeight="1" x14ac:dyDescent="0.2">
      <c r="A576" s="160"/>
      <c r="B576" s="160"/>
      <c r="D576" s="160"/>
      <c r="F576" s="160"/>
      <c r="G576" s="160"/>
      <c r="H576" s="160"/>
      <c r="I576" s="160"/>
      <c r="J576" s="160"/>
      <c r="K576" s="160"/>
      <c r="L576" s="160"/>
      <c r="M576" s="160"/>
      <c r="N576" s="160"/>
      <c r="O576" s="160"/>
      <c r="P576" s="160"/>
      <c r="Q576" s="160"/>
      <c r="R576" s="160"/>
      <c r="S576" s="160"/>
      <c r="T576" s="160"/>
      <c r="U576" s="160"/>
      <c r="V576" s="160"/>
      <c r="W576" s="160"/>
      <c r="X576" s="160"/>
      <c r="Y576" s="160"/>
      <c r="Z576" s="160"/>
      <c r="AA576" s="160"/>
    </row>
    <row r="577" spans="1:27" ht="12.75" customHeight="1" x14ac:dyDescent="0.2">
      <c r="A577" s="160"/>
      <c r="B577" s="160"/>
      <c r="D577" s="160"/>
      <c r="F577" s="160"/>
      <c r="G577" s="160"/>
      <c r="H577" s="160"/>
      <c r="I577" s="160"/>
      <c r="J577" s="160"/>
      <c r="K577" s="160"/>
      <c r="L577" s="160"/>
      <c r="M577" s="160"/>
      <c r="N577" s="160"/>
      <c r="O577" s="160"/>
      <c r="P577" s="160"/>
      <c r="Q577" s="160"/>
      <c r="R577" s="160"/>
      <c r="S577" s="160"/>
      <c r="T577" s="160"/>
      <c r="U577" s="160"/>
      <c r="V577" s="160"/>
      <c r="W577" s="160"/>
      <c r="X577" s="160"/>
      <c r="Y577" s="160"/>
      <c r="Z577" s="160"/>
      <c r="AA577" s="160"/>
    </row>
    <row r="578" spans="1:27" ht="12.75" customHeight="1" x14ac:dyDescent="0.2">
      <c r="A578" s="160"/>
      <c r="B578" s="160"/>
      <c r="D578" s="160"/>
      <c r="F578" s="160"/>
      <c r="G578" s="160"/>
      <c r="H578" s="160"/>
      <c r="I578" s="160"/>
      <c r="J578" s="160"/>
      <c r="K578" s="160"/>
      <c r="L578" s="160"/>
      <c r="M578" s="160"/>
      <c r="N578" s="160"/>
      <c r="O578" s="160"/>
      <c r="P578" s="160"/>
      <c r="Q578" s="160"/>
      <c r="R578" s="160"/>
      <c r="S578" s="160"/>
      <c r="T578" s="160"/>
      <c r="U578" s="160"/>
      <c r="V578" s="160"/>
      <c r="W578" s="160"/>
      <c r="X578" s="160"/>
      <c r="Y578" s="160"/>
      <c r="Z578" s="160"/>
      <c r="AA578" s="160"/>
    </row>
    <row r="579" spans="1:27" ht="12.75" customHeight="1" x14ac:dyDescent="0.2">
      <c r="A579" s="160"/>
      <c r="B579" s="160"/>
      <c r="D579" s="160"/>
      <c r="F579" s="160"/>
      <c r="G579" s="160"/>
      <c r="H579" s="160"/>
      <c r="I579" s="160"/>
      <c r="J579" s="160"/>
      <c r="K579" s="160"/>
      <c r="L579" s="160"/>
      <c r="M579" s="160"/>
      <c r="N579" s="160"/>
      <c r="O579" s="160"/>
      <c r="P579" s="160"/>
      <c r="Q579" s="160"/>
      <c r="R579" s="160"/>
      <c r="S579" s="160"/>
      <c r="T579" s="160"/>
      <c r="U579" s="160"/>
      <c r="V579" s="160"/>
      <c r="W579" s="160"/>
      <c r="X579" s="160"/>
      <c r="Y579" s="160"/>
      <c r="Z579" s="160"/>
      <c r="AA579" s="160"/>
    </row>
    <row r="580" spans="1:27" ht="12.75" customHeight="1" x14ac:dyDescent="0.2">
      <c r="A580" s="160"/>
      <c r="B580" s="160"/>
      <c r="D580" s="160"/>
      <c r="F580" s="160"/>
      <c r="G580" s="160"/>
      <c r="H580" s="160"/>
      <c r="I580" s="160"/>
      <c r="J580" s="160"/>
      <c r="K580" s="160"/>
      <c r="L580" s="160"/>
      <c r="M580" s="160"/>
      <c r="N580" s="160"/>
      <c r="O580" s="160"/>
      <c r="P580" s="160"/>
      <c r="Q580" s="160"/>
      <c r="R580" s="160"/>
      <c r="S580" s="160"/>
      <c r="T580" s="160"/>
      <c r="U580" s="160"/>
      <c r="V580" s="160"/>
      <c r="W580" s="160"/>
      <c r="X580" s="160"/>
      <c r="Y580" s="160"/>
      <c r="Z580" s="160"/>
      <c r="AA580" s="160"/>
    </row>
    <row r="581" spans="1:27" ht="12.75" customHeight="1" x14ac:dyDescent="0.2">
      <c r="A581" s="160"/>
      <c r="B581" s="160"/>
      <c r="D581" s="160"/>
      <c r="F581" s="160"/>
      <c r="G581" s="160"/>
      <c r="H581" s="160"/>
      <c r="I581" s="160"/>
      <c r="J581" s="160"/>
      <c r="K581" s="160"/>
      <c r="L581" s="160"/>
      <c r="M581" s="160"/>
      <c r="N581" s="160"/>
      <c r="O581" s="160"/>
      <c r="P581" s="160"/>
      <c r="Q581" s="160"/>
      <c r="R581" s="160"/>
      <c r="S581" s="160"/>
      <c r="T581" s="160"/>
      <c r="U581" s="160"/>
      <c r="V581" s="160"/>
      <c r="W581" s="160"/>
      <c r="X581" s="160"/>
      <c r="Y581" s="160"/>
      <c r="Z581" s="160"/>
      <c r="AA581" s="160"/>
    </row>
    <row r="582" spans="1:27" ht="12.75" customHeight="1" x14ac:dyDescent="0.2">
      <c r="A582" s="160"/>
      <c r="B582" s="160"/>
      <c r="D582" s="160"/>
      <c r="F582" s="160"/>
      <c r="G582" s="160"/>
      <c r="H582" s="160"/>
      <c r="I582" s="160"/>
      <c r="J582" s="160"/>
      <c r="K582" s="160"/>
      <c r="L582" s="160"/>
      <c r="M582" s="160"/>
      <c r="N582" s="160"/>
      <c r="O582" s="160"/>
      <c r="P582" s="160"/>
      <c r="Q582" s="160"/>
      <c r="R582" s="160"/>
      <c r="S582" s="160"/>
      <c r="T582" s="160"/>
      <c r="U582" s="160"/>
      <c r="V582" s="160"/>
      <c r="W582" s="160"/>
      <c r="X582" s="160"/>
      <c r="Y582" s="160"/>
      <c r="Z582" s="160"/>
      <c r="AA582" s="160"/>
    </row>
    <row r="583" spans="1:27" ht="12.75" customHeight="1" x14ac:dyDescent="0.2">
      <c r="A583" s="160"/>
      <c r="B583" s="160"/>
      <c r="D583" s="160"/>
      <c r="F583" s="160"/>
      <c r="G583" s="160"/>
      <c r="H583" s="160"/>
      <c r="I583" s="160"/>
      <c r="J583" s="160"/>
      <c r="K583" s="160"/>
      <c r="L583" s="160"/>
      <c r="M583" s="160"/>
      <c r="N583" s="160"/>
      <c r="O583" s="160"/>
      <c r="P583" s="160"/>
      <c r="Q583" s="160"/>
      <c r="R583" s="160"/>
      <c r="S583" s="160"/>
      <c r="T583" s="160"/>
      <c r="U583" s="160"/>
      <c r="V583" s="160"/>
      <c r="W583" s="160"/>
      <c r="X583" s="160"/>
      <c r="Y583" s="160"/>
      <c r="Z583" s="160"/>
      <c r="AA583" s="160"/>
    </row>
    <row r="584" spans="1:27" ht="12.75" customHeight="1" x14ac:dyDescent="0.2">
      <c r="A584" s="160"/>
      <c r="B584" s="160"/>
      <c r="D584" s="160"/>
      <c r="F584" s="160"/>
      <c r="G584" s="160"/>
      <c r="H584" s="160"/>
      <c r="I584" s="160"/>
      <c r="J584" s="160"/>
      <c r="K584" s="160"/>
      <c r="L584" s="160"/>
      <c r="M584" s="160"/>
      <c r="N584" s="160"/>
      <c r="O584" s="160"/>
      <c r="P584" s="160"/>
      <c r="Q584" s="160"/>
      <c r="R584" s="160"/>
      <c r="S584" s="160"/>
      <c r="T584" s="160"/>
      <c r="U584" s="160"/>
      <c r="V584" s="160"/>
      <c r="W584" s="160"/>
      <c r="X584" s="160"/>
      <c r="Y584" s="160"/>
      <c r="Z584" s="160"/>
      <c r="AA584" s="160"/>
    </row>
    <row r="585" spans="1:27" ht="12.75" customHeight="1" x14ac:dyDescent="0.2">
      <c r="A585" s="160"/>
      <c r="B585" s="160"/>
      <c r="D585" s="160"/>
      <c r="F585" s="160"/>
      <c r="G585" s="160"/>
      <c r="H585" s="160"/>
      <c r="I585" s="160"/>
      <c r="J585" s="160"/>
      <c r="K585" s="160"/>
      <c r="L585" s="160"/>
      <c r="M585" s="160"/>
      <c r="N585" s="160"/>
      <c r="O585" s="160"/>
      <c r="P585" s="160"/>
      <c r="Q585" s="160"/>
      <c r="R585" s="160"/>
      <c r="S585" s="160"/>
      <c r="T585" s="160"/>
      <c r="U585" s="160"/>
      <c r="V585" s="160"/>
      <c r="W585" s="160"/>
      <c r="X585" s="160"/>
      <c r="Y585" s="160"/>
      <c r="Z585" s="160"/>
      <c r="AA585" s="160"/>
    </row>
    <row r="586" spans="1:27" ht="12.75" customHeight="1" x14ac:dyDescent="0.2">
      <c r="A586" s="160"/>
      <c r="B586" s="160"/>
      <c r="D586" s="160"/>
      <c r="F586" s="160"/>
      <c r="G586" s="160"/>
      <c r="H586" s="160"/>
      <c r="I586" s="160"/>
      <c r="J586" s="160"/>
      <c r="K586" s="160"/>
      <c r="L586" s="160"/>
      <c r="M586" s="160"/>
      <c r="N586" s="160"/>
      <c r="O586" s="160"/>
      <c r="P586" s="160"/>
      <c r="Q586" s="160"/>
      <c r="R586" s="160"/>
      <c r="S586" s="160"/>
      <c r="T586" s="160"/>
      <c r="U586" s="160"/>
      <c r="V586" s="160"/>
      <c r="W586" s="160"/>
      <c r="X586" s="160"/>
      <c r="Y586" s="160"/>
      <c r="Z586" s="160"/>
      <c r="AA586" s="160"/>
    </row>
    <row r="587" spans="1:27" ht="12.75" customHeight="1" x14ac:dyDescent="0.2">
      <c r="A587" s="160"/>
      <c r="B587" s="160"/>
      <c r="D587" s="160"/>
      <c r="F587" s="160"/>
      <c r="G587" s="160"/>
      <c r="H587" s="160"/>
      <c r="I587" s="160"/>
      <c r="J587" s="160"/>
      <c r="K587" s="160"/>
      <c r="L587" s="160"/>
      <c r="M587" s="160"/>
      <c r="N587" s="160"/>
      <c r="O587" s="160"/>
      <c r="P587" s="160"/>
      <c r="Q587" s="160"/>
      <c r="R587" s="160"/>
      <c r="S587" s="160"/>
      <c r="T587" s="160"/>
      <c r="U587" s="160"/>
      <c r="V587" s="160"/>
      <c r="W587" s="160"/>
      <c r="X587" s="160"/>
      <c r="Y587" s="160"/>
      <c r="Z587" s="160"/>
      <c r="AA587" s="160"/>
    </row>
    <row r="588" spans="1:27" ht="12.75" customHeight="1" x14ac:dyDescent="0.2">
      <c r="A588" s="160"/>
      <c r="B588" s="160"/>
      <c r="D588" s="160"/>
      <c r="F588" s="160"/>
      <c r="G588" s="160"/>
      <c r="H588" s="160"/>
      <c r="I588" s="160"/>
      <c r="J588" s="160"/>
      <c r="K588" s="160"/>
      <c r="L588" s="160"/>
      <c r="M588" s="160"/>
      <c r="N588" s="160"/>
      <c r="O588" s="160"/>
      <c r="P588" s="160"/>
      <c r="Q588" s="160"/>
      <c r="R588" s="160"/>
      <c r="S588" s="160"/>
      <c r="T588" s="160"/>
      <c r="U588" s="160"/>
      <c r="V588" s="160"/>
      <c r="W588" s="160"/>
      <c r="X588" s="160"/>
      <c r="Y588" s="160"/>
      <c r="Z588" s="160"/>
      <c r="AA588" s="160"/>
    </row>
    <row r="589" spans="1:27" ht="12.75" customHeight="1" x14ac:dyDescent="0.2">
      <c r="A589" s="160"/>
      <c r="B589" s="160"/>
      <c r="D589" s="160"/>
      <c r="F589" s="160"/>
      <c r="G589" s="160"/>
      <c r="H589" s="160"/>
      <c r="I589" s="160"/>
      <c r="J589" s="160"/>
      <c r="K589" s="160"/>
      <c r="L589" s="160"/>
      <c r="M589" s="160"/>
      <c r="N589" s="160"/>
      <c r="O589" s="160"/>
      <c r="P589" s="160"/>
      <c r="Q589" s="160"/>
      <c r="R589" s="160"/>
      <c r="S589" s="160"/>
      <c r="T589" s="160"/>
      <c r="U589" s="160"/>
      <c r="V589" s="160"/>
      <c r="W589" s="160"/>
      <c r="X589" s="160"/>
      <c r="Y589" s="160"/>
      <c r="Z589" s="160"/>
      <c r="AA589" s="160"/>
    </row>
    <row r="590" spans="1:27" ht="12.75" customHeight="1" x14ac:dyDescent="0.2">
      <c r="A590" s="160"/>
      <c r="B590" s="160"/>
      <c r="D590" s="160"/>
      <c r="F590" s="160"/>
      <c r="G590" s="160"/>
      <c r="H590" s="160"/>
      <c r="I590" s="160"/>
      <c r="J590" s="160"/>
      <c r="K590" s="160"/>
      <c r="L590" s="160"/>
      <c r="M590" s="160"/>
      <c r="N590" s="160"/>
      <c r="O590" s="160"/>
      <c r="P590" s="160"/>
      <c r="Q590" s="160"/>
      <c r="R590" s="160"/>
      <c r="S590" s="160"/>
      <c r="T590" s="160"/>
      <c r="U590" s="160"/>
      <c r="V590" s="160"/>
      <c r="W590" s="160"/>
      <c r="X590" s="160"/>
      <c r="Y590" s="160"/>
      <c r="Z590" s="160"/>
      <c r="AA590" s="160"/>
    </row>
    <row r="591" spans="1:27" ht="12.75" customHeight="1" x14ac:dyDescent="0.2">
      <c r="A591" s="160"/>
      <c r="B591" s="160"/>
      <c r="D591" s="160"/>
      <c r="F591" s="160"/>
      <c r="G591" s="160"/>
      <c r="H591" s="160"/>
      <c r="I591" s="160"/>
      <c r="J591" s="160"/>
      <c r="K591" s="160"/>
      <c r="L591" s="160"/>
      <c r="M591" s="160"/>
      <c r="N591" s="160"/>
      <c r="O591" s="160"/>
      <c r="P591" s="160"/>
      <c r="Q591" s="160"/>
      <c r="R591" s="160"/>
      <c r="S591" s="160"/>
      <c r="T591" s="160"/>
      <c r="U591" s="160"/>
      <c r="V591" s="160"/>
      <c r="W591" s="160"/>
      <c r="X591" s="160"/>
      <c r="Y591" s="160"/>
      <c r="Z591" s="160"/>
      <c r="AA591" s="160"/>
    </row>
    <row r="592" spans="1:27" ht="12.75" customHeight="1" x14ac:dyDescent="0.2">
      <c r="A592" s="160"/>
      <c r="B592" s="160"/>
      <c r="D592" s="160"/>
      <c r="F592" s="160"/>
      <c r="G592" s="160"/>
      <c r="H592" s="160"/>
      <c r="I592" s="160"/>
      <c r="J592" s="160"/>
      <c r="K592" s="160"/>
      <c r="L592" s="160"/>
      <c r="M592" s="160"/>
      <c r="N592" s="160"/>
      <c r="O592" s="160"/>
      <c r="P592" s="160"/>
      <c r="Q592" s="160"/>
      <c r="R592" s="160"/>
      <c r="S592" s="160"/>
      <c r="T592" s="160"/>
      <c r="U592" s="160"/>
      <c r="V592" s="160"/>
      <c r="W592" s="160"/>
      <c r="X592" s="160"/>
      <c r="Y592" s="160"/>
      <c r="Z592" s="160"/>
      <c r="AA592" s="160"/>
    </row>
    <row r="593" spans="1:27" ht="12.75" customHeight="1" x14ac:dyDescent="0.2">
      <c r="A593" s="160"/>
      <c r="B593" s="160"/>
      <c r="D593" s="160"/>
      <c r="F593" s="160"/>
      <c r="G593" s="160"/>
      <c r="H593" s="160"/>
      <c r="I593" s="160"/>
      <c r="J593" s="160"/>
      <c r="K593" s="160"/>
      <c r="L593" s="160"/>
      <c r="M593" s="160"/>
      <c r="N593" s="160"/>
      <c r="O593" s="160"/>
      <c r="P593" s="160"/>
      <c r="Q593" s="160"/>
      <c r="R593" s="160"/>
      <c r="S593" s="160"/>
      <c r="T593" s="160"/>
      <c r="U593" s="160"/>
      <c r="V593" s="160"/>
      <c r="W593" s="160"/>
      <c r="X593" s="160"/>
      <c r="Y593" s="160"/>
      <c r="Z593" s="160"/>
      <c r="AA593" s="160"/>
    </row>
    <row r="594" spans="1:27" ht="12.75" customHeight="1" x14ac:dyDescent="0.2">
      <c r="A594" s="160"/>
      <c r="B594" s="160"/>
      <c r="D594" s="160"/>
      <c r="F594" s="160"/>
      <c r="G594" s="160"/>
      <c r="H594" s="160"/>
      <c r="I594" s="160"/>
      <c r="J594" s="160"/>
      <c r="K594" s="160"/>
      <c r="L594" s="160"/>
      <c r="M594" s="160"/>
      <c r="N594" s="160"/>
      <c r="O594" s="160"/>
      <c r="P594" s="160"/>
      <c r="Q594" s="160"/>
      <c r="R594" s="160"/>
      <c r="S594" s="160"/>
      <c r="T594" s="160"/>
      <c r="U594" s="160"/>
      <c r="V594" s="160"/>
      <c r="W594" s="160"/>
      <c r="X594" s="160"/>
      <c r="Y594" s="160"/>
      <c r="Z594" s="160"/>
      <c r="AA594" s="160"/>
    </row>
    <row r="595" spans="1:27" ht="12.75" customHeight="1" x14ac:dyDescent="0.2">
      <c r="A595" s="160"/>
      <c r="B595" s="160"/>
      <c r="D595" s="160"/>
      <c r="F595" s="160"/>
      <c r="G595" s="160"/>
      <c r="H595" s="160"/>
      <c r="I595" s="160"/>
      <c r="J595" s="160"/>
      <c r="K595" s="160"/>
      <c r="L595" s="160"/>
      <c r="M595" s="160"/>
      <c r="N595" s="160"/>
      <c r="O595" s="160"/>
      <c r="P595" s="160"/>
      <c r="Q595" s="160"/>
      <c r="R595" s="160"/>
      <c r="S595" s="160"/>
      <c r="T595" s="160"/>
      <c r="U595" s="160"/>
      <c r="V595" s="160"/>
      <c r="W595" s="160"/>
      <c r="X595" s="160"/>
      <c r="Y595" s="160"/>
      <c r="Z595" s="160"/>
      <c r="AA595" s="160"/>
    </row>
    <row r="596" spans="1:27" ht="12.75" customHeight="1" x14ac:dyDescent="0.2">
      <c r="A596" s="160"/>
      <c r="B596" s="160"/>
      <c r="D596" s="160"/>
      <c r="F596" s="160"/>
      <c r="G596" s="160"/>
      <c r="H596" s="160"/>
      <c r="I596" s="160"/>
      <c r="J596" s="160"/>
      <c r="K596" s="160"/>
      <c r="L596" s="160"/>
      <c r="M596" s="160"/>
      <c r="N596" s="160"/>
      <c r="O596" s="160"/>
      <c r="P596" s="160"/>
      <c r="Q596" s="160"/>
      <c r="R596" s="160"/>
      <c r="S596" s="160"/>
      <c r="T596" s="160"/>
      <c r="U596" s="160"/>
      <c r="V596" s="160"/>
      <c r="W596" s="160"/>
      <c r="X596" s="160"/>
      <c r="Y596" s="160"/>
      <c r="Z596" s="160"/>
      <c r="AA596" s="160"/>
    </row>
    <row r="597" spans="1:27" ht="12.75" customHeight="1" x14ac:dyDescent="0.2">
      <c r="A597" s="160"/>
      <c r="B597" s="160"/>
      <c r="D597" s="160"/>
      <c r="F597" s="160"/>
      <c r="G597" s="160"/>
      <c r="H597" s="160"/>
      <c r="I597" s="160"/>
      <c r="J597" s="160"/>
      <c r="K597" s="160"/>
      <c r="L597" s="160"/>
      <c r="M597" s="160"/>
      <c r="N597" s="160"/>
      <c r="O597" s="160"/>
      <c r="P597" s="160"/>
      <c r="Q597" s="160"/>
      <c r="R597" s="160"/>
      <c r="S597" s="160"/>
      <c r="T597" s="160"/>
      <c r="U597" s="160"/>
      <c r="V597" s="160"/>
      <c r="W597" s="160"/>
      <c r="X597" s="160"/>
      <c r="Y597" s="160"/>
      <c r="Z597" s="160"/>
      <c r="AA597" s="160"/>
    </row>
    <row r="598" spans="1:27" ht="12.75" customHeight="1" x14ac:dyDescent="0.2">
      <c r="A598" s="160"/>
      <c r="B598" s="160"/>
      <c r="D598" s="160"/>
      <c r="F598" s="160"/>
      <c r="G598" s="160"/>
      <c r="H598" s="160"/>
      <c r="I598" s="160"/>
      <c r="J598" s="160"/>
      <c r="K598" s="160"/>
      <c r="L598" s="160"/>
      <c r="M598" s="160"/>
      <c r="N598" s="160"/>
      <c r="O598" s="160"/>
      <c r="P598" s="160"/>
      <c r="Q598" s="160"/>
      <c r="R598" s="160"/>
      <c r="S598" s="160"/>
      <c r="T598" s="160"/>
      <c r="U598" s="160"/>
      <c r="V598" s="160"/>
      <c r="W598" s="160"/>
      <c r="X598" s="160"/>
      <c r="Y598" s="160"/>
      <c r="Z598" s="160"/>
      <c r="AA598" s="160"/>
    </row>
    <row r="599" spans="1:27" ht="12.75" customHeight="1" x14ac:dyDescent="0.2">
      <c r="A599" s="160"/>
      <c r="B599" s="160"/>
      <c r="D599" s="160"/>
      <c r="F599" s="160"/>
      <c r="G599" s="160"/>
      <c r="H599" s="160"/>
      <c r="I599" s="160"/>
      <c r="J599" s="160"/>
      <c r="K599" s="160"/>
      <c r="L599" s="160"/>
      <c r="M599" s="160"/>
      <c r="N599" s="160"/>
      <c r="O599" s="160"/>
      <c r="P599" s="160"/>
      <c r="Q599" s="160"/>
      <c r="R599" s="160"/>
      <c r="S599" s="160"/>
      <c r="T599" s="160"/>
      <c r="U599" s="160"/>
      <c r="V599" s="160"/>
      <c r="W599" s="160"/>
      <c r="X599" s="160"/>
      <c r="Y599" s="160"/>
      <c r="Z599" s="160"/>
      <c r="AA599" s="160"/>
    </row>
    <row r="600" spans="1:27" ht="12.75" customHeight="1" x14ac:dyDescent="0.2">
      <c r="A600" s="160"/>
      <c r="B600" s="160"/>
      <c r="D600" s="160"/>
      <c r="F600" s="160"/>
      <c r="G600" s="160"/>
      <c r="H600" s="160"/>
      <c r="I600" s="160"/>
      <c r="J600" s="160"/>
      <c r="K600" s="160"/>
      <c r="L600" s="160"/>
      <c r="M600" s="160"/>
      <c r="N600" s="160"/>
      <c r="O600" s="160"/>
      <c r="P600" s="160"/>
      <c r="Q600" s="160"/>
      <c r="R600" s="160"/>
      <c r="S600" s="160"/>
      <c r="T600" s="160"/>
      <c r="U600" s="160"/>
      <c r="V600" s="160"/>
      <c r="W600" s="160"/>
      <c r="X600" s="160"/>
      <c r="Y600" s="160"/>
      <c r="Z600" s="160"/>
      <c r="AA600" s="160"/>
    </row>
    <row r="601" spans="1:27" ht="12.75" customHeight="1" x14ac:dyDescent="0.2">
      <c r="A601" s="160"/>
      <c r="B601" s="160"/>
      <c r="D601" s="160"/>
      <c r="F601" s="160"/>
      <c r="G601" s="160"/>
      <c r="H601" s="160"/>
      <c r="I601" s="160"/>
      <c r="J601" s="160"/>
      <c r="K601" s="160"/>
      <c r="L601" s="160"/>
      <c r="M601" s="160"/>
      <c r="N601" s="160"/>
      <c r="O601" s="160"/>
      <c r="P601" s="160"/>
      <c r="Q601" s="160"/>
      <c r="R601" s="160"/>
      <c r="S601" s="160"/>
      <c r="T601" s="160"/>
      <c r="U601" s="160"/>
      <c r="V601" s="160"/>
      <c r="W601" s="160"/>
      <c r="X601" s="160"/>
      <c r="Y601" s="160"/>
      <c r="Z601" s="160"/>
      <c r="AA601" s="160"/>
    </row>
    <row r="602" spans="1:27" ht="12.75" customHeight="1" x14ac:dyDescent="0.2">
      <c r="A602" s="160"/>
      <c r="B602" s="160"/>
      <c r="D602" s="160"/>
      <c r="F602" s="160"/>
      <c r="G602" s="160"/>
      <c r="H602" s="160"/>
      <c r="I602" s="160"/>
      <c r="J602" s="160"/>
      <c r="K602" s="160"/>
      <c r="L602" s="160"/>
      <c r="M602" s="160"/>
      <c r="N602" s="160"/>
      <c r="O602" s="160"/>
      <c r="P602" s="160"/>
      <c r="Q602" s="160"/>
      <c r="R602" s="160"/>
      <c r="S602" s="160"/>
      <c r="T602" s="160"/>
      <c r="U602" s="160"/>
      <c r="V602" s="160"/>
      <c r="W602" s="160"/>
      <c r="X602" s="160"/>
      <c r="Y602" s="160"/>
      <c r="Z602" s="160"/>
      <c r="AA602" s="160"/>
    </row>
    <row r="603" spans="1:27" ht="12.75" customHeight="1" x14ac:dyDescent="0.2">
      <c r="A603" s="160"/>
      <c r="B603" s="160"/>
      <c r="D603" s="160"/>
      <c r="F603" s="160"/>
      <c r="G603" s="160"/>
      <c r="H603" s="160"/>
      <c r="I603" s="160"/>
      <c r="J603" s="160"/>
      <c r="K603" s="160"/>
      <c r="L603" s="160"/>
      <c r="M603" s="160"/>
      <c r="N603" s="160"/>
      <c r="O603" s="160"/>
      <c r="P603" s="160"/>
      <c r="Q603" s="160"/>
      <c r="R603" s="160"/>
      <c r="S603" s="160"/>
      <c r="T603" s="160"/>
      <c r="U603" s="160"/>
      <c r="V603" s="160"/>
      <c r="W603" s="160"/>
      <c r="X603" s="160"/>
      <c r="Y603" s="160"/>
      <c r="Z603" s="160"/>
      <c r="AA603" s="160"/>
    </row>
    <row r="604" spans="1:27" ht="12.75" customHeight="1" x14ac:dyDescent="0.2">
      <c r="A604" s="160"/>
      <c r="B604" s="160"/>
      <c r="D604" s="160"/>
      <c r="F604" s="160"/>
      <c r="G604" s="160"/>
      <c r="H604" s="160"/>
      <c r="I604" s="160"/>
      <c r="J604" s="160"/>
      <c r="K604" s="160"/>
      <c r="L604" s="160"/>
      <c r="M604" s="160"/>
      <c r="N604" s="160"/>
      <c r="O604" s="160"/>
      <c r="P604" s="160"/>
      <c r="Q604" s="160"/>
      <c r="R604" s="160"/>
      <c r="S604" s="160"/>
      <c r="T604" s="160"/>
      <c r="U604" s="160"/>
      <c r="V604" s="160"/>
      <c r="W604" s="160"/>
      <c r="X604" s="160"/>
      <c r="Y604" s="160"/>
      <c r="Z604" s="160"/>
      <c r="AA604" s="160"/>
    </row>
    <row r="605" spans="1:27" ht="12.75" customHeight="1" x14ac:dyDescent="0.2">
      <c r="A605" s="160"/>
      <c r="B605" s="160"/>
      <c r="D605" s="160"/>
      <c r="F605" s="160"/>
      <c r="G605" s="160"/>
      <c r="H605" s="160"/>
      <c r="I605" s="160"/>
      <c r="J605" s="160"/>
      <c r="K605" s="160"/>
      <c r="L605" s="160"/>
      <c r="M605" s="160"/>
      <c r="N605" s="160"/>
      <c r="O605" s="160"/>
      <c r="P605" s="160"/>
      <c r="Q605" s="160"/>
      <c r="R605" s="160"/>
      <c r="S605" s="160"/>
      <c r="T605" s="160"/>
      <c r="U605" s="160"/>
      <c r="V605" s="160"/>
      <c r="W605" s="160"/>
      <c r="X605" s="160"/>
      <c r="Y605" s="160"/>
      <c r="Z605" s="160"/>
      <c r="AA605" s="160"/>
    </row>
    <row r="606" spans="1:27" ht="12.75" customHeight="1" x14ac:dyDescent="0.2">
      <c r="A606" s="160"/>
      <c r="B606" s="160"/>
      <c r="D606" s="160"/>
      <c r="F606" s="160"/>
      <c r="G606" s="160"/>
      <c r="H606" s="160"/>
      <c r="I606" s="160"/>
      <c r="J606" s="160"/>
      <c r="K606" s="160"/>
      <c r="L606" s="160"/>
      <c r="M606" s="160"/>
      <c r="N606" s="160"/>
      <c r="O606" s="160"/>
      <c r="P606" s="160"/>
      <c r="Q606" s="160"/>
      <c r="R606" s="160"/>
      <c r="S606" s="160"/>
      <c r="T606" s="160"/>
      <c r="U606" s="160"/>
      <c r="V606" s="160"/>
      <c r="W606" s="160"/>
      <c r="X606" s="160"/>
      <c r="Y606" s="160"/>
      <c r="Z606" s="160"/>
      <c r="AA606" s="160"/>
    </row>
    <row r="607" spans="1:27" ht="12.75" customHeight="1" x14ac:dyDescent="0.2">
      <c r="A607" s="160"/>
      <c r="B607" s="160"/>
      <c r="D607" s="160"/>
      <c r="F607" s="160"/>
      <c r="G607" s="160"/>
      <c r="H607" s="160"/>
      <c r="I607" s="160"/>
      <c r="J607" s="160"/>
      <c r="K607" s="160"/>
      <c r="L607" s="160"/>
      <c r="M607" s="160"/>
      <c r="N607" s="160"/>
      <c r="O607" s="160"/>
      <c r="P607" s="160"/>
      <c r="Q607" s="160"/>
      <c r="R607" s="160"/>
      <c r="S607" s="160"/>
      <c r="T607" s="160"/>
      <c r="U607" s="160"/>
      <c r="V607" s="160"/>
      <c r="W607" s="160"/>
      <c r="X607" s="160"/>
      <c r="Y607" s="160"/>
      <c r="Z607" s="160"/>
      <c r="AA607" s="160"/>
    </row>
    <row r="608" spans="1:27" ht="12.75" customHeight="1" x14ac:dyDescent="0.2">
      <c r="A608" s="160"/>
      <c r="B608" s="160"/>
      <c r="D608" s="160"/>
      <c r="F608" s="160"/>
      <c r="G608" s="160"/>
      <c r="H608" s="160"/>
      <c r="I608" s="160"/>
      <c r="J608" s="160"/>
      <c r="K608" s="160"/>
      <c r="L608" s="160"/>
      <c r="M608" s="160"/>
      <c r="N608" s="160"/>
      <c r="O608" s="160"/>
      <c r="P608" s="160"/>
      <c r="Q608" s="160"/>
      <c r="R608" s="160"/>
      <c r="S608" s="160"/>
      <c r="T608" s="160"/>
      <c r="U608" s="160"/>
      <c r="V608" s="160"/>
      <c r="W608" s="160"/>
      <c r="X608" s="160"/>
      <c r="Y608" s="160"/>
      <c r="Z608" s="160"/>
      <c r="AA608" s="160"/>
    </row>
    <row r="609" spans="1:27" ht="12.75" customHeight="1" x14ac:dyDescent="0.2">
      <c r="A609" s="160"/>
      <c r="B609" s="160"/>
      <c r="D609" s="160"/>
      <c r="F609" s="160"/>
      <c r="G609" s="160"/>
      <c r="H609" s="160"/>
      <c r="I609" s="160"/>
      <c r="J609" s="160"/>
      <c r="K609" s="160"/>
      <c r="L609" s="160"/>
      <c r="M609" s="160"/>
      <c r="N609" s="160"/>
      <c r="O609" s="160"/>
      <c r="P609" s="160"/>
      <c r="Q609" s="160"/>
      <c r="R609" s="160"/>
      <c r="S609" s="160"/>
      <c r="T609" s="160"/>
      <c r="U609" s="160"/>
      <c r="V609" s="160"/>
      <c r="W609" s="160"/>
      <c r="X609" s="160"/>
      <c r="Y609" s="160"/>
      <c r="Z609" s="160"/>
      <c r="AA609" s="160"/>
    </row>
    <row r="610" spans="1:27" ht="12.75" customHeight="1" x14ac:dyDescent="0.2">
      <c r="A610" s="160"/>
      <c r="B610" s="160"/>
      <c r="D610" s="160"/>
      <c r="F610" s="160"/>
      <c r="G610" s="160"/>
      <c r="H610" s="160"/>
      <c r="I610" s="160"/>
      <c r="J610" s="160"/>
      <c r="K610" s="160"/>
      <c r="L610" s="160"/>
      <c r="M610" s="160"/>
      <c r="N610" s="160"/>
      <c r="O610" s="160"/>
      <c r="P610" s="160"/>
      <c r="Q610" s="160"/>
      <c r="R610" s="160"/>
      <c r="S610" s="160"/>
      <c r="T610" s="160"/>
      <c r="U610" s="160"/>
      <c r="V610" s="160"/>
      <c r="W610" s="160"/>
      <c r="X610" s="160"/>
      <c r="Y610" s="160"/>
      <c r="Z610" s="160"/>
      <c r="AA610" s="160"/>
    </row>
    <row r="611" spans="1:27" ht="12.75" customHeight="1" x14ac:dyDescent="0.2">
      <c r="A611" s="160"/>
      <c r="B611" s="160"/>
      <c r="D611" s="160"/>
      <c r="F611" s="160"/>
      <c r="G611" s="160"/>
      <c r="H611" s="160"/>
      <c r="I611" s="160"/>
      <c r="J611" s="160"/>
      <c r="K611" s="160"/>
      <c r="L611" s="160"/>
      <c r="M611" s="160"/>
      <c r="N611" s="160"/>
      <c r="O611" s="160"/>
      <c r="P611" s="160"/>
      <c r="Q611" s="160"/>
      <c r="R611" s="160"/>
      <c r="S611" s="160"/>
      <c r="T611" s="160"/>
      <c r="U611" s="160"/>
      <c r="V611" s="160"/>
      <c r="W611" s="160"/>
      <c r="X611" s="160"/>
      <c r="Y611" s="160"/>
      <c r="Z611" s="160"/>
      <c r="AA611" s="160"/>
    </row>
    <row r="612" spans="1:27" ht="12.75" customHeight="1" x14ac:dyDescent="0.2">
      <c r="A612" s="160"/>
      <c r="B612" s="160"/>
      <c r="D612" s="160"/>
      <c r="F612" s="160"/>
      <c r="G612" s="160"/>
      <c r="H612" s="160"/>
      <c r="I612" s="160"/>
      <c r="J612" s="160"/>
      <c r="K612" s="160"/>
      <c r="L612" s="160"/>
      <c r="M612" s="160"/>
      <c r="N612" s="160"/>
      <c r="O612" s="160"/>
      <c r="P612" s="160"/>
      <c r="Q612" s="160"/>
      <c r="R612" s="160"/>
      <c r="S612" s="160"/>
      <c r="T612" s="160"/>
      <c r="U612" s="160"/>
      <c r="V612" s="160"/>
      <c r="W612" s="160"/>
      <c r="X612" s="160"/>
      <c r="Y612" s="160"/>
      <c r="Z612" s="160"/>
      <c r="AA612" s="160"/>
    </row>
    <row r="613" spans="1:27" ht="12.75" customHeight="1" x14ac:dyDescent="0.2">
      <c r="A613" s="160"/>
      <c r="B613" s="160"/>
      <c r="D613" s="160"/>
      <c r="F613" s="160"/>
      <c r="G613" s="160"/>
      <c r="H613" s="160"/>
      <c r="I613" s="160"/>
      <c r="J613" s="160"/>
      <c r="K613" s="160"/>
      <c r="L613" s="160"/>
      <c r="M613" s="160"/>
      <c r="N613" s="160"/>
      <c r="O613" s="160"/>
      <c r="P613" s="160"/>
      <c r="Q613" s="160"/>
      <c r="R613" s="160"/>
      <c r="S613" s="160"/>
      <c r="T613" s="160"/>
      <c r="U613" s="160"/>
      <c r="V613" s="160"/>
      <c r="W613" s="160"/>
      <c r="X613" s="160"/>
      <c r="Y613" s="160"/>
      <c r="Z613" s="160"/>
      <c r="AA613" s="160"/>
    </row>
    <row r="614" spans="1:27" ht="12.75" customHeight="1" x14ac:dyDescent="0.2">
      <c r="A614" s="160"/>
      <c r="B614" s="160"/>
      <c r="D614" s="160"/>
      <c r="F614" s="160"/>
      <c r="G614" s="160"/>
      <c r="H614" s="160"/>
      <c r="I614" s="160"/>
      <c r="J614" s="160"/>
      <c r="K614" s="160"/>
      <c r="L614" s="160"/>
      <c r="M614" s="160"/>
      <c r="N614" s="160"/>
      <c r="O614" s="160"/>
      <c r="P614" s="160"/>
      <c r="Q614" s="160"/>
      <c r="R614" s="160"/>
      <c r="S614" s="160"/>
      <c r="T614" s="160"/>
      <c r="U614" s="160"/>
      <c r="V614" s="160"/>
      <c r="W614" s="160"/>
      <c r="X614" s="160"/>
      <c r="Y614" s="160"/>
      <c r="Z614" s="160"/>
      <c r="AA614" s="160"/>
    </row>
    <row r="615" spans="1:27" ht="12.75" customHeight="1" x14ac:dyDescent="0.2">
      <c r="A615" s="160"/>
      <c r="B615" s="160"/>
      <c r="D615" s="160"/>
      <c r="F615" s="160"/>
      <c r="G615" s="160"/>
      <c r="H615" s="160"/>
      <c r="I615" s="160"/>
      <c r="J615" s="160"/>
      <c r="K615" s="160"/>
      <c r="L615" s="160"/>
      <c r="M615" s="160"/>
      <c r="N615" s="160"/>
      <c r="O615" s="160"/>
      <c r="P615" s="160"/>
      <c r="Q615" s="160"/>
      <c r="R615" s="160"/>
      <c r="S615" s="160"/>
      <c r="T615" s="160"/>
      <c r="U615" s="160"/>
      <c r="V615" s="160"/>
      <c r="W615" s="160"/>
      <c r="X615" s="160"/>
      <c r="Y615" s="160"/>
      <c r="Z615" s="160"/>
      <c r="AA615" s="160"/>
    </row>
    <row r="616" spans="1:27" ht="12.75" customHeight="1" x14ac:dyDescent="0.2">
      <c r="A616" s="160"/>
      <c r="B616" s="160"/>
      <c r="D616" s="160"/>
      <c r="F616" s="160"/>
      <c r="G616" s="160"/>
      <c r="H616" s="160"/>
      <c r="I616" s="160"/>
      <c r="J616" s="160"/>
      <c r="K616" s="160"/>
      <c r="L616" s="160"/>
      <c r="M616" s="160"/>
      <c r="N616" s="160"/>
      <c r="O616" s="160"/>
      <c r="P616" s="160"/>
      <c r="Q616" s="160"/>
      <c r="R616" s="160"/>
      <c r="S616" s="160"/>
      <c r="T616" s="160"/>
      <c r="U616" s="160"/>
      <c r="V616" s="160"/>
      <c r="W616" s="160"/>
      <c r="X616" s="160"/>
      <c r="Y616" s="160"/>
      <c r="Z616" s="160"/>
      <c r="AA616" s="160"/>
    </row>
    <row r="617" spans="1:27" ht="12.75" customHeight="1" x14ac:dyDescent="0.2">
      <c r="A617" s="160"/>
      <c r="B617" s="160"/>
      <c r="D617" s="160"/>
      <c r="F617" s="160"/>
      <c r="G617" s="160"/>
      <c r="H617" s="160"/>
      <c r="I617" s="160"/>
      <c r="J617" s="160"/>
      <c r="K617" s="160"/>
      <c r="L617" s="160"/>
      <c r="M617" s="160"/>
      <c r="N617" s="160"/>
      <c r="O617" s="160"/>
      <c r="P617" s="160"/>
      <c r="Q617" s="160"/>
      <c r="R617" s="160"/>
      <c r="S617" s="160"/>
      <c r="T617" s="160"/>
      <c r="U617" s="160"/>
      <c r="V617" s="160"/>
      <c r="W617" s="160"/>
      <c r="X617" s="160"/>
      <c r="Y617" s="160"/>
      <c r="Z617" s="160"/>
      <c r="AA617" s="160"/>
    </row>
    <row r="618" spans="1:27" ht="12.75" customHeight="1" x14ac:dyDescent="0.2">
      <c r="A618" s="160"/>
      <c r="B618" s="160"/>
      <c r="D618" s="160"/>
      <c r="F618" s="160"/>
      <c r="G618" s="160"/>
      <c r="H618" s="160"/>
      <c r="I618" s="160"/>
      <c r="J618" s="160"/>
      <c r="K618" s="160"/>
      <c r="L618" s="160"/>
      <c r="M618" s="160"/>
      <c r="N618" s="160"/>
      <c r="O618" s="160"/>
      <c r="P618" s="160"/>
      <c r="Q618" s="160"/>
      <c r="R618" s="160"/>
      <c r="S618" s="160"/>
      <c r="T618" s="160"/>
      <c r="U618" s="160"/>
      <c r="V618" s="160"/>
      <c r="W618" s="160"/>
      <c r="X618" s="160"/>
      <c r="Y618" s="160"/>
      <c r="Z618" s="160"/>
      <c r="AA618" s="160"/>
    </row>
    <row r="619" spans="1:27" ht="12.75" customHeight="1" x14ac:dyDescent="0.2">
      <c r="A619" s="160"/>
      <c r="B619" s="160"/>
      <c r="D619" s="160"/>
      <c r="F619" s="160"/>
      <c r="G619" s="160"/>
      <c r="H619" s="160"/>
      <c r="I619" s="160"/>
      <c r="J619" s="160"/>
      <c r="K619" s="160"/>
      <c r="L619" s="160"/>
      <c r="M619" s="160"/>
      <c r="N619" s="160"/>
      <c r="O619" s="160"/>
      <c r="P619" s="160"/>
      <c r="Q619" s="160"/>
      <c r="R619" s="160"/>
      <c r="S619" s="160"/>
      <c r="T619" s="160"/>
      <c r="U619" s="160"/>
      <c r="V619" s="160"/>
      <c r="W619" s="160"/>
      <c r="X619" s="160"/>
      <c r="Y619" s="160"/>
      <c r="Z619" s="160"/>
      <c r="AA619" s="160"/>
    </row>
    <row r="620" spans="1:27" ht="12.75" customHeight="1" x14ac:dyDescent="0.2">
      <c r="A620" s="160"/>
      <c r="B620" s="160"/>
      <c r="D620" s="160"/>
      <c r="F620" s="160"/>
      <c r="G620" s="160"/>
      <c r="H620" s="160"/>
      <c r="I620" s="160"/>
      <c r="J620" s="160"/>
      <c r="K620" s="160"/>
      <c r="L620" s="160"/>
      <c r="M620" s="160"/>
      <c r="N620" s="160"/>
      <c r="O620" s="160"/>
      <c r="P620" s="160"/>
      <c r="Q620" s="160"/>
      <c r="R620" s="160"/>
      <c r="S620" s="160"/>
      <c r="T620" s="160"/>
      <c r="U620" s="160"/>
      <c r="V620" s="160"/>
      <c r="W620" s="160"/>
      <c r="X620" s="160"/>
      <c r="Y620" s="160"/>
      <c r="Z620" s="160"/>
      <c r="AA620" s="160"/>
    </row>
    <row r="621" spans="1:27" ht="12.75" customHeight="1" x14ac:dyDescent="0.2">
      <c r="A621" s="160"/>
      <c r="B621" s="160"/>
      <c r="D621" s="160"/>
      <c r="F621" s="160"/>
      <c r="G621" s="160"/>
      <c r="H621" s="160"/>
      <c r="I621" s="160"/>
      <c r="J621" s="160"/>
      <c r="K621" s="160"/>
      <c r="L621" s="160"/>
      <c r="M621" s="160"/>
      <c r="N621" s="160"/>
      <c r="O621" s="160"/>
      <c r="P621" s="160"/>
      <c r="Q621" s="160"/>
      <c r="R621" s="160"/>
      <c r="S621" s="160"/>
      <c r="T621" s="160"/>
      <c r="U621" s="160"/>
      <c r="V621" s="160"/>
      <c r="W621" s="160"/>
      <c r="X621" s="160"/>
      <c r="Y621" s="160"/>
      <c r="Z621" s="160"/>
      <c r="AA621" s="160"/>
    </row>
    <row r="622" spans="1:27" ht="12.75" customHeight="1" x14ac:dyDescent="0.2">
      <c r="A622" s="160"/>
      <c r="B622" s="160"/>
      <c r="D622" s="160"/>
      <c r="F622" s="160"/>
      <c r="G622" s="160"/>
      <c r="H622" s="160"/>
      <c r="I622" s="160"/>
      <c r="J622" s="160"/>
      <c r="K622" s="160"/>
      <c r="L622" s="160"/>
      <c r="M622" s="160"/>
      <c r="N622" s="160"/>
      <c r="O622" s="160"/>
      <c r="P622" s="160"/>
      <c r="Q622" s="160"/>
      <c r="R622" s="160"/>
      <c r="S622" s="160"/>
      <c r="T622" s="160"/>
      <c r="U622" s="160"/>
      <c r="V622" s="160"/>
      <c r="W622" s="160"/>
      <c r="X622" s="160"/>
      <c r="Y622" s="160"/>
      <c r="Z622" s="160"/>
      <c r="AA622" s="160"/>
    </row>
    <row r="623" spans="1:27" ht="12.75" customHeight="1" x14ac:dyDescent="0.2">
      <c r="A623" s="160"/>
      <c r="B623" s="160"/>
      <c r="D623" s="160"/>
      <c r="F623" s="160"/>
      <c r="G623" s="160"/>
      <c r="H623" s="160"/>
      <c r="I623" s="160"/>
      <c r="J623" s="160"/>
      <c r="K623" s="160"/>
      <c r="L623" s="160"/>
      <c r="M623" s="160"/>
      <c r="N623" s="160"/>
      <c r="O623" s="160"/>
      <c r="P623" s="160"/>
      <c r="Q623" s="160"/>
      <c r="R623" s="160"/>
      <c r="S623" s="160"/>
      <c r="T623" s="160"/>
      <c r="U623" s="160"/>
      <c r="V623" s="160"/>
      <c r="W623" s="160"/>
      <c r="X623" s="160"/>
      <c r="Y623" s="160"/>
      <c r="Z623" s="160"/>
      <c r="AA623" s="160"/>
    </row>
    <row r="624" spans="1:27" ht="12.75" customHeight="1" x14ac:dyDescent="0.2">
      <c r="A624" s="160"/>
      <c r="B624" s="160"/>
      <c r="D624" s="160"/>
      <c r="F624" s="160"/>
      <c r="G624" s="160"/>
      <c r="H624" s="160"/>
      <c r="I624" s="160"/>
      <c r="J624" s="160"/>
      <c r="K624" s="160"/>
      <c r="L624" s="160"/>
      <c r="M624" s="160"/>
      <c r="N624" s="160"/>
      <c r="O624" s="160"/>
      <c r="P624" s="160"/>
      <c r="Q624" s="160"/>
      <c r="R624" s="160"/>
      <c r="S624" s="160"/>
      <c r="T624" s="160"/>
      <c r="U624" s="160"/>
      <c r="V624" s="160"/>
      <c r="W624" s="160"/>
      <c r="X624" s="160"/>
      <c r="Y624" s="160"/>
      <c r="Z624" s="160"/>
      <c r="AA624" s="160"/>
    </row>
    <row r="625" spans="1:27" ht="12.75" customHeight="1" x14ac:dyDescent="0.2">
      <c r="A625" s="160"/>
      <c r="B625" s="160"/>
      <c r="D625" s="160"/>
      <c r="F625" s="160"/>
      <c r="G625" s="160"/>
      <c r="H625" s="160"/>
      <c r="I625" s="160"/>
      <c r="J625" s="160"/>
      <c r="K625" s="160"/>
      <c r="L625" s="160"/>
      <c r="M625" s="160"/>
      <c r="N625" s="160"/>
      <c r="O625" s="160"/>
      <c r="P625" s="160"/>
      <c r="Q625" s="160"/>
      <c r="R625" s="160"/>
      <c r="S625" s="160"/>
      <c r="T625" s="160"/>
      <c r="U625" s="160"/>
      <c r="V625" s="160"/>
      <c r="W625" s="160"/>
      <c r="X625" s="160"/>
      <c r="Y625" s="160"/>
      <c r="Z625" s="160"/>
      <c r="AA625" s="160"/>
    </row>
    <row r="626" spans="1:27" ht="12.75" customHeight="1" x14ac:dyDescent="0.2">
      <c r="A626" s="160"/>
      <c r="B626" s="160"/>
      <c r="D626" s="160"/>
      <c r="F626" s="160"/>
      <c r="G626" s="160"/>
      <c r="H626" s="160"/>
      <c r="I626" s="160"/>
      <c r="J626" s="160"/>
      <c r="K626" s="160"/>
      <c r="L626" s="160"/>
      <c r="M626" s="160"/>
      <c r="N626" s="160"/>
      <c r="O626" s="160"/>
      <c r="P626" s="160"/>
      <c r="Q626" s="160"/>
      <c r="R626" s="160"/>
      <c r="S626" s="160"/>
      <c r="T626" s="160"/>
      <c r="U626" s="160"/>
      <c r="V626" s="160"/>
      <c r="W626" s="160"/>
      <c r="X626" s="160"/>
      <c r="Y626" s="160"/>
      <c r="Z626" s="160"/>
      <c r="AA626" s="160"/>
    </row>
    <row r="627" spans="1:27" ht="12.75" customHeight="1" x14ac:dyDescent="0.2">
      <c r="A627" s="160"/>
      <c r="B627" s="160"/>
      <c r="D627" s="160"/>
      <c r="F627" s="160"/>
      <c r="G627" s="160"/>
      <c r="H627" s="160"/>
      <c r="I627" s="160"/>
      <c r="J627" s="160"/>
      <c r="K627" s="160"/>
      <c r="L627" s="160"/>
      <c r="M627" s="160"/>
      <c r="N627" s="160"/>
      <c r="O627" s="160"/>
      <c r="P627" s="160"/>
      <c r="Q627" s="160"/>
      <c r="R627" s="160"/>
      <c r="S627" s="160"/>
      <c r="T627" s="160"/>
      <c r="U627" s="160"/>
      <c r="V627" s="160"/>
      <c r="W627" s="160"/>
      <c r="X627" s="160"/>
      <c r="Y627" s="160"/>
      <c r="Z627" s="160"/>
      <c r="AA627" s="160"/>
    </row>
    <row r="628" spans="1:27" ht="12.75" customHeight="1" x14ac:dyDescent="0.2">
      <c r="A628" s="160"/>
      <c r="B628" s="160"/>
      <c r="D628" s="160"/>
      <c r="F628" s="160"/>
      <c r="G628" s="160"/>
      <c r="H628" s="160"/>
      <c r="I628" s="160"/>
      <c r="J628" s="160"/>
      <c r="K628" s="160"/>
      <c r="L628" s="160"/>
      <c r="M628" s="160"/>
      <c r="N628" s="160"/>
      <c r="O628" s="160"/>
      <c r="P628" s="160"/>
      <c r="Q628" s="160"/>
      <c r="R628" s="160"/>
      <c r="S628" s="160"/>
      <c r="T628" s="160"/>
      <c r="U628" s="160"/>
      <c r="V628" s="160"/>
      <c r="W628" s="160"/>
      <c r="X628" s="160"/>
      <c r="Y628" s="160"/>
      <c r="Z628" s="160"/>
      <c r="AA628" s="160"/>
    </row>
    <row r="629" spans="1:27" ht="12.75" customHeight="1" x14ac:dyDescent="0.2">
      <c r="A629" s="160"/>
      <c r="B629" s="160"/>
      <c r="D629" s="160"/>
      <c r="F629" s="160"/>
      <c r="G629" s="160"/>
      <c r="H629" s="160"/>
      <c r="I629" s="160"/>
      <c r="J629" s="160"/>
      <c r="K629" s="160"/>
      <c r="L629" s="160"/>
      <c r="M629" s="160"/>
      <c r="N629" s="160"/>
      <c r="O629" s="160"/>
      <c r="P629" s="160"/>
      <c r="Q629" s="160"/>
      <c r="R629" s="160"/>
      <c r="S629" s="160"/>
      <c r="T629" s="160"/>
      <c r="U629" s="160"/>
      <c r="V629" s="160"/>
      <c r="W629" s="160"/>
      <c r="X629" s="160"/>
      <c r="Y629" s="160"/>
      <c r="Z629" s="160"/>
      <c r="AA629" s="160"/>
    </row>
    <row r="630" spans="1:27" ht="12.75" customHeight="1" x14ac:dyDescent="0.2">
      <c r="A630" s="160"/>
      <c r="B630" s="160"/>
      <c r="D630" s="160"/>
      <c r="F630" s="160"/>
      <c r="G630" s="160"/>
      <c r="H630" s="160"/>
      <c r="I630" s="160"/>
      <c r="J630" s="160"/>
      <c r="K630" s="160"/>
      <c r="L630" s="160"/>
      <c r="M630" s="160"/>
      <c r="N630" s="160"/>
      <c r="O630" s="160"/>
      <c r="P630" s="160"/>
      <c r="Q630" s="160"/>
      <c r="R630" s="160"/>
      <c r="S630" s="160"/>
      <c r="T630" s="160"/>
      <c r="U630" s="160"/>
      <c r="V630" s="160"/>
      <c r="W630" s="160"/>
      <c r="X630" s="160"/>
      <c r="Y630" s="160"/>
      <c r="Z630" s="160"/>
      <c r="AA630" s="160"/>
    </row>
    <row r="631" spans="1:27" ht="12.75" customHeight="1" x14ac:dyDescent="0.2">
      <c r="A631" s="160"/>
      <c r="B631" s="160"/>
      <c r="D631" s="160"/>
      <c r="F631" s="160"/>
      <c r="G631" s="160"/>
      <c r="H631" s="160"/>
      <c r="I631" s="160"/>
      <c r="J631" s="160"/>
      <c r="K631" s="160"/>
      <c r="L631" s="160"/>
      <c r="M631" s="160"/>
      <c r="N631" s="160"/>
      <c r="O631" s="160"/>
      <c r="P631" s="160"/>
      <c r="Q631" s="160"/>
      <c r="R631" s="160"/>
      <c r="S631" s="160"/>
      <c r="T631" s="160"/>
      <c r="U631" s="160"/>
      <c r="V631" s="160"/>
      <c r="W631" s="160"/>
      <c r="X631" s="160"/>
      <c r="Y631" s="160"/>
      <c r="Z631" s="160"/>
      <c r="AA631" s="160"/>
    </row>
    <row r="632" spans="1:27" ht="12.75" customHeight="1" x14ac:dyDescent="0.2">
      <c r="A632" s="160"/>
      <c r="B632" s="160"/>
      <c r="D632" s="160"/>
      <c r="F632" s="160"/>
      <c r="G632" s="160"/>
      <c r="H632" s="160"/>
      <c r="I632" s="160"/>
      <c r="J632" s="160"/>
      <c r="K632" s="160"/>
      <c r="L632" s="160"/>
      <c r="M632" s="160"/>
      <c r="N632" s="160"/>
      <c r="O632" s="160"/>
      <c r="P632" s="160"/>
      <c r="Q632" s="160"/>
      <c r="R632" s="160"/>
      <c r="S632" s="160"/>
      <c r="T632" s="160"/>
      <c r="U632" s="160"/>
      <c r="V632" s="160"/>
      <c r="W632" s="160"/>
      <c r="X632" s="160"/>
      <c r="Y632" s="160"/>
      <c r="Z632" s="160"/>
      <c r="AA632" s="160"/>
    </row>
    <row r="633" spans="1:27" ht="12.75" customHeight="1" x14ac:dyDescent="0.2">
      <c r="A633" s="160"/>
      <c r="B633" s="160"/>
      <c r="D633" s="160"/>
      <c r="F633" s="160"/>
      <c r="G633" s="160"/>
      <c r="H633" s="160"/>
      <c r="I633" s="160"/>
      <c r="J633" s="160"/>
      <c r="K633" s="160"/>
      <c r="L633" s="160"/>
      <c r="M633" s="160"/>
      <c r="N633" s="160"/>
      <c r="O633" s="160"/>
      <c r="P633" s="160"/>
      <c r="Q633" s="160"/>
      <c r="R633" s="160"/>
      <c r="S633" s="160"/>
      <c r="T633" s="160"/>
      <c r="U633" s="160"/>
      <c r="V633" s="160"/>
      <c r="W633" s="160"/>
      <c r="X633" s="160"/>
      <c r="Y633" s="160"/>
      <c r="Z633" s="160"/>
      <c r="AA633" s="160"/>
    </row>
    <row r="634" spans="1:27" ht="12.75" customHeight="1" x14ac:dyDescent="0.2">
      <c r="A634" s="160"/>
      <c r="B634" s="160"/>
      <c r="D634" s="160"/>
      <c r="F634" s="160"/>
      <c r="G634" s="160"/>
      <c r="H634" s="160"/>
      <c r="I634" s="160"/>
      <c r="J634" s="160"/>
      <c r="K634" s="160"/>
      <c r="L634" s="160"/>
      <c r="M634" s="160"/>
      <c r="N634" s="160"/>
      <c r="O634" s="160"/>
      <c r="P634" s="160"/>
      <c r="Q634" s="160"/>
      <c r="R634" s="160"/>
      <c r="S634" s="160"/>
      <c r="T634" s="160"/>
      <c r="U634" s="160"/>
      <c r="V634" s="160"/>
      <c r="W634" s="160"/>
      <c r="X634" s="160"/>
      <c r="Y634" s="160"/>
      <c r="Z634" s="160"/>
      <c r="AA634" s="160"/>
    </row>
    <row r="635" spans="1:27" ht="12.75" customHeight="1" x14ac:dyDescent="0.2">
      <c r="A635" s="160"/>
      <c r="B635" s="160"/>
      <c r="D635" s="160"/>
      <c r="F635" s="160"/>
      <c r="G635" s="160"/>
      <c r="H635" s="160"/>
      <c r="I635" s="160"/>
      <c r="J635" s="160"/>
      <c r="K635" s="160"/>
      <c r="L635" s="160"/>
      <c r="M635" s="160"/>
      <c r="N635" s="160"/>
      <c r="O635" s="160"/>
      <c r="P635" s="160"/>
      <c r="Q635" s="160"/>
      <c r="R635" s="160"/>
      <c r="S635" s="160"/>
      <c r="T635" s="160"/>
      <c r="U635" s="160"/>
      <c r="V635" s="160"/>
      <c r="W635" s="160"/>
      <c r="X635" s="160"/>
      <c r="Y635" s="160"/>
      <c r="Z635" s="160"/>
      <c r="AA635" s="160"/>
    </row>
    <row r="636" spans="1:27" ht="12.75" customHeight="1" x14ac:dyDescent="0.2">
      <c r="A636" s="160"/>
      <c r="B636" s="160"/>
      <c r="D636" s="160"/>
      <c r="F636" s="160"/>
      <c r="G636" s="160"/>
      <c r="H636" s="160"/>
      <c r="I636" s="160"/>
      <c r="J636" s="160"/>
      <c r="K636" s="160"/>
      <c r="L636" s="160"/>
      <c r="M636" s="160"/>
      <c r="N636" s="160"/>
      <c r="O636" s="160"/>
      <c r="P636" s="160"/>
      <c r="Q636" s="160"/>
      <c r="R636" s="160"/>
      <c r="S636" s="160"/>
      <c r="T636" s="160"/>
      <c r="U636" s="160"/>
      <c r="V636" s="160"/>
      <c r="W636" s="160"/>
      <c r="X636" s="160"/>
      <c r="Y636" s="160"/>
      <c r="Z636" s="160"/>
      <c r="AA636" s="160"/>
    </row>
    <row r="637" spans="1:27" ht="12.75" customHeight="1" x14ac:dyDescent="0.2">
      <c r="A637" s="160"/>
      <c r="B637" s="160"/>
      <c r="D637" s="160"/>
      <c r="F637" s="160"/>
      <c r="G637" s="160"/>
      <c r="H637" s="160"/>
      <c r="I637" s="160"/>
      <c r="J637" s="160"/>
      <c r="K637" s="160"/>
      <c r="L637" s="160"/>
      <c r="M637" s="160"/>
      <c r="N637" s="160"/>
      <c r="O637" s="160"/>
      <c r="P637" s="160"/>
      <c r="Q637" s="160"/>
      <c r="R637" s="160"/>
      <c r="S637" s="160"/>
      <c r="T637" s="160"/>
      <c r="U637" s="160"/>
      <c r="V637" s="160"/>
      <c r="W637" s="160"/>
      <c r="X637" s="160"/>
      <c r="Y637" s="160"/>
      <c r="Z637" s="160"/>
      <c r="AA637" s="160"/>
    </row>
    <row r="638" spans="1:27" ht="12.75" customHeight="1" x14ac:dyDescent="0.2">
      <c r="A638" s="160"/>
      <c r="B638" s="160"/>
      <c r="D638" s="160"/>
      <c r="F638" s="160"/>
      <c r="G638" s="160"/>
      <c r="H638" s="160"/>
      <c r="I638" s="160"/>
      <c r="J638" s="160"/>
      <c r="K638" s="160"/>
      <c r="L638" s="160"/>
      <c r="M638" s="160"/>
      <c r="N638" s="160"/>
      <c r="O638" s="160"/>
      <c r="P638" s="160"/>
      <c r="Q638" s="160"/>
      <c r="R638" s="160"/>
      <c r="S638" s="160"/>
      <c r="T638" s="160"/>
      <c r="U638" s="160"/>
      <c r="V638" s="160"/>
      <c r="W638" s="160"/>
      <c r="X638" s="160"/>
      <c r="Y638" s="160"/>
      <c r="Z638" s="160"/>
      <c r="AA638" s="160"/>
    </row>
    <row r="639" spans="1:27" ht="12.75" customHeight="1" x14ac:dyDescent="0.2">
      <c r="A639" s="160"/>
      <c r="B639" s="160"/>
      <c r="D639" s="160"/>
      <c r="F639" s="160"/>
      <c r="G639" s="160"/>
      <c r="H639" s="160"/>
      <c r="I639" s="160"/>
      <c r="J639" s="160"/>
      <c r="K639" s="160"/>
      <c r="L639" s="160"/>
      <c r="M639" s="160"/>
      <c r="N639" s="160"/>
      <c r="O639" s="160"/>
      <c r="P639" s="160"/>
      <c r="Q639" s="160"/>
      <c r="R639" s="160"/>
      <c r="S639" s="160"/>
      <c r="T639" s="160"/>
      <c r="U639" s="160"/>
      <c r="V639" s="160"/>
      <c r="W639" s="160"/>
      <c r="X639" s="160"/>
      <c r="Y639" s="160"/>
      <c r="Z639" s="160"/>
      <c r="AA639" s="160"/>
    </row>
    <row r="640" spans="1:27" ht="12.75" customHeight="1" x14ac:dyDescent="0.2">
      <c r="A640" s="160"/>
      <c r="B640" s="160"/>
      <c r="D640" s="160"/>
      <c r="F640" s="160"/>
      <c r="G640" s="160"/>
      <c r="H640" s="160"/>
      <c r="I640" s="160"/>
      <c r="J640" s="160"/>
      <c r="K640" s="160"/>
      <c r="L640" s="160"/>
      <c r="M640" s="160"/>
      <c r="N640" s="160"/>
      <c r="O640" s="160"/>
      <c r="P640" s="160"/>
      <c r="Q640" s="160"/>
      <c r="R640" s="160"/>
      <c r="S640" s="160"/>
      <c r="T640" s="160"/>
      <c r="U640" s="160"/>
      <c r="V640" s="160"/>
      <c r="W640" s="160"/>
      <c r="X640" s="160"/>
      <c r="Y640" s="160"/>
      <c r="Z640" s="160"/>
      <c r="AA640" s="160"/>
    </row>
    <row r="641" spans="1:27" ht="12.75" customHeight="1" x14ac:dyDescent="0.2">
      <c r="A641" s="160"/>
      <c r="B641" s="160"/>
      <c r="D641" s="160"/>
      <c r="F641" s="160"/>
      <c r="G641" s="160"/>
      <c r="H641" s="160"/>
      <c r="I641" s="160"/>
      <c r="J641" s="160"/>
      <c r="K641" s="160"/>
      <c r="L641" s="160"/>
      <c r="M641" s="160"/>
      <c r="N641" s="160"/>
      <c r="O641" s="160"/>
      <c r="P641" s="160"/>
      <c r="Q641" s="160"/>
      <c r="R641" s="160"/>
      <c r="S641" s="160"/>
      <c r="T641" s="160"/>
      <c r="U641" s="160"/>
      <c r="V641" s="160"/>
      <c r="W641" s="160"/>
      <c r="X641" s="160"/>
      <c r="Y641" s="160"/>
      <c r="Z641" s="160"/>
      <c r="AA641" s="160"/>
    </row>
    <row r="642" spans="1:27" ht="12.75" customHeight="1" x14ac:dyDescent="0.2">
      <c r="A642" s="160"/>
      <c r="B642" s="160"/>
      <c r="D642" s="160"/>
      <c r="F642" s="160"/>
      <c r="G642" s="160"/>
      <c r="H642" s="160"/>
      <c r="I642" s="160"/>
      <c r="J642" s="160"/>
      <c r="K642" s="160"/>
      <c r="L642" s="160"/>
      <c r="M642" s="160"/>
      <c r="N642" s="160"/>
      <c r="O642" s="160"/>
      <c r="P642" s="160"/>
      <c r="Q642" s="160"/>
      <c r="R642" s="160"/>
      <c r="S642" s="160"/>
      <c r="T642" s="160"/>
      <c r="U642" s="160"/>
      <c r="V642" s="160"/>
      <c r="W642" s="160"/>
      <c r="X642" s="160"/>
      <c r="Y642" s="160"/>
      <c r="Z642" s="160"/>
      <c r="AA642" s="160"/>
    </row>
    <row r="643" spans="1:27" ht="12.75" customHeight="1" x14ac:dyDescent="0.2">
      <c r="A643" s="160"/>
      <c r="B643" s="160"/>
      <c r="D643" s="160"/>
      <c r="F643" s="160"/>
      <c r="G643" s="160"/>
      <c r="H643" s="160"/>
      <c r="I643" s="160"/>
      <c r="J643" s="160"/>
      <c r="K643" s="160"/>
      <c r="L643" s="160"/>
      <c r="M643" s="160"/>
      <c r="N643" s="160"/>
      <c r="O643" s="160"/>
      <c r="P643" s="160"/>
      <c r="Q643" s="160"/>
      <c r="R643" s="160"/>
      <c r="S643" s="160"/>
      <c r="T643" s="160"/>
      <c r="U643" s="160"/>
      <c r="V643" s="160"/>
      <c r="W643" s="160"/>
      <c r="X643" s="160"/>
      <c r="Y643" s="160"/>
      <c r="Z643" s="160"/>
      <c r="AA643" s="160"/>
    </row>
    <row r="644" spans="1:27" ht="12.75" customHeight="1" x14ac:dyDescent="0.2">
      <c r="A644" s="160"/>
      <c r="B644" s="160"/>
      <c r="D644" s="160"/>
      <c r="F644" s="160"/>
      <c r="G644" s="160"/>
      <c r="H644" s="160"/>
      <c r="I644" s="160"/>
      <c r="J644" s="160"/>
      <c r="K644" s="160"/>
      <c r="L644" s="160"/>
      <c r="M644" s="160"/>
      <c r="N644" s="160"/>
      <c r="O644" s="160"/>
      <c r="P644" s="160"/>
      <c r="Q644" s="160"/>
      <c r="R644" s="160"/>
      <c r="S644" s="160"/>
      <c r="T644" s="160"/>
      <c r="U644" s="160"/>
      <c r="V644" s="160"/>
      <c r="W644" s="160"/>
      <c r="X644" s="160"/>
      <c r="Y644" s="160"/>
      <c r="Z644" s="160"/>
      <c r="AA644" s="160"/>
    </row>
    <row r="645" spans="1:27" ht="12.75" customHeight="1" x14ac:dyDescent="0.2">
      <c r="A645" s="160"/>
      <c r="B645" s="160"/>
      <c r="D645" s="160"/>
      <c r="F645" s="160"/>
      <c r="G645" s="160"/>
      <c r="H645" s="160"/>
      <c r="I645" s="160"/>
      <c r="J645" s="160"/>
      <c r="K645" s="160"/>
      <c r="L645" s="160"/>
      <c r="M645" s="160"/>
      <c r="N645" s="160"/>
      <c r="O645" s="160"/>
      <c r="P645" s="160"/>
      <c r="Q645" s="160"/>
      <c r="R645" s="160"/>
      <c r="S645" s="160"/>
      <c r="T645" s="160"/>
      <c r="U645" s="160"/>
      <c r="V645" s="160"/>
      <c r="W645" s="160"/>
      <c r="X645" s="160"/>
      <c r="Y645" s="160"/>
      <c r="Z645" s="160"/>
      <c r="AA645" s="160"/>
    </row>
    <row r="646" spans="1:27" ht="12.75" customHeight="1" x14ac:dyDescent="0.2">
      <c r="A646" s="160"/>
      <c r="B646" s="160"/>
      <c r="D646" s="160"/>
      <c r="F646" s="160"/>
      <c r="G646" s="160"/>
      <c r="H646" s="160"/>
      <c r="I646" s="160"/>
      <c r="J646" s="160"/>
      <c r="K646" s="160"/>
      <c r="L646" s="160"/>
      <c r="M646" s="160"/>
      <c r="N646" s="160"/>
      <c r="O646" s="160"/>
      <c r="P646" s="160"/>
      <c r="Q646" s="160"/>
      <c r="R646" s="160"/>
      <c r="S646" s="160"/>
      <c r="T646" s="160"/>
      <c r="U646" s="160"/>
      <c r="V646" s="160"/>
      <c r="W646" s="160"/>
      <c r="X646" s="160"/>
      <c r="Y646" s="160"/>
      <c r="Z646" s="160"/>
      <c r="AA646" s="160"/>
    </row>
    <row r="647" spans="1:27" ht="12.75" customHeight="1" x14ac:dyDescent="0.2">
      <c r="A647" s="160"/>
      <c r="B647" s="160"/>
      <c r="D647" s="160"/>
      <c r="F647" s="160"/>
      <c r="G647" s="160"/>
      <c r="H647" s="160"/>
      <c r="I647" s="160"/>
      <c r="J647" s="160"/>
      <c r="K647" s="160"/>
      <c r="L647" s="160"/>
      <c r="M647" s="160"/>
      <c r="N647" s="160"/>
      <c r="O647" s="160"/>
      <c r="P647" s="160"/>
      <c r="Q647" s="160"/>
      <c r="R647" s="160"/>
      <c r="S647" s="160"/>
      <c r="T647" s="160"/>
      <c r="U647" s="160"/>
      <c r="V647" s="160"/>
      <c r="W647" s="160"/>
      <c r="X647" s="160"/>
      <c r="Y647" s="160"/>
      <c r="Z647" s="160"/>
      <c r="AA647" s="160"/>
    </row>
    <row r="648" spans="1:27" ht="12.75" customHeight="1" x14ac:dyDescent="0.2">
      <c r="A648" s="160"/>
      <c r="B648" s="160"/>
      <c r="D648" s="160"/>
      <c r="F648" s="160"/>
      <c r="G648" s="160"/>
      <c r="H648" s="160"/>
      <c r="I648" s="160"/>
      <c r="J648" s="160"/>
      <c r="K648" s="160"/>
      <c r="L648" s="160"/>
      <c r="M648" s="160"/>
      <c r="N648" s="160"/>
      <c r="O648" s="160"/>
      <c r="P648" s="160"/>
      <c r="Q648" s="160"/>
      <c r="R648" s="160"/>
      <c r="S648" s="160"/>
      <c r="T648" s="160"/>
      <c r="U648" s="160"/>
      <c r="V648" s="160"/>
      <c r="W648" s="160"/>
      <c r="X648" s="160"/>
      <c r="Y648" s="160"/>
      <c r="Z648" s="160"/>
      <c r="AA648" s="160"/>
    </row>
    <row r="649" spans="1:27" ht="12.75" customHeight="1" x14ac:dyDescent="0.2">
      <c r="A649" s="160"/>
      <c r="B649" s="160"/>
      <c r="D649" s="160"/>
      <c r="F649" s="160"/>
      <c r="G649" s="160"/>
      <c r="H649" s="160"/>
      <c r="I649" s="160"/>
      <c r="J649" s="160"/>
      <c r="K649" s="160"/>
      <c r="L649" s="160"/>
      <c r="M649" s="160"/>
      <c r="N649" s="160"/>
      <c r="O649" s="160"/>
      <c r="P649" s="160"/>
      <c r="Q649" s="160"/>
      <c r="R649" s="160"/>
      <c r="S649" s="160"/>
      <c r="T649" s="160"/>
      <c r="U649" s="160"/>
      <c r="V649" s="160"/>
      <c r="W649" s="160"/>
      <c r="X649" s="160"/>
      <c r="Y649" s="160"/>
      <c r="Z649" s="160"/>
      <c r="AA649" s="160"/>
    </row>
    <row r="650" spans="1:27" ht="12.75" customHeight="1" x14ac:dyDescent="0.2">
      <c r="A650" s="160"/>
      <c r="B650" s="160"/>
      <c r="D650" s="160"/>
      <c r="F650" s="160"/>
      <c r="G650" s="160"/>
      <c r="H650" s="160"/>
      <c r="I650" s="160"/>
      <c r="J650" s="160"/>
      <c r="K650" s="160"/>
      <c r="L650" s="160"/>
      <c r="M650" s="160"/>
      <c r="N650" s="160"/>
      <c r="O650" s="160"/>
      <c r="P650" s="160"/>
      <c r="Q650" s="160"/>
      <c r="R650" s="160"/>
      <c r="S650" s="160"/>
      <c r="T650" s="160"/>
      <c r="U650" s="160"/>
      <c r="V650" s="160"/>
      <c r="W650" s="160"/>
      <c r="X650" s="160"/>
      <c r="Y650" s="160"/>
      <c r="Z650" s="160"/>
      <c r="AA650" s="160"/>
    </row>
    <row r="651" spans="1:27" ht="12.75" customHeight="1" x14ac:dyDescent="0.2">
      <c r="A651" s="160"/>
      <c r="B651" s="160"/>
      <c r="D651" s="160"/>
      <c r="F651" s="160"/>
      <c r="G651" s="160"/>
      <c r="H651" s="160"/>
      <c r="I651" s="160"/>
      <c r="J651" s="160"/>
      <c r="K651" s="160"/>
      <c r="L651" s="160"/>
      <c r="M651" s="160"/>
      <c r="N651" s="160"/>
      <c r="O651" s="160"/>
      <c r="P651" s="160"/>
      <c r="Q651" s="160"/>
      <c r="R651" s="160"/>
      <c r="S651" s="160"/>
      <c r="T651" s="160"/>
      <c r="U651" s="160"/>
      <c r="V651" s="160"/>
      <c r="W651" s="160"/>
      <c r="X651" s="160"/>
      <c r="Y651" s="160"/>
      <c r="Z651" s="160"/>
      <c r="AA651" s="160"/>
    </row>
    <row r="652" spans="1:27" ht="12.75" customHeight="1" x14ac:dyDescent="0.2">
      <c r="A652" s="160"/>
      <c r="B652" s="160"/>
      <c r="D652" s="160"/>
      <c r="F652" s="160"/>
      <c r="G652" s="160"/>
      <c r="H652" s="160"/>
      <c r="I652" s="160"/>
      <c r="J652" s="160"/>
      <c r="K652" s="160"/>
      <c r="L652" s="160"/>
      <c r="M652" s="160"/>
      <c r="N652" s="160"/>
      <c r="O652" s="160"/>
      <c r="P652" s="160"/>
      <c r="Q652" s="160"/>
      <c r="R652" s="160"/>
      <c r="S652" s="160"/>
      <c r="T652" s="160"/>
      <c r="U652" s="160"/>
      <c r="V652" s="160"/>
      <c r="W652" s="160"/>
      <c r="X652" s="160"/>
      <c r="Y652" s="160"/>
      <c r="Z652" s="160"/>
      <c r="AA652" s="160"/>
    </row>
    <row r="653" spans="1:27" ht="12.75" customHeight="1" x14ac:dyDescent="0.2">
      <c r="A653" s="160"/>
      <c r="B653" s="160"/>
      <c r="D653" s="160"/>
      <c r="F653" s="160"/>
      <c r="G653" s="160"/>
      <c r="H653" s="160"/>
      <c r="I653" s="160"/>
      <c r="J653" s="160"/>
      <c r="K653" s="160"/>
      <c r="L653" s="160"/>
      <c r="M653" s="160"/>
      <c r="N653" s="160"/>
      <c r="O653" s="160"/>
      <c r="P653" s="160"/>
      <c r="Q653" s="160"/>
      <c r="R653" s="160"/>
      <c r="S653" s="160"/>
      <c r="T653" s="160"/>
      <c r="U653" s="160"/>
      <c r="V653" s="160"/>
      <c r="W653" s="160"/>
      <c r="X653" s="160"/>
      <c r="Y653" s="160"/>
      <c r="Z653" s="160"/>
      <c r="AA653" s="160"/>
    </row>
    <row r="654" spans="1:27" ht="12.75" customHeight="1" x14ac:dyDescent="0.2">
      <c r="A654" s="160"/>
      <c r="B654" s="160"/>
      <c r="D654" s="160"/>
      <c r="F654" s="160"/>
      <c r="G654" s="160"/>
      <c r="H654" s="160"/>
      <c r="I654" s="160"/>
      <c r="J654" s="160"/>
      <c r="K654" s="160"/>
      <c r="L654" s="160"/>
      <c r="M654" s="160"/>
      <c r="N654" s="160"/>
      <c r="O654" s="160"/>
      <c r="P654" s="160"/>
      <c r="Q654" s="160"/>
      <c r="R654" s="160"/>
      <c r="S654" s="160"/>
      <c r="T654" s="160"/>
      <c r="U654" s="160"/>
      <c r="V654" s="160"/>
      <c r="W654" s="160"/>
      <c r="X654" s="160"/>
      <c r="Y654" s="160"/>
      <c r="Z654" s="160"/>
      <c r="AA654" s="160"/>
    </row>
    <row r="655" spans="1:27" ht="12.75" customHeight="1" x14ac:dyDescent="0.2">
      <c r="A655" s="160"/>
      <c r="B655" s="160"/>
      <c r="D655" s="160"/>
      <c r="F655" s="160"/>
      <c r="G655" s="160"/>
      <c r="H655" s="160"/>
      <c r="I655" s="160"/>
      <c r="J655" s="160"/>
      <c r="K655" s="160"/>
      <c r="L655" s="160"/>
      <c r="M655" s="160"/>
      <c r="N655" s="160"/>
      <c r="O655" s="160"/>
      <c r="P655" s="160"/>
      <c r="Q655" s="160"/>
      <c r="R655" s="160"/>
      <c r="S655" s="160"/>
      <c r="T655" s="160"/>
      <c r="U655" s="160"/>
      <c r="V655" s="160"/>
      <c r="W655" s="160"/>
      <c r="X655" s="160"/>
      <c r="Y655" s="160"/>
      <c r="Z655" s="160"/>
      <c r="AA655" s="160"/>
    </row>
    <row r="656" spans="1:27" ht="12.75" customHeight="1" x14ac:dyDescent="0.2">
      <c r="A656" s="160"/>
      <c r="B656" s="160"/>
      <c r="D656" s="160"/>
      <c r="F656" s="160"/>
      <c r="G656" s="160"/>
      <c r="H656" s="160"/>
      <c r="I656" s="160"/>
      <c r="J656" s="160"/>
      <c r="K656" s="160"/>
      <c r="L656" s="160"/>
      <c r="M656" s="160"/>
      <c r="N656" s="160"/>
      <c r="O656" s="160"/>
      <c r="P656" s="160"/>
      <c r="Q656" s="160"/>
      <c r="R656" s="160"/>
      <c r="S656" s="160"/>
      <c r="T656" s="160"/>
      <c r="U656" s="160"/>
      <c r="V656" s="160"/>
      <c r="W656" s="160"/>
      <c r="X656" s="160"/>
      <c r="Y656" s="160"/>
      <c r="Z656" s="160"/>
      <c r="AA656" s="160"/>
    </row>
    <row r="657" spans="1:27" ht="12.75" customHeight="1" x14ac:dyDescent="0.2">
      <c r="A657" s="160"/>
      <c r="B657" s="160"/>
      <c r="D657" s="160"/>
      <c r="F657" s="160"/>
      <c r="G657" s="160"/>
      <c r="H657" s="160"/>
      <c r="I657" s="160"/>
      <c r="J657" s="160"/>
      <c r="K657" s="160"/>
      <c r="L657" s="160"/>
      <c r="M657" s="160"/>
      <c r="N657" s="160"/>
      <c r="O657" s="160"/>
      <c r="P657" s="160"/>
      <c r="Q657" s="160"/>
      <c r="R657" s="160"/>
      <c r="S657" s="160"/>
      <c r="T657" s="160"/>
      <c r="U657" s="160"/>
      <c r="V657" s="160"/>
      <c r="W657" s="160"/>
      <c r="X657" s="160"/>
      <c r="Y657" s="160"/>
      <c r="Z657" s="160"/>
      <c r="AA657" s="160"/>
    </row>
    <row r="658" spans="1:27" ht="12.75" customHeight="1" x14ac:dyDescent="0.2">
      <c r="A658" s="160"/>
      <c r="B658" s="160"/>
      <c r="D658" s="160"/>
      <c r="F658" s="160"/>
      <c r="G658" s="160"/>
      <c r="H658" s="160"/>
      <c r="I658" s="160"/>
      <c r="J658" s="160"/>
      <c r="K658" s="160"/>
      <c r="L658" s="160"/>
      <c r="M658" s="160"/>
      <c r="N658" s="160"/>
      <c r="O658" s="160"/>
      <c r="P658" s="160"/>
      <c r="Q658" s="160"/>
      <c r="R658" s="160"/>
      <c r="S658" s="160"/>
      <c r="T658" s="160"/>
      <c r="U658" s="160"/>
      <c r="V658" s="160"/>
      <c r="W658" s="160"/>
      <c r="X658" s="160"/>
      <c r="Y658" s="160"/>
      <c r="Z658" s="160"/>
      <c r="AA658" s="160"/>
    </row>
    <row r="659" spans="1:27" ht="12.75" customHeight="1" x14ac:dyDescent="0.2">
      <c r="A659" s="160"/>
      <c r="B659" s="160"/>
      <c r="D659" s="160"/>
      <c r="F659" s="160"/>
      <c r="G659" s="160"/>
      <c r="H659" s="160"/>
      <c r="I659" s="160"/>
      <c r="J659" s="160"/>
      <c r="K659" s="160"/>
      <c r="L659" s="160"/>
      <c r="M659" s="160"/>
      <c r="N659" s="160"/>
      <c r="O659" s="160"/>
      <c r="P659" s="160"/>
      <c r="Q659" s="160"/>
      <c r="R659" s="160"/>
      <c r="S659" s="160"/>
      <c r="T659" s="160"/>
      <c r="U659" s="160"/>
      <c r="V659" s="160"/>
      <c r="W659" s="160"/>
      <c r="X659" s="160"/>
      <c r="Y659" s="160"/>
      <c r="Z659" s="160"/>
      <c r="AA659" s="160"/>
    </row>
    <row r="660" spans="1:27" ht="12.75" customHeight="1" x14ac:dyDescent="0.2">
      <c r="A660" s="160"/>
      <c r="B660" s="160"/>
      <c r="D660" s="160"/>
      <c r="F660" s="160"/>
      <c r="G660" s="160"/>
      <c r="H660" s="160"/>
      <c r="I660" s="160"/>
      <c r="J660" s="160"/>
      <c r="K660" s="160"/>
      <c r="L660" s="160"/>
      <c r="M660" s="160"/>
      <c r="N660" s="160"/>
      <c r="O660" s="160"/>
      <c r="P660" s="160"/>
      <c r="Q660" s="160"/>
      <c r="R660" s="160"/>
      <c r="S660" s="160"/>
      <c r="T660" s="160"/>
      <c r="U660" s="160"/>
      <c r="V660" s="160"/>
      <c r="W660" s="160"/>
      <c r="X660" s="160"/>
      <c r="Y660" s="160"/>
      <c r="Z660" s="160"/>
      <c r="AA660" s="160"/>
    </row>
    <row r="661" spans="1:27" ht="12.75" customHeight="1" x14ac:dyDescent="0.2">
      <c r="A661" s="160"/>
      <c r="B661" s="160"/>
      <c r="D661" s="160"/>
      <c r="F661" s="160"/>
      <c r="G661" s="160"/>
      <c r="H661" s="160"/>
      <c r="I661" s="160"/>
      <c r="J661" s="160"/>
      <c r="K661" s="160"/>
      <c r="L661" s="160"/>
      <c r="M661" s="160"/>
      <c r="N661" s="160"/>
      <c r="O661" s="160"/>
      <c r="P661" s="160"/>
      <c r="Q661" s="160"/>
      <c r="R661" s="160"/>
      <c r="S661" s="160"/>
      <c r="T661" s="160"/>
      <c r="U661" s="160"/>
      <c r="V661" s="160"/>
      <c r="W661" s="160"/>
      <c r="X661" s="160"/>
      <c r="Y661" s="160"/>
      <c r="Z661" s="160"/>
      <c r="AA661" s="160"/>
    </row>
    <row r="662" spans="1:27" ht="12.75" customHeight="1" x14ac:dyDescent="0.2">
      <c r="A662" s="160"/>
      <c r="B662" s="160"/>
      <c r="D662" s="160"/>
      <c r="F662" s="160"/>
      <c r="G662" s="160"/>
      <c r="H662" s="160"/>
      <c r="I662" s="160"/>
      <c r="J662" s="160"/>
      <c r="K662" s="160"/>
      <c r="L662" s="160"/>
      <c r="M662" s="160"/>
      <c r="N662" s="160"/>
      <c r="O662" s="160"/>
      <c r="P662" s="160"/>
      <c r="Q662" s="160"/>
      <c r="R662" s="160"/>
      <c r="S662" s="160"/>
      <c r="T662" s="160"/>
      <c r="U662" s="160"/>
      <c r="V662" s="160"/>
      <c r="W662" s="160"/>
      <c r="X662" s="160"/>
      <c r="Y662" s="160"/>
      <c r="Z662" s="160"/>
      <c r="AA662" s="160"/>
    </row>
    <row r="663" spans="1:27" ht="12.75" customHeight="1" x14ac:dyDescent="0.2">
      <c r="A663" s="160"/>
      <c r="B663" s="160"/>
      <c r="D663" s="160"/>
      <c r="F663" s="160"/>
      <c r="G663" s="160"/>
      <c r="H663" s="160"/>
      <c r="I663" s="160"/>
      <c r="J663" s="160"/>
      <c r="K663" s="160"/>
      <c r="L663" s="160"/>
      <c r="M663" s="160"/>
      <c r="N663" s="160"/>
      <c r="O663" s="160"/>
      <c r="P663" s="160"/>
      <c r="Q663" s="160"/>
      <c r="R663" s="160"/>
      <c r="S663" s="160"/>
      <c r="T663" s="160"/>
      <c r="U663" s="160"/>
      <c r="V663" s="160"/>
      <c r="W663" s="160"/>
      <c r="X663" s="160"/>
      <c r="Y663" s="160"/>
      <c r="Z663" s="160"/>
      <c r="AA663" s="160"/>
    </row>
    <row r="664" spans="1:27" ht="12.75" customHeight="1" x14ac:dyDescent="0.2">
      <c r="A664" s="160"/>
      <c r="B664" s="160"/>
      <c r="D664" s="160"/>
      <c r="F664" s="160"/>
      <c r="G664" s="160"/>
      <c r="H664" s="160"/>
      <c r="I664" s="160"/>
      <c r="J664" s="160"/>
      <c r="K664" s="160"/>
      <c r="L664" s="160"/>
      <c r="M664" s="160"/>
      <c r="N664" s="160"/>
      <c r="O664" s="160"/>
      <c r="P664" s="160"/>
      <c r="Q664" s="160"/>
      <c r="R664" s="160"/>
      <c r="S664" s="160"/>
      <c r="T664" s="160"/>
      <c r="U664" s="160"/>
      <c r="V664" s="160"/>
      <c r="W664" s="160"/>
      <c r="X664" s="160"/>
      <c r="Y664" s="160"/>
      <c r="Z664" s="160"/>
      <c r="AA664" s="160"/>
    </row>
    <row r="665" spans="1:27" ht="12.75" customHeight="1" x14ac:dyDescent="0.2">
      <c r="A665" s="160"/>
      <c r="B665" s="160"/>
      <c r="D665" s="160"/>
      <c r="F665" s="160"/>
      <c r="G665" s="160"/>
      <c r="H665" s="160"/>
      <c r="I665" s="160"/>
      <c r="J665" s="160"/>
      <c r="K665" s="160"/>
      <c r="L665" s="160"/>
      <c r="M665" s="160"/>
      <c r="N665" s="160"/>
      <c r="O665" s="160"/>
      <c r="P665" s="160"/>
      <c r="Q665" s="160"/>
      <c r="R665" s="160"/>
      <c r="S665" s="160"/>
      <c r="T665" s="160"/>
      <c r="U665" s="160"/>
      <c r="V665" s="160"/>
      <c r="W665" s="160"/>
      <c r="X665" s="160"/>
      <c r="Y665" s="160"/>
      <c r="Z665" s="160"/>
      <c r="AA665" s="160"/>
    </row>
    <row r="666" spans="1:27" ht="12.75" customHeight="1" x14ac:dyDescent="0.2">
      <c r="A666" s="160"/>
      <c r="B666" s="160"/>
      <c r="D666" s="160"/>
      <c r="F666" s="160"/>
      <c r="G666" s="160"/>
      <c r="H666" s="160"/>
      <c r="I666" s="160"/>
      <c r="J666" s="160"/>
      <c r="K666" s="160"/>
      <c r="L666" s="160"/>
      <c r="M666" s="160"/>
      <c r="N666" s="160"/>
      <c r="O666" s="160"/>
      <c r="P666" s="160"/>
      <c r="Q666" s="160"/>
      <c r="R666" s="160"/>
      <c r="S666" s="160"/>
      <c r="T666" s="160"/>
      <c r="U666" s="160"/>
      <c r="V666" s="160"/>
      <c r="W666" s="160"/>
      <c r="X666" s="160"/>
      <c r="Y666" s="160"/>
      <c r="Z666" s="160"/>
      <c r="AA666" s="160"/>
    </row>
    <row r="667" spans="1:27" ht="12.75" customHeight="1" x14ac:dyDescent="0.2">
      <c r="A667" s="160"/>
      <c r="B667" s="160"/>
      <c r="D667" s="160"/>
      <c r="F667" s="160"/>
      <c r="G667" s="160"/>
      <c r="H667" s="160"/>
      <c r="I667" s="160"/>
      <c r="J667" s="160"/>
      <c r="K667" s="160"/>
      <c r="L667" s="160"/>
      <c r="M667" s="160"/>
      <c r="N667" s="160"/>
      <c r="O667" s="160"/>
      <c r="P667" s="160"/>
      <c r="Q667" s="160"/>
      <c r="R667" s="160"/>
      <c r="S667" s="160"/>
      <c r="T667" s="160"/>
      <c r="U667" s="160"/>
      <c r="V667" s="160"/>
      <c r="W667" s="160"/>
      <c r="X667" s="160"/>
      <c r="Y667" s="160"/>
      <c r="Z667" s="160"/>
      <c r="AA667" s="160"/>
    </row>
    <row r="668" spans="1:27" ht="12.75" customHeight="1" x14ac:dyDescent="0.2">
      <c r="A668" s="160"/>
      <c r="B668" s="160"/>
      <c r="D668" s="160"/>
      <c r="F668" s="160"/>
      <c r="G668" s="160"/>
      <c r="H668" s="160"/>
      <c r="I668" s="160"/>
      <c r="J668" s="160"/>
      <c r="K668" s="160"/>
      <c r="L668" s="160"/>
      <c r="M668" s="160"/>
      <c r="N668" s="160"/>
      <c r="O668" s="160"/>
      <c r="P668" s="160"/>
      <c r="Q668" s="160"/>
      <c r="R668" s="160"/>
      <c r="S668" s="160"/>
      <c r="T668" s="160"/>
      <c r="U668" s="160"/>
      <c r="V668" s="160"/>
      <c r="W668" s="160"/>
      <c r="X668" s="160"/>
      <c r="Y668" s="160"/>
      <c r="Z668" s="160"/>
      <c r="AA668" s="160"/>
    </row>
    <row r="669" spans="1:27" ht="12.75" customHeight="1" x14ac:dyDescent="0.2">
      <c r="A669" s="160"/>
      <c r="B669" s="160"/>
      <c r="D669" s="160"/>
      <c r="F669" s="160"/>
      <c r="G669" s="160"/>
      <c r="H669" s="160"/>
      <c r="I669" s="160"/>
      <c r="J669" s="160"/>
      <c r="K669" s="160"/>
      <c r="L669" s="160"/>
      <c r="M669" s="160"/>
      <c r="N669" s="160"/>
      <c r="O669" s="160"/>
      <c r="P669" s="160"/>
      <c r="Q669" s="160"/>
      <c r="R669" s="160"/>
      <c r="S669" s="160"/>
      <c r="T669" s="160"/>
      <c r="U669" s="160"/>
      <c r="V669" s="160"/>
      <c r="W669" s="160"/>
      <c r="X669" s="160"/>
      <c r="Y669" s="160"/>
      <c r="Z669" s="160"/>
      <c r="AA669" s="160"/>
    </row>
    <row r="670" spans="1:27" ht="12.75" customHeight="1" x14ac:dyDescent="0.2">
      <c r="A670" s="160"/>
      <c r="B670" s="160"/>
      <c r="D670" s="160"/>
      <c r="F670" s="160"/>
      <c r="G670" s="160"/>
      <c r="H670" s="160"/>
      <c r="I670" s="160"/>
      <c r="J670" s="160"/>
      <c r="K670" s="160"/>
      <c r="L670" s="160"/>
      <c r="M670" s="160"/>
      <c r="N670" s="160"/>
      <c r="O670" s="160"/>
      <c r="P670" s="160"/>
      <c r="Q670" s="160"/>
      <c r="R670" s="160"/>
      <c r="S670" s="160"/>
      <c r="T670" s="160"/>
      <c r="U670" s="160"/>
      <c r="V670" s="160"/>
      <c r="W670" s="160"/>
      <c r="X670" s="160"/>
      <c r="Y670" s="160"/>
      <c r="Z670" s="160"/>
      <c r="AA670" s="160"/>
    </row>
    <row r="671" spans="1:27" ht="12.75" customHeight="1" x14ac:dyDescent="0.2">
      <c r="A671" s="160"/>
      <c r="B671" s="160"/>
      <c r="D671" s="160"/>
      <c r="F671" s="160"/>
      <c r="G671" s="160"/>
      <c r="H671" s="160"/>
      <c r="I671" s="160"/>
      <c r="J671" s="160"/>
      <c r="K671" s="160"/>
      <c r="L671" s="160"/>
      <c r="M671" s="160"/>
      <c r="N671" s="160"/>
      <c r="O671" s="160"/>
      <c r="P671" s="160"/>
      <c r="Q671" s="160"/>
      <c r="R671" s="160"/>
      <c r="S671" s="160"/>
      <c r="T671" s="160"/>
      <c r="U671" s="160"/>
      <c r="V671" s="160"/>
      <c r="W671" s="160"/>
      <c r="X671" s="160"/>
      <c r="Y671" s="160"/>
      <c r="Z671" s="160"/>
      <c r="AA671" s="160"/>
    </row>
    <row r="672" spans="1:27" ht="12.75" customHeight="1" x14ac:dyDescent="0.2">
      <c r="A672" s="160"/>
      <c r="B672" s="160"/>
      <c r="D672" s="160"/>
      <c r="F672" s="160"/>
      <c r="G672" s="160"/>
      <c r="H672" s="160"/>
      <c r="I672" s="160"/>
      <c r="J672" s="160"/>
      <c r="K672" s="160"/>
      <c r="L672" s="160"/>
      <c r="M672" s="160"/>
      <c r="N672" s="160"/>
      <c r="O672" s="160"/>
      <c r="P672" s="160"/>
      <c r="Q672" s="160"/>
      <c r="R672" s="160"/>
      <c r="S672" s="160"/>
      <c r="T672" s="160"/>
      <c r="U672" s="160"/>
      <c r="V672" s="160"/>
      <c r="W672" s="160"/>
      <c r="X672" s="160"/>
      <c r="Y672" s="160"/>
      <c r="Z672" s="160"/>
      <c r="AA672" s="160"/>
    </row>
    <row r="673" spans="1:27" ht="12.75" customHeight="1" x14ac:dyDescent="0.2">
      <c r="A673" s="160"/>
      <c r="B673" s="160"/>
      <c r="D673" s="160"/>
      <c r="F673" s="160"/>
      <c r="G673" s="160"/>
      <c r="H673" s="160"/>
      <c r="I673" s="160"/>
      <c r="J673" s="160"/>
      <c r="K673" s="160"/>
      <c r="L673" s="160"/>
      <c r="M673" s="160"/>
      <c r="N673" s="160"/>
      <c r="O673" s="160"/>
      <c r="P673" s="160"/>
      <c r="Q673" s="160"/>
      <c r="R673" s="160"/>
      <c r="S673" s="160"/>
      <c r="T673" s="160"/>
      <c r="U673" s="160"/>
      <c r="V673" s="160"/>
      <c r="W673" s="160"/>
      <c r="X673" s="160"/>
      <c r="Y673" s="160"/>
      <c r="Z673" s="160"/>
      <c r="AA673" s="160"/>
    </row>
    <row r="674" spans="1:27" ht="12.75" customHeight="1" x14ac:dyDescent="0.2">
      <c r="A674" s="160"/>
      <c r="B674" s="160"/>
      <c r="D674" s="160"/>
      <c r="F674" s="160"/>
      <c r="G674" s="160"/>
      <c r="H674" s="160"/>
      <c r="I674" s="160"/>
      <c r="J674" s="160"/>
      <c r="K674" s="160"/>
      <c r="L674" s="160"/>
      <c r="M674" s="160"/>
      <c r="N674" s="160"/>
      <c r="O674" s="160"/>
      <c r="P674" s="160"/>
      <c r="Q674" s="160"/>
      <c r="R674" s="160"/>
      <c r="S674" s="160"/>
      <c r="T674" s="160"/>
      <c r="U674" s="160"/>
      <c r="V674" s="160"/>
      <c r="W674" s="160"/>
      <c r="X674" s="160"/>
      <c r="Y674" s="160"/>
      <c r="Z674" s="160"/>
      <c r="AA674" s="160"/>
    </row>
    <row r="675" spans="1:27" ht="12.75" customHeight="1" x14ac:dyDescent="0.2">
      <c r="A675" s="160"/>
      <c r="B675" s="160"/>
      <c r="D675" s="160"/>
      <c r="F675" s="160"/>
      <c r="G675" s="160"/>
      <c r="H675" s="160"/>
      <c r="I675" s="160"/>
      <c r="J675" s="160"/>
      <c r="K675" s="160"/>
      <c r="L675" s="160"/>
      <c r="M675" s="160"/>
      <c r="N675" s="160"/>
      <c r="O675" s="160"/>
      <c r="P675" s="160"/>
      <c r="Q675" s="160"/>
      <c r="R675" s="160"/>
      <c r="S675" s="160"/>
      <c r="T675" s="160"/>
      <c r="U675" s="160"/>
      <c r="V675" s="160"/>
      <c r="W675" s="160"/>
      <c r="X675" s="160"/>
      <c r="Y675" s="160"/>
      <c r="Z675" s="160"/>
      <c r="AA675" s="160"/>
    </row>
    <row r="676" spans="1:27" ht="12.75" customHeight="1" x14ac:dyDescent="0.2">
      <c r="A676" s="160"/>
      <c r="B676" s="160"/>
      <c r="D676" s="160"/>
      <c r="F676" s="160"/>
      <c r="G676" s="160"/>
      <c r="H676" s="160"/>
      <c r="I676" s="160"/>
      <c r="J676" s="160"/>
      <c r="K676" s="160"/>
      <c r="L676" s="160"/>
      <c r="M676" s="160"/>
      <c r="N676" s="160"/>
      <c r="O676" s="160"/>
      <c r="P676" s="160"/>
      <c r="Q676" s="160"/>
      <c r="R676" s="160"/>
      <c r="S676" s="160"/>
      <c r="T676" s="160"/>
      <c r="U676" s="160"/>
      <c r="V676" s="160"/>
      <c r="W676" s="160"/>
      <c r="X676" s="160"/>
      <c r="Y676" s="160"/>
      <c r="Z676" s="160"/>
      <c r="AA676" s="160"/>
    </row>
    <row r="677" spans="1:27" ht="12.75" customHeight="1" x14ac:dyDescent="0.2">
      <c r="A677" s="160"/>
      <c r="B677" s="160"/>
      <c r="D677" s="160"/>
      <c r="F677" s="160"/>
      <c r="G677" s="160"/>
      <c r="H677" s="160"/>
      <c r="I677" s="160"/>
      <c r="J677" s="160"/>
      <c r="K677" s="160"/>
      <c r="L677" s="160"/>
      <c r="M677" s="160"/>
      <c r="N677" s="160"/>
      <c r="O677" s="160"/>
      <c r="P677" s="160"/>
      <c r="Q677" s="160"/>
      <c r="R677" s="160"/>
      <c r="S677" s="160"/>
      <c r="T677" s="160"/>
      <c r="U677" s="160"/>
      <c r="V677" s="160"/>
      <c r="W677" s="160"/>
      <c r="X677" s="160"/>
      <c r="Y677" s="160"/>
      <c r="Z677" s="160"/>
      <c r="AA677" s="160"/>
    </row>
    <row r="678" spans="1:27" ht="12.75" customHeight="1" x14ac:dyDescent="0.2">
      <c r="A678" s="160"/>
      <c r="B678" s="160"/>
      <c r="D678" s="160"/>
      <c r="F678" s="160"/>
      <c r="G678" s="160"/>
      <c r="H678" s="160"/>
      <c r="I678" s="160"/>
      <c r="J678" s="160"/>
      <c r="K678" s="160"/>
      <c r="L678" s="160"/>
      <c r="M678" s="160"/>
      <c r="N678" s="160"/>
      <c r="O678" s="160"/>
      <c r="P678" s="160"/>
      <c r="Q678" s="160"/>
      <c r="R678" s="160"/>
      <c r="S678" s="160"/>
      <c r="T678" s="160"/>
      <c r="U678" s="160"/>
      <c r="V678" s="160"/>
      <c r="W678" s="160"/>
      <c r="X678" s="160"/>
      <c r="Y678" s="160"/>
      <c r="Z678" s="160"/>
      <c r="AA678" s="160"/>
    </row>
    <row r="679" spans="1:27" ht="12.75" customHeight="1" x14ac:dyDescent="0.2">
      <c r="A679" s="160"/>
      <c r="B679" s="160"/>
      <c r="D679" s="160"/>
      <c r="F679" s="160"/>
      <c r="G679" s="160"/>
      <c r="H679" s="160"/>
      <c r="I679" s="160"/>
      <c r="J679" s="160"/>
      <c r="K679" s="160"/>
      <c r="L679" s="160"/>
      <c r="M679" s="160"/>
      <c r="N679" s="160"/>
      <c r="O679" s="160"/>
      <c r="P679" s="160"/>
      <c r="Q679" s="160"/>
      <c r="R679" s="160"/>
      <c r="S679" s="160"/>
      <c r="T679" s="160"/>
      <c r="U679" s="160"/>
      <c r="V679" s="160"/>
      <c r="W679" s="160"/>
      <c r="X679" s="160"/>
      <c r="Y679" s="160"/>
      <c r="Z679" s="160"/>
      <c r="AA679" s="160"/>
    </row>
    <row r="680" spans="1:27" ht="12.75" customHeight="1" x14ac:dyDescent="0.2">
      <c r="A680" s="160"/>
      <c r="B680" s="160"/>
      <c r="D680" s="160"/>
      <c r="F680" s="160"/>
      <c r="G680" s="160"/>
      <c r="H680" s="160"/>
      <c r="I680" s="160"/>
      <c r="J680" s="160"/>
      <c r="K680" s="160"/>
      <c r="L680" s="160"/>
      <c r="M680" s="160"/>
      <c r="N680" s="160"/>
      <c r="O680" s="160"/>
      <c r="P680" s="160"/>
      <c r="Q680" s="160"/>
      <c r="R680" s="160"/>
      <c r="S680" s="160"/>
      <c r="T680" s="160"/>
      <c r="U680" s="160"/>
      <c r="V680" s="160"/>
      <c r="W680" s="160"/>
      <c r="X680" s="160"/>
      <c r="Y680" s="160"/>
      <c r="Z680" s="160"/>
      <c r="AA680" s="160"/>
    </row>
    <row r="681" spans="1:27" ht="12.75" customHeight="1" x14ac:dyDescent="0.2">
      <c r="A681" s="160"/>
      <c r="B681" s="160"/>
      <c r="D681" s="160"/>
      <c r="F681" s="160"/>
      <c r="G681" s="160"/>
      <c r="H681" s="160"/>
      <c r="I681" s="160"/>
      <c r="J681" s="160"/>
      <c r="K681" s="160"/>
      <c r="L681" s="160"/>
      <c r="M681" s="160"/>
      <c r="N681" s="160"/>
      <c r="O681" s="160"/>
      <c r="P681" s="160"/>
      <c r="Q681" s="160"/>
      <c r="R681" s="160"/>
      <c r="S681" s="160"/>
      <c r="T681" s="160"/>
      <c r="U681" s="160"/>
      <c r="V681" s="160"/>
      <c r="W681" s="160"/>
      <c r="X681" s="160"/>
      <c r="Y681" s="160"/>
      <c r="Z681" s="160"/>
      <c r="AA681" s="160"/>
    </row>
    <row r="682" spans="1:27" ht="12.75" customHeight="1" x14ac:dyDescent="0.2">
      <c r="A682" s="160"/>
      <c r="B682" s="160"/>
      <c r="D682" s="160"/>
      <c r="F682" s="160"/>
      <c r="G682" s="160"/>
      <c r="H682" s="160"/>
      <c r="I682" s="160"/>
      <c r="J682" s="160"/>
      <c r="K682" s="160"/>
      <c r="L682" s="160"/>
      <c r="M682" s="160"/>
      <c r="N682" s="160"/>
      <c r="O682" s="160"/>
      <c r="P682" s="160"/>
      <c r="Q682" s="160"/>
      <c r="R682" s="160"/>
      <c r="S682" s="160"/>
      <c r="T682" s="160"/>
      <c r="U682" s="160"/>
      <c r="V682" s="160"/>
      <c r="W682" s="160"/>
      <c r="X682" s="160"/>
      <c r="Y682" s="160"/>
      <c r="Z682" s="160"/>
      <c r="AA682" s="160"/>
    </row>
    <row r="683" spans="1:27" ht="12.75" customHeight="1" x14ac:dyDescent="0.2">
      <c r="A683" s="160"/>
      <c r="B683" s="160"/>
      <c r="D683" s="160"/>
      <c r="F683" s="160"/>
      <c r="G683" s="160"/>
      <c r="H683" s="160"/>
      <c r="I683" s="160"/>
      <c r="J683" s="160"/>
      <c r="K683" s="160"/>
      <c r="L683" s="160"/>
      <c r="M683" s="160"/>
      <c r="N683" s="160"/>
      <c r="O683" s="160"/>
      <c r="P683" s="160"/>
      <c r="Q683" s="160"/>
      <c r="R683" s="160"/>
      <c r="S683" s="160"/>
      <c r="T683" s="160"/>
      <c r="U683" s="160"/>
      <c r="V683" s="160"/>
      <c r="W683" s="160"/>
      <c r="X683" s="160"/>
      <c r="Y683" s="160"/>
      <c r="Z683" s="160"/>
      <c r="AA683" s="160"/>
    </row>
    <row r="684" spans="1:27" ht="12.75" customHeight="1" x14ac:dyDescent="0.2">
      <c r="A684" s="160"/>
      <c r="B684" s="160"/>
      <c r="D684" s="160"/>
      <c r="F684" s="160"/>
      <c r="G684" s="160"/>
      <c r="H684" s="160"/>
      <c r="I684" s="160"/>
      <c r="J684" s="160"/>
      <c r="K684" s="160"/>
      <c r="L684" s="160"/>
      <c r="M684" s="160"/>
      <c r="N684" s="160"/>
      <c r="O684" s="160"/>
      <c r="P684" s="160"/>
      <c r="Q684" s="160"/>
      <c r="R684" s="160"/>
      <c r="S684" s="160"/>
      <c r="T684" s="160"/>
      <c r="U684" s="160"/>
      <c r="V684" s="160"/>
      <c r="W684" s="160"/>
      <c r="X684" s="160"/>
      <c r="Y684" s="160"/>
      <c r="Z684" s="160"/>
      <c r="AA684" s="160"/>
    </row>
    <row r="685" spans="1:27" ht="12.75" customHeight="1" x14ac:dyDescent="0.2">
      <c r="A685" s="160"/>
      <c r="B685" s="160"/>
      <c r="D685" s="160"/>
      <c r="F685" s="160"/>
      <c r="G685" s="160"/>
      <c r="H685" s="160"/>
      <c r="I685" s="160"/>
      <c r="J685" s="160"/>
      <c r="K685" s="160"/>
      <c r="L685" s="160"/>
      <c r="M685" s="160"/>
      <c r="N685" s="160"/>
      <c r="O685" s="160"/>
      <c r="P685" s="160"/>
      <c r="Q685" s="160"/>
      <c r="R685" s="160"/>
      <c r="S685" s="160"/>
      <c r="T685" s="160"/>
      <c r="U685" s="160"/>
      <c r="V685" s="160"/>
      <c r="W685" s="160"/>
      <c r="X685" s="160"/>
      <c r="Y685" s="160"/>
      <c r="Z685" s="160"/>
      <c r="AA685" s="160"/>
    </row>
    <row r="686" spans="1:27" ht="12.75" customHeight="1" x14ac:dyDescent="0.2">
      <c r="A686" s="160"/>
      <c r="B686" s="160"/>
      <c r="D686" s="160"/>
      <c r="F686" s="160"/>
      <c r="G686" s="160"/>
      <c r="H686" s="160"/>
      <c r="I686" s="160"/>
      <c r="J686" s="160"/>
      <c r="K686" s="160"/>
      <c r="L686" s="160"/>
      <c r="M686" s="160"/>
      <c r="N686" s="160"/>
      <c r="O686" s="160"/>
      <c r="P686" s="160"/>
      <c r="Q686" s="160"/>
      <c r="R686" s="160"/>
      <c r="S686" s="160"/>
      <c r="T686" s="160"/>
      <c r="U686" s="160"/>
      <c r="V686" s="160"/>
      <c r="W686" s="160"/>
      <c r="X686" s="160"/>
      <c r="Y686" s="160"/>
      <c r="Z686" s="160"/>
      <c r="AA686" s="160"/>
    </row>
    <row r="687" spans="1:27" ht="12.75" customHeight="1" x14ac:dyDescent="0.2">
      <c r="A687" s="160"/>
      <c r="B687" s="160"/>
      <c r="D687" s="160"/>
      <c r="F687" s="160"/>
      <c r="G687" s="160"/>
      <c r="H687" s="160"/>
      <c r="I687" s="160"/>
      <c r="J687" s="160"/>
      <c r="K687" s="160"/>
      <c r="L687" s="160"/>
      <c r="M687" s="160"/>
      <c r="N687" s="160"/>
      <c r="O687" s="160"/>
      <c r="P687" s="160"/>
      <c r="Q687" s="160"/>
      <c r="R687" s="160"/>
      <c r="S687" s="160"/>
      <c r="T687" s="160"/>
      <c r="U687" s="160"/>
      <c r="V687" s="160"/>
      <c r="W687" s="160"/>
      <c r="X687" s="160"/>
      <c r="Y687" s="160"/>
      <c r="Z687" s="160"/>
      <c r="AA687" s="160"/>
    </row>
    <row r="688" spans="1:27" ht="12.75" customHeight="1" x14ac:dyDescent="0.2">
      <c r="A688" s="160"/>
      <c r="B688" s="160"/>
      <c r="D688" s="160"/>
      <c r="F688" s="160"/>
      <c r="G688" s="160"/>
      <c r="H688" s="160"/>
      <c r="I688" s="160"/>
      <c r="J688" s="160"/>
      <c r="K688" s="160"/>
      <c r="L688" s="160"/>
      <c r="M688" s="160"/>
      <c r="N688" s="160"/>
      <c r="O688" s="160"/>
      <c r="P688" s="160"/>
      <c r="Q688" s="160"/>
      <c r="R688" s="160"/>
      <c r="S688" s="160"/>
      <c r="T688" s="160"/>
      <c r="U688" s="160"/>
      <c r="V688" s="160"/>
      <c r="W688" s="160"/>
      <c r="X688" s="160"/>
      <c r="Y688" s="160"/>
      <c r="Z688" s="160"/>
      <c r="AA688" s="160"/>
    </row>
    <row r="689" spans="1:27" ht="12.75" customHeight="1" x14ac:dyDescent="0.2">
      <c r="A689" s="160"/>
      <c r="B689" s="160"/>
      <c r="D689" s="160"/>
      <c r="F689" s="160"/>
      <c r="G689" s="160"/>
      <c r="H689" s="160"/>
      <c r="I689" s="160"/>
      <c r="J689" s="160"/>
      <c r="K689" s="160"/>
      <c r="L689" s="160"/>
      <c r="M689" s="160"/>
      <c r="N689" s="160"/>
      <c r="O689" s="160"/>
      <c r="P689" s="160"/>
      <c r="Q689" s="160"/>
      <c r="R689" s="160"/>
      <c r="S689" s="160"/>
      <c r="T689" s="160"/>
      <c r="U689" s="160"/>
      <c r="V689" s="160"/>
      <c r="W689" s="160"/>
      <c r="X689" s="160"/>
      <c r="Y689" s="160"/>
      <c r="Z689" s="160"/>
      <c r="AA689" s="160"/>
    </row>
    <row r="690" spans="1:27" ht="12.75" customHeight="1" x14ac:dyDescent="0.2">
      <c r="A690" s="160"/>
      <c r="B690" s="160"/>
      <c r="D690" s="160"/>
      <c r="F690" s="160"/>
      <c r="G690" s="160"/>
      <c r="H690" s="160"/>
      <c r="I690" s="160"/>
      <c r="J690" s="160"/>
      <c r="K690" s="160"/>
      <c r="L690" s="160"/>
      <c r="M690" s="160"/>
      <c r="N690" s="160"/>
      <c r="O690" s="160"/>
      <c r="P690" s="160"/>
      <c r="Q690" s="160"/>
      <c r="R690" s="160"/>
      <c r="S690" s="160"/>
      <c r="T690" s="160"/>
      <c r="U690" s="160"/>
      <c r="V690" s="160"/>
      <c r="W690" s="160"/>
      <c r="X690" s="160"/>
      <c r="Y690" s="160"/>
      <c r="Z690" s="160"/>
      <c r="AA690" s="160"/>
    </row>
    <row r="691" spans="1:27" ht="12.75" customHeight="1" x14ac:dyDescent="0.2">
      <c r="A691" s="160"/>
      <c r="B691" s="160"/>
      <c r="D691" s="160"/>
      <c r="F691" s="160"/>
      <c r="G691" s="160"/>
      <c r="H691" s="160"/>
      <c r="I691" s="160"/>
      <c r="J691" s="160"/>
      <c r="K691" s="160"/>
      <c r="L691" s="160"/>
      <c r="M691" s="160"/>
      <c r="N691" s="160"/>
      <c r="O691" s="160"/>
      <c r="P691" s="160"/>
      <c r="Q691" s="160"/>
      <c r="R691" s="160"/>
      <c r="S691" s="160"/>
      <c r="T691" s="160"/>
      <c r="U691" s="160"/>
      <c r="V691" s="160"/>
      <c r="W691" s="160"/>
      <c r="X691" s="160"/>
      <c r="Y691" s="160"/>
      <c r="Z691" s="160"/>
      <c r="AA691" s="160"/>
    </row>
    <row r="692" spans="1:27" ht="12.75" customHeight="1" x14ac:dyDescent="0.2">
      <c r="A692" s="160"/>
      <c r="B692" s="160"/>
      <c r="D692" s="160"/>
      <c r="F692" s="160"/>
      <c r="G692" s="160"/>
      <c r="H692" s="160"/>
      <c r="I692" s="160"/>
      <c r="J692" s="160"/>
      <c r="K692" s="160"/>
      <c r="L692" s="160"/>
      <c r="M692" s="160"/>
      <c r="N692" s="160"/>
      <c r="O692" s="160"/>
      <c r="P692" s="160"/>
      <c r="Q692" s="160"/>
      <c r="R692" s="160"/>
      <c r="S692" s="160"/>
      <c r="T692" s="160"/>
      <c r="U692" s="160"/>
      <c r="V692" s="160"/>
      <c r="W692" s="160"/>
      <c r="X692" s="160"/>
      <c r="Y692" s="160"/>
      <c r="Z692" s="160"/>
      <c r="AA692" s="160"/>
    </row>
    <row r="693" spans="1:27" ht="12.75" customHeight="1" x14ac:dyDescent="0.2">
      <c r="A693" s="160"/>
      <c r="B693" s="160"/>
      <c r="D693" s="160"/>
      <c r="F693" s="160"/>
      <c r="G693" s="160"/>
      <c r="H693" s="160"/>
      <c r="I693" s="160"/>
      <c r="J693" s="160"/>
      <c r="K693" s="160"/>
      <c r="L693" s="160"/>
      <c r="M693" s="160"/>
      <c r="N693" s="160"/>
      <c r="O693" s="160"/>
      <c r="P693" s="160"/>
      <c r="Q693" s="160"/>
      <c r="R693" s="160"/>
      <c r="S693" s="160"/>
      <c r="T693" s="160"/>
      <c r="U693" s="160"/>
      <c r="V693" s="160"/>
      <c r="W693" s="160"/>
      <c r="X693" s="160"/>
      <c r="Y693" s="160"/>
      <c r="Z693" s="160"/>
      <c r="AA693" s="160"/>
    </row>
    <row r="694" spans="1:27" ht="12.75" customHeight="1" x14ac:dyDescent="0.2">
      <c r="A694" s="160"/>
      <c r="B694" s="160"/>
      <c r="D694" s="160"/>
      <c r="F694" s="160"/>
      <c r="G694" s="160"/>
      <c r="H694" s="160"/>
      <c r="I694" s="160"/>
      <c r="J694" s="160"/>
      <c r="K694" s="160"/>
      <c r="L694" s="160"/>
      <c r="M694" s="160"/>
      <c r="N694" s="160"/>
      <c r="O694" s="160"/>
      <c r="P694" s="160"/>
      <c r="Q694" s="160"/>
      <c r="R694" s="160"/>
      <c r="S694" s="160"/>
      <c r="T694" s="160"/>
      <c r="U694" s="160"/>
      <c r="V694" s="160"/>
      <c r="W694" s="160"/>
      <c r="X694" s="160"/>
      <c r="Y694" s="160"/>
      <c r="Z694" s="160"/>
      <c r="AA694" s="160"/>
    </row>
    <row r="695" spans="1:27" ht="12.75" customHeight="1" x14ac:dyDescent="0.2">
      <c r="A695" s="160"/>
      <c r="B695" s="160"/>
      <c r="D695" s="160"/>
      <c r="F695" s="160"/>
      <c r="G695" s="160"/>
      <c r="H695" s="160"/>
      <c r="I695" s="160"/>
      <c r="J695" s="160"/>
      <c r="K695" s="160"/>
      <c r="L695" s="160"/>
      <c r="M695" s="160"/>
      <c r="N695" s="160"/>
      <c r="O695" s="160"/>
      <c r="P695" s="160"/>
      <c r="Q695" s="160"/>
      <c r="R695" s="160"/>
      <c r="S695" s="160"/>
      <c r="T695" s="160"/>
      <c r="U695" s="160"/>
      <c r="V695" s="160"/>
      <c r="W695" s="160"/>
      <c r="X695" s="160"/>
      <c r="Y695" s="160"/>
      <c r="Z695" s="160"/>
      <c r="AA695" s="160"/>
    </row>
    <row r="696" spans="1:27" ht="12.75" customHeight="1" x14ac:dyDescent="0.2">
      <c r="A696" s="160"/>
      <c r="B696" s="160"/>
      <c r="D696" s="160"/>
      <c r="F696" s="160"/>
      <c r="G696" s="160"/>
      <c r="H696" s="160"/>
      <c r="I696" s="160"/>
      <c r="J696" s="160"/>
      <c r="K696" s="160"/>
      <c r="L696" s="160"/>
      <c r="M696" s="160"/>
      <c r="N696" s="160"/>
      <c r="O696" s="160"/>
      <c r="P696" s="160"/>
      <c r="Q696" s="160"/>
      <c r="R696" s="160"/>
      <c r="S696" s="160"/>
      <c r="T696" s="160"/>
      <c r="U696" s="160"/>
      <c r="V696" s="160"/>
      <c r="W696" s="160"/>
      <c r="X696" s="160"/>
      <c r="Y696" s="160"/>
      <c r="Z696" s="160"/>
      <c r="AA696" s="160"/>
    </row>
    <row r="697" spans="1:27" ht="12.75" customHeight="1" x14ac:dyDescent="0.2">
      <c r="A697" s="160"/>
      <c r="B697" s="160"/>
      <c r="D697" s="160"/>
      <c r="F697" s="160"/>
      <c r="G697" s="160"/>
      <c r="H697" s="160"/>
      <c r="I697" s="160"/>
      <c r="J697" s="160"/>
      <c r="K697" s="160"/>
      <c r="L697" s="160"/>
      <c r="M697" s="160"/>
      <c r="N697" s="160"/>
      <c r="O697" s="160"/>
      <c r="P697" s="160"/>
      <c r="Q697" s="160"/>
      <c r="R697" s="160"/>
      <c r="S697" s="160"/>
      <c r="T697" s="160"/>
      <c r="U697" s="160"/>
      <c r="V697" s="160"/>
      <c r="W697" s="160"/>
      <c r="X697" s="160"/>
      <c r="Y697" s="160"/>
      <c r="Z697" s="160"/>
      <c r="AA697" s="160"/>
    </row>
    <row r="698" spans="1:27" ht="12.75" customHeight="1" x14ac:dyDescent="0.2">
      <c r="A698" s="160"/>
      <c r="B698" s="160"/>
      <c r="D698" s="160"/>
      <c r="F698" s="160"/>
      <c r="G698" s="160"/>
      <c r="H698" s="160"/>
      <c r="I698" s="160"/>
      <c r="J698" s="160"/>
      <c r="K698" s="160"/>
      <c r="L698" s="160"/>
      <c r="M698" s="160"/>
      <c r="N698" s="160"/>
      <c r="O698" s="160"/>
      <c r="P698" s="160"/>
      <c r="Q698" s="160"/>
      <c r="R698" s="160"/>
      <c r="S698" s="160"/>
      <c r="T698" s="160"/>
      <c r="U698" s="160"/>
      <c r="V698" s="160"/>
      <c r="W698" s="160"/>
      <c r="X698" s="160"/>
      <c r="Y698" s="160"/>
      <c r="Z698" s="160"/>
      <c r="AA698" s="160"/>
    </row>
    <row r="699" spans="1:27" ht="12.75" customHeight="1" x14ac:dyDescent="0.2">
      <c r="A699" s="160"/>
      <c r="B699" s="160"/>
      <c r="D699" s="160"/>
      <c r="F699" s="160"/>
      <c r="G699" s="160"/>
      <c r="H699" s="160"/>
      <c r="I699" s="160"/>
      <c r="J699" s="160"/>
      <c r="K699" s="160"/>
      <c r="L699" s="160"/>
      <c r="M699" s="160"/>
      <c r="N699" s="160"/>
      <c r="O699" s="160"/>
      <c r="P699" s="160"/>
      <c r="Q699" s="160"/>
      <c r="R699" s="160"/>
      <c r="S699" s="160"/>
      <c r="T699" s="160"/>
      <c r="U699" s="160"/>
      <c r="V699" s="160"/>
      <c r="W699" s="160"/>
      <c r="X699" s="160"/>
      <c r="Y699" s="160"/>
      <c r="Z699" s="160"/>
      <c r="AA699" s="160"/>
    </row>
    <row r="700" spans="1:27" ht="12.75" customHeight="1" x14ac:dyDescent="0.2">
      <c r="A700" s="160"/>
      <c r="B700" s="160"/>
      <c r="D700" s="160"/>
      <c r="F700" s="160"/>
      <c r="G700" s="160"/>
      <c r="H700" s="160"/>
      <c r="I700" s="160"/>
      <c r="J700" s="160"/>
      <c r="K700" s="160"/>
      <c r="L700" s="160"/>
      <c r="M700" s="160"/>
      <c r="N700" s="160"/>
      <c r="O700" s="160"/>
      <c r="P700" s="160"/>
      <c r="Q700" s="160"/>
      <c r="R700" s="160"/>
      <c r="S700" s="160"/>
      <c r="T700" s="160"/>
      <c r="U700" s="160"/>
      <c r="V700" s="160"/>
      <c r="W700" s="160"/>
      <c r="X700" s="160"/>
      <c r="Y700" s="160"/>
      <c r="Z700" s="160"/>
      <c r="AA700" s="160"/>
    </row>
    <row r="701" spans="1:27" ht="12.75" customHeight="1" x14ac:dyDescent="0.2">
      <c r="A701" s="160"/>
      <c r="B701" s="160"/>
      <c r="D701" s="160"/>
      <c r="F701" s="160"/>
      <c r="G701" s="160"/>
      <c r="H701" s="160"/>
      <c r="I701" s="160"/>
      <c r="J701" s="160"/>
      <c r="K701" s="160"/>
      <c r="L701" s="160"/>
      <c r="M701" s="160"/>
      <c r="N701" s="160"/>
      <c r="O701" s="160"/>
      <c r="P701" s="160"/>
      <c r="Q701" s="160"/>
      <c r="R701" s="160"/>
      <c r="S701" s="160"/>
      <c r="T701" s="160"/>
      <c r="U701" s="160"/>
      <c r="V701" s="160"/>
      <c r="W701" s="160"/>
      <c r="X701" s="160"/>
      <c r="Y701" s="160"/>
      <c r="Z701" s="160"/>
      <c r="AA701" s="160"/>
    </row>
    <row r="702" spans="1:27" ht="12.75" customHeight="1" x14ac:dyDescent="0.2">
      <c r="A702" s="160"/>
      <c r="B702" s="160"/>
      <c r="D702" s="160"/>
      <c r="F702" s="160"/>
      <c r="G702" s="160"/>
      <c r="H702" s="160"/>
      <c r="I702" s="160"/>
      <c r="J702" s="160"/>
      <c r="K702" s="160"/>
      <c r="L702" s="160"/>
      <c r="M702" s="160"/>
      <c r="N702" s="160"/>
      <c r="O702" s="160"/>
      <c r="P702" s="160"/>
      <c r="Q702" s="160"/>
      <c r="R702" s="160"/>
      <c r="S702" s="160"/>
      <c r="T702" s="160"/>
      <c r="U702" s="160"/>
      <c r="V702" s="160"/>
      <c r="W702" s="160"/>
      <c r="X702" s="160"/>
      <c r="Y702" s="160"/>
      <c r="Z702" s="160"/>
      <c r="AA702" s="160"/>
    </row>
    <row r="703" spans="1:27" ht="12.75" customHeight="1" x14ac:dyDescent="0.2">
      <c r="A703" s="160"/>
      <c r="B703" s="160"/>
      <c r="D703" s="160"/>
      <c r="F703" s="160"/>
      <c r="G703" s="160"/>
      <c r="H703" s="160"/>
      <c r="I703" s="160"/>
      <c r="J703" s="160"/>
      <c r="K703" s="160"/>
      <c r="L703" s="160"/>
      <c r="M703" s="160"/>
      <c r="N703" s="160"/>
      <c r="O703" s="160"/>
      <c r="P703" s="160"/>
      <c r="Q703" s="160"/>
      <c r="R703" s="160"/>
      <c r="S703" s="160"/>
      <c r="T703" s="160"/>
      <c r="U703" s="160"/>
      <c r="V703" s="160"/>
      <c r="W703" s="160"/>
      <c r="X703" s="160"/>
      <c r="Y703" s="160"/>
      <c r="Z703" s="160"/>
      <c r="AA703" s="160"/>
    </row>
    <row r="704" spans="1:27" ht="12.75" customHeight="1" x14ac:dyDescent="0.2">
      <c r="A704" s="160"/>
      <c r="B704" s="160"/>
      <c r="D704" s="160"/>
      <c r="F704" s="160"/>
      <c r="G704" s="160"/>
      <c r="H704" s="160"/>
      <c r="I704" s="160"/>
      <c r="J704" s="160"/>
      <c r="K704" s="160"/>
      <c r="L704" s="160"/>
      <c r="M704" s="160"/>
      <c r="N704" s="160"/>
      <c r="O704" s="160"/>
      <c r="P704" s="160"/>
      <c r="Q704" s="160"/>
      <c r="R704" s="160"/>
      <c r="S704" s="160"/>
      <c r="T704" s="160"/>
      <c r="U704" s="160"/>
      <c r="V704" s="160"/>
      <c r="W704" s="160"/>
      <c r="X704" s="160"/>
      <c r="Y704" s="160"/>
      <c r="Z704" s="160"/>
      <c r="AA704" s="160"/>
    </row>
    <row r="705" spans="1:27" ht="12.75" customHeight="1" x14ac:dyDescent="0.2">
      <c r="A705" s="160"/>
      <c r="B705" s="160"/>
      <c r="D705" s="160"/>
      <c r="F705" s="160"/>
      <c r="G705" s="160"/>
      <c r="H705" s="160"/>
      <c r="I705" s="160"/>
      <c r="J705" s="160"/>
      <c r="K705" s="160"/>
      <c r="L705" s="160"/>
      <c r="M705" s="160"/>
      <c r="N705" s="160"/>
      <c r="O705" s="160"/>
      <c r="P705" s="160"/>
      <c r="Q705" s="160"/>
      <c r="R705" s="160"/>
      <c r="S705" s="160"/>
      <c r="T705" s="160"/>
      <c r="U705" s="160"/>
      <c r="V705" s="160"/>
      <c r="W705" s="160"/>
      <c r="X705" s="160"/>
      <c r="Y705" s="160"/>
      <c r="Z705" s="160"/>
      <c r="AA705" s="160"/>
    </row>
    <row r="706" spans="1:27" ht="12.75" customHeight="1" x14ac:dyDescent="0.2">
      <c r="A706" s="160"/>
      <c r="B706" s="160"/>
      <c r="D706" s="160"/>
      <c r="F706" s="160"/>
      <c r="G706" s="160"/>
      <c r="H706" s="160"/>
      <c r="I706" s="160"/>
      <c r="J706" s="160"/>
      <c r="K706" s="160"/>
      <c r="L706" s="160"/>
      <c r="M706" s="160"/>
      <c r="N706" s="160"/>
      <c r="O706" s="160"/>
      <c r="P706" s="160"/>
      <c r="Q706" s="160"/>
      <c r="R706" s="160"/>
      <c r="S706" s="160"/>
      <c r="T706" s="160"/>
      <c r="U706" s="160"/>
      <c r="V706" s="160"/>
      <c r="W706" s="160"/>
      <c r="X706" s="160"/>
      <c r="Y706" s="160"/>
      <c r="Z706" s="160"/>
      <c r="AA706" s="160"/>
    </row>
    <row r="707" spans="1:27" ht="12.75" customHeight="1" x14ac:dyDescent="0.2">
      <c r="A707" s="160"/>
      <c r="B707" s="160"/>
      <c r="D707" s="160"/>
      <c r="F707" s="160"/>
      <c r="G707" s="160"/>
      <c r="H707" s="160"/>
      <c r="I707" s="160"/>
      <c r="J707" s="160"/>
      <c r="K707" s="160"/>
      <c r="L707" s="160"/>
      <c r="M707" s="160"/>
      <c r="N707" s="160"/>
      <c r="O707" s="160"/>
      <c r="P707" s="160"/>
      <c r="Q707" s="160"/>
      <c r="R707" s="160"/>
      <c r="S707" s="160"/>
      <c r="T707" s="160"/>
      <c r="U707" s="160"/>
      <c r="V707" s="160"/>
      <c r="W707" s="160"/>
      <c r="X707" s="160"/>
      <c r="Y707" s="160"/>
      <c r="Z707" s="160"/>
      <c r="AA707" s="160"/>
    </row>
    <row r="708" spans="1:27" ht="12.75" customHeight="1" x14ac:dyDescent="0.2">
      <c r="A708" s="160"/>
      <c r="B708" s="160"/>
      <c r="D708" s="160"/>
      <c r="F708" s="160"/>
      <c r="G708" s="160"/>
      <c r="H708" s="160"/>
      <c r="I708" s="160"/>
      <c r="J708" s="160"/>
      <c r="K708" s="160"/>
      <c r="L708" s="160"/>
      <c r="M708" s="160"/>
      <c r="N708" s="160"/>
      <c r="O708" s="160"/>
      <c r="P708" s="160"/>
      <c r="Q708" s="160"/>
      <c r="R708" s="160"/>
      <c r="S708" s="160"/>
      <c r="T708" s="160"/>
      <c r="U708" s="160"/>
      <c r="V708" s="160"/>
      <c r="W708" s="160"/>
      <c r="X708" s="160"/>
      <c r="Y708" s="160"/>
      <c r="Z708" s="160"/>
      <c r="AA708" s="160"/>
    </row>
    <row r="709" spans="1:27" ht="12.75" customHeight="1" x14ac:dyDescent="0.2">
      <c r="A709" s="160"/>
      <c r="B709" s="160"/>
      <c r="D709" s="160"/>
      <c r="F709" s="160"/>
      <c r="G709" s="160"/>
      <c r="H709" s="160"/>
      <c r="I709" s="160"/>
      <c r="J709" s="160"/>
      <c r="K709" s="160"/>
      <c r="L709" s="160"/>
      <c r="M709" s="160"/>
      <c r="N709" s="160"/>
      <c r="O709" s="160"/>
      <c r="P709" s="160"/>
      <c r="Q709" s="160"/>
      <c r="R709" s="160"/>
      <c r="S709" s="160"/>
      <c r="T709" s="160"/>
      <c r="U709" s="160"/>
      <c r="V709" s="160"/>
      <c r="W709" s="160"/>
      <c r="X709" s="160"/>
      <c r="Y709" s="160"/>
      <c r="Z709" s="160"/>
      <c r="AA709" s="160"/>
    </row>
    <row r="710" spans="1:27" ht="12.75" customHeight="1" x14ac:dyDescent="0.2">
      <c r="A710" s="160"/>
      <c r="B710" s="160"/>
      <c r="D710" s="160"/>
      <c r="F710" s="160"/>
      <c r="G710" s="160"/>
      <c r="H710" s="160"/>
      <c r="I710" s="160"/>
      <c r="J710" s="160"/>
      <c r="K710" s="160"/>
      <c r="L710" s="160"/>
      <c r="M710" s="160"/>
      <c r="N710" s="160"/>
      <c r="O710" s="160"/>
      <c r="P710" s="160"/>
      <c r="Q710" s="160"/>
      <c r="R710" s="160"/>
      <c r="S710" s="160"/>
      <c r="T710" s="160"/>
      <c r="U710" s="160"/>
      <c r="V710" s="160"/>
      <c r="W710" s="160"/>
      <c r="X710" s="160"/>
      <c r="Y710" s="160"/>
      <c r="Z710" s="160"/>
      <c r="AA710" s="160"/>
    </row>
    <row r="711" spans="1:27" ht="12.75" customHeight="1" x14ac:dyDescent="0.2">
      <c r="A711" s="160"/>
      <c r="B711" s="160"/>
      <c r="D711" s="160"/>
      <c r="F711" s="160"/>
      <c r="G711" s="160"/>
      <c r="H711" s="160"/>
      <c r="I711" s="160"/>
      <c r="J711" s="160"/>
      <c r="K711" s="160"/>
      <c r="L711" s="160"/>
      <c r="M711" s="160"/>
      <c r="N711" s="160"/>
      <c r="O711" s="160"/>
      <c r="P711" s="160"/>
      <c r="Q711" s="160"/>
      <c r="R711" s="160"/>
      <c r="S711" s="160"/>
      <c r="T711" s="160"/>
      <c r="U711" s="160"/>
      <c r="V711" s="160"/>
      <c r="W711" s="160"/>
      <c r="X711" s="160"/>
      <c r="Y711" s="160"/>
      <c r="Z711" s="160"/>
      <c r="AA711" s="160"/>
    </row>
    <row r="712" spans="1:27" ht="12.75" customHeight="1" x14ac:dyDescent="0.2">
      <c r="A712" s="160"/>
      <c r="B712" s="160"/>
      <c r="D712" s="160"/>
      <c r="F712" s="160"/>
      <c r="G712" s="160"/>
      <c r="H712" s="160"/>
      <c r="I712" s="160"/>
      <c r="J712" s="160"/>
      <c r="K712" s="160"/>
      <c r="L712" s="160"/>
      <c r="M712" s="160"/>
      <c r="N712" s="160"/>
      <c r="O712" s="160"/>
      <c r="P712" s="160"/>
      <c r="Q712" s="160"/>
      <c r="R712" s="160"/>
      <c r="S712" s="160"/>
      <c r="T712" s="160"/>
      <c r="U712" s="160"/>
      <c r="V712" s="160"/>
      <c r="W712" s="160"/>
      <c r="X712" s="160"/>
      <c r="Y712" s="160"/>
      <c r="Z712" s="160"/>
      <c r="AA712" s="160"/>
    </row>
    <row r="713" spans="1:27" ht="12.75" customHeight="1" x14ac:dyDescent="0.2">
      <c r="A713" s="160"/>
      <c r="B713" s="160"/>
      <c r="D713" s="160"/>
      <c r="F713" s="160"/>
      <c r="G713" s="160"/>
      <c r="H713" s="160"/>
      <c r="I713" s="160"/>
      <c r="J713" s="160"/>
      <c r="K713" s="160"/>
      <c r="L713" s="160"/>
      <c r="M713" s="160"/>
      <c r="N713" s="160"/>
      <c r="O713" s="160"/>
      <c r="P713" s="160"/>
      <c r="Q713" s="160"/>
      <c r="R713" s="160"/>
      <c r="S713" s="160"/>
      <c r="T713" s="160"/>
      <c r="U713" s="160"/>
      <c r="V713" s="160"/>
      <c r="W713" s="160"/>
      <c r="X713" s="160"/>
      <c r="Y713" s="160"/>
      <c r="Z713" s="160"/>
      <c r="AA713" s="160"/>
    </row>
    <row r="714" spans="1:27" ht="12.75" customHeight="1" x14ac:dyDescent="0.2">
      <c r="A714" s="160"/>
      <c r="B714" s="160"/>
      <c r="D714" s="160"/>
      <c r="F714" s="160"/>
      <c r="G714" s="160"/>
      <c r="H714" s="160"/>
      <c r="I714" s="160"/>
      <c r="J714" s="160"/>
      <c r="K714" s="160"/>
      <c r="L714" s="160"/>
      <c r="M714" s="160"/>
      <c r="N714" s="160"/>
      <c r="O714" s="160"/>
      <c r="P714" s="160"/>
      <c r="Q714" s="160"/>
      <c r="R714" s="160"/>
      <c r="S714" s="160"/>
      <c r="T714" s="160"/>
      <c r="U714" s="160"/>
      <c r="V714" s="160"/>
      <c r="W714" s="160"/>
      <c r="X714" s="160"/>
      <c r="Y714" s="160"/>
      <c r="Z714" s="160"/>
      <c r="AA714" s="160"/>
    </row>
    <row r="715" spans="1:27" ht="12.75" customHeight="1" x14ac:dyDescent="0.2">
      <c r="A715" s="160"/>
      <c r="B715" s="160"/>
      <c r="D715" s="160"/>
      <c r="F715" s="160"/>
      <c r="G715" s="160"/>
      <c r="H715" s="160"/>
      <c r="I715" s="160"/>
      <c r="J715" s="160"/>
      <c r="K715" s="160"/>
      <c r="L715" s="160"/>
      <c r="M715" s="160"/>
      <c r="N715" s="160"/>
      <c r="O715" s="160"/>
      <c r="P715" s="160"/>
      <c r="Q715" s="160"/>
      <c r="R715" s="160"/>
      <c r="S715" s="160"/>
      <c r="T715" s="160"/>
      <c r="U715" s="160"/>
      <c r="V715" s="160"/>
      <c r="W715" s="160"/>
      <c r="X715" s="160"/>
      <c r="Y715" s="160"/>
      <c r="Z715" s="160"/>
      <c r="AA715" s="160"/>
    </row>
    <row r="716" spans="1:27" ht="12.75" customHeight="1" x14ac:dyDescent="0.2">
      <c r="A716" s="160"/>
      <c r="B716" s="160"/>
      <c r="D716" s="160"/>
      <c r="F716" s="160"/>
      <c r="G716" s="160"/>
      <c r="H716" s="160"/>
      <c r="I716" s="160"/>
      <c r="J716" s="160"/>
      <c r="K716" s="160"/>
      <c r="L716" s="160"/>
      <c r="M716" s="160"/>
      <c r="N716" s="160"/>
      <c r="O716" s="160"/>
      <c r="P716" s="160"/>
      <c r="Q716" s="160"/>
      <c r="R716" s="160"/>
      <c r="S716" s="160"/>
      <c r="T716" s="160"/>
      <c r="U716" s="160"/>
      <c r="V716" s="160"/>
      <c r="W716" s="160"/>
      <c r="X716" s="160"/>
      <c r="Y716" s="160"/>
      <c r="Z716" s="160"/>
      <c r="AA716" s="160"/>
    </row>
    <row r="717" spans="1:27" ht="12.75" customHeight="1" x14ac:dyDescent="0.2">
      <c r="A717" s="160"/>
      <c r="B717" s="160"/>
      <c r="D717" s="160"/>
      <c r="F717" s="160"/>
      <c r="G717" s="160"/>
      <c r="H717" s="160"/>
      <c r="I717" s="160"/>
      <c r="J717" s="160"/>
      <c r="K717" s="160"/>
      <c r="L717" s="160"/>
      <c r="M717" s="160"/>
      <c r="N717" s="160"/>
      <c r="O717" s="160"/>
      <c r="P717" s="160"/>
      <c r="Q717" s="160"/>
      <c r="R717" s="160"/>
      <c r="S717" s="160"/>
      <c r="T717" s="160"/>
      <c r="U717" s="160"/>
      <c r="V717" s="160"/>
      <c r="W717" s="160"/>
      <c r="X717" s="160"/>
      <c r="Y717" s="160"/>
      <c r="Z717" s="160"/>
      <c r="AA717" s="160"/>
    </row>
    <row r="718" spans="1:27" ht="12.75" customHeight="1" x14ac:dyDescent="0.2">
      <c r="A718" s="160"/>
      <c r="B718" s="160"/>
      <c r="D718" s="160"/>
      <c r="F718" s="160"/>
      <c r="G718" s="160"/>
      <c r="H718" s="160"/>
      <c r="I718" s="160"/>
      <c r="J718" s="160"/>
      <c r="K718" s="160"/>
      <c r="L718" s="160"/>
      <c r="M718" s="160"/>
      <c r="N718" s="160"/>
      <c r="O718" s="160"/>
      <c r="P718" s="160"/>
      <c r="Q718" s="160"/>
      <c r="R718" s="160"/>
      <c r="S718" s="160"/>
      <c r="T718" s="160"/>
      <c r="U718" s="160"/>
      <c r="V718" s="160"/>
      <c r="W718" s="160"/>
      <c r="X718" s="160"/>
      <c r="Y718" s="160"/>
      <c r="Z718" s="160"/>
      <c r="AA718" s="160"/>
    </row>
    <row r="719" spans="1:27" ht="12.75" customHeight="1" x14ac:dyDescent="0.2">
      <c r="A719" s="160"/>
      <c r="B719" s="160"/>
      <c r="D719" s="160"/>
      <c r="F719" s="160"/>
      <c r="G719" s="160"/>
      <c r="H719" s="160"/>
      <c r="I719" s="160"/>
      <c r="J719" s="160"/>
      <c r="K719" s="160"/>
      <c r="L719" s="160"/>
      <c r="M719" s="160"/>
      <c r="N719" s="160"/>
      <c r="O719" s="160"/>
      <c r="P719" s="160"/>
      <c r="Q719" s="160"/>
      <c r="R719" s="160"/>
      <c r="S719" s="160"/>
      <c r="T719" s="160"/>
      <c r="U719" s="160"/>
      <c r="V719" s="160"/>
      <c r="W719" s="160"/>
      <c r="X719" s="160"/>
      <c r="Y719" s="160"/>
      <c r="Z719" s="160"/>
      <c r="AA719" s="160"/>
    </row>
    <row r="720" spans="1:27" ht="12.75" customHeight="1" x14ac:dyDescent="0.2">
      <c r="A720" s="160"/>
      <c r="B720" s="160"/>
      <c r="D720" s="160"/>
      <c r="F720" s="160"/>
      <c r="G720" s="160"/>
      <c r="H720" s="160"/>
      <c r="I720" s="160"/>
      <c r="J720" s="160"/>
      <c r="K720" s="160"/>
      <c r="L720" s="160"/>
      <c r="M720" s="160"/>
      <c r="N720" s="160"/>
      <c r="O720" s="160"/>
      <c r="P720" s="160"/>
      <c r="Q720" s="160"/>
      <c r="R720" s="160"/>
      <c r="S720" s="160"/>
      <c r="T720" s="160"/>
      <c r="U720" s="160"/>
      <c r="V720" s="160"/>
      <c r="W720" s="160"/>
      <c r="X720" s="160"/>
      <c r="Y720" s="160"/>
      <c r="Z720" s="160"/>
      <c r="AA720" s="160"/>
    </row>
    <row r="721" spans="1:27" ht="12.75" customHeight="1" x14ac:dyDescent="0.2">
      <c r="A721" s="160"/>
      <c r="B721" s="160"/>
      <c r="D721" s="160"/>
      <c r="F721" s="160"/>
      <c r="G721" s="160"/>
      <c r="H721" s="160"/>
      <c r="I721" s="160"/>
      <c r="J721" s="160"/>
      <c r="K721" s="160"/>
      <c r="L721" s="160"/>
      <c r="M721" s="160"/>
      <c r="N721" s="160"/>
      <c r="O721" s="160"/>
      <c r="P721" s="160"/>
      <c r="Q721" s="160"/>
      <c r="R721" s="160"/>
      <c r="S721" s="160"/>
      <c r="T721" s="160"/>
      <c r="U721" s="160"/>
      <c r="V721" s="160"/>
      <c r="W721" s="160"/>
      <c r="X721" s="160"/>
      <c r="Y721" s="160"/>
      <c r="Z721" s="160"/>
      <c r="AA721" s="160"/>
    </row>
    <row r="722" spans="1:27" ht="12.75" customHeight="1" x14ac:dyDescent="0.2">
      <c r="A722" s="160"/>
      <c r="B722" s="160"/>
      <c r="D722" s="160"/>
      <c r="F722" s="160"/>
      <c r="G722" s="160"/>
      <c r="H722" s="160"/>
      <c r="I722" s="160"/>
      <c r="J722" s="160"/>
      <c r="K722" s="160"/>
      <c r="L722" s="160"/>
      <c r="M722" s="160"/>
      <c r="N722" s="160"/>
      <c r="O722" s="160"/>
      <c r="P722" s="160"/>
      <c r="Q722" s="160"/>
      <c r="R722" s="160"/>
      <c r="S722" s="160"/>
      <c r="T722" s="160"/>
      <c r="U722" s="160"/>
      <c r="V722" s="160"/>
      <c r="W722" s="160"/>
      <c r="X722" s="160"/>
      <c r="Y722" s="160"/>
      <c r="Z722" s="160"/>
      <c r="AA722" s="160"/>
    </row>
    <row r="723" spans="1:27" ht="12.75" customHeight="1" x14ac:dyDescent="0.2">
      <c r="A723" s="160"/>
      <c r="B723" s="160"/>
      <c r="D723" s="160"/>
      <c r="F723" s="160"/>
      <c r="G723" s="160"/>
      <c r="H723" s="160"/>
      <c r="I723" s="160"/>
      <c r="J723" s="160"/>
      <c r="K723" s="160"/>
      <c r="L723" s="160"/>
      <c r="M723" s="160"/>
      <c r="N723" s="160"/>
      <c r="O723" s="160"/>
      <c r="P723" s="160"/>
      <c r="Q723" s="160"/>
      <c r="R723" s="160"/>
      <c r="S723" s="160"/>
      <c r="T723" s="160"/>
      <c r="U723" s="160"/>
      <c r="V723" s="160"/>
      <c r="W723" s="160"/>
      <c r="X723" s="160"/>
      <c r="Y723" s="160"/>
      <c r="Z723" s="160"/>
      <c r="AA723" s="160"/>
    </row>
    <row r="724" spans="1:27" ht="12.75" customHeight="1" x14ac:dyDescent="0.2">
      <c r="A724" s="160"/>
      <c r="B724" s="160"/>
      <c r="D724" s="160"/>
      <c r="F724" s="160"/>
      <c r="G724" s="160"/>
      <c r="H724" s="160"/>
      <c r="I724" s="160"/>
      <c r="J724" s="160"/>
      <c r="K724" s="160"/>
      <c r="L724" s="160"/>
      <c r="M724" s="160"/>
      <c r="N724" s="160"/>
      <c r="O724" s="160"/>
      <c r="P724" s="160"/>
      <c r="Q724" s="160"/>
      <c r="R724" s="160"/>
      <c r="S724" s="160"/>
      <c r="T724" s="160"/>
      <c r="U724" s="160"/>
      <c r="V724" s="160"/>
      <c r="W724" s="160"/>
      <c r="X724" s="160"/>
      <c r="Y724" s="160"/>
      <c r="Z724" s="160"/>
      <c r="AA724" s="160"/>
    </row>
    <row r="725" spans="1:27" ht="12.75" customHeight="1" x14ac:dyDescent="0.2">
      <c r="A725" s="160"/>
      <c r="B725" s="160"/>
      <c r="D725" s="160"/>
      <c r="F725" s="160"/>
      <c r="G725" s="160"/>
      <c r="H725" s="160"/>
      <c r="I725" s="160"/>
      <c r="J725" s="160"/>
      <c r="K725" s="160"/>
      <c r="L725" s="160"/>
      <c r="M725" s="160"/>
      <c r="N725" s="160"/>
      <c r="O725" s="160"/>
      <c r="P725" s="160"/>
      <c r="Q725" s="160"/>
      <c r="R725" s="160"/>
      <c r="S725" s="160"/>
      <c r="T725" s="160"/>
      <c r="U725" s="160"/>
      <c r="V725" s="160"/>
      <c r="W725" s="160"/>
      <c r="X725" s="160"/>
      <c r="Y725" s="160"/>
      <c r="Z725" s="160"/>
      <c r="AA725" s="160"/>
    </row>
    <row r="726" spans="1:27" ht="12.75" customHeight="1" x14ac:dyDescent="0.2">
      <c r="A726" s="160"/>
      <c r="B726" s="160"/>
      <c r="D726" s="160"/>
      <c r="F726" s="160"/>
      <c r="G726" s="160"/>
      <c r="H726" s="160"/>
      <c r="I726" s="160"/>
      <c r="J726" s="160"/>
      <c r="K726" s="160"/>
      <c r="L726" s="160"/>
      <c r="M726" s="160"/>
      <c r="N726" s="160"/>
      <c r="O726" s="160"/>
      <c r="P726" s="160"/>
      <c r="Q726" s="160"/>
      <c r="R726" s="160"/>
      <c r="S726" s="160"/>
      <c r="T726" s="160"/>
      <c r="U726" s="160"/>
      <c r="V726" s="160"/>
      <c r="W726" s="160"/>
      <c r="X726" s="160"/>
      <c r="Y726" s="160"/>
      <c r="Z726" s="160"/>
      <c r="AA726" s="160"/>
    </row>
    <row r="727" spans="1:27" ht="12.75" customHeight="1" x14ac:dyDescent="0.2">
      <c r="A727" s="160"/>
      <c r="B727" s="160"/>
      <c r="D727" s="160"/>
      <c r="F727" s="160"/>
      <c r="G727" s="160"/>
      <c r="H727" s="160"/>
      <c r="I727" s="160"/>
      <c r="J727" s="160"/>
      <c r="K727" s="160"/>
      <c r="L727" s="160"/>
      <c r="M727" s="160"/>
      <c r="N727" s="160"/>
      <c r="O727" s="160"/>
      <c r="P727" s="160"/>
      <c r="Q727" s="160"/>
      <c r="R727" s="160"/>
      <c r="S727" s="160"/>
      <c r="T727" s="160"/>
      <c r="U727" s="160"/>
      <c r="V727" s="160"/>
      <c r="W727" s="160"/>
      <c r="X727" s="160"/>
      <c r="Y727" s="160"/>
      <c r="Z727" s="160"/>
      <c r="AA727" s="160"/>
    </row>
    <row r="728" spans="1:27" ht="12.75" customHeight="1" x14ac:dyDescent="0.2">
      <c r="A728" s="160"/>
      <c r="B728" s="160"/>
      <c r="D728" s="160"/>
      <c r="F728" s="160"/>
      <c r="G728" s="160"/>
      <c r="H728" s="160"/>
      <c r="I728" s="160"/>
      <c r="J728" s="160"/>
      <c r="K728" s="160"/>
      <c r="L728" s="160"/>
      <c r="M728" s="160"/>
      <c r="N728" s="160"/>
      <c r="O728" s="160"/>
      <c r="P728" s="160"/>
      <c r="Q728" s="160"/>
      <c r="R728" s="160"/>
      <c r="S728" s="160"/>
      <c r="T728" s="160"/>
      <c r="U728" s="160"/>
      <c r="V728" s="160"/>
      <c r="W728" s="160"/>
      <c r="X728" s="160"/>
      <c r="Y728" s="160"/>
      <c r="Z728" s="160"/>
      <c r="AA728" s="160"/>
    </row>
    <row r="729" spans="1:27" ht="12.75" customHeight="1" x14ac:dyDescent="0.2">
      <c r="A729" s="160"/>
      <c r="B729" s="160"/>
      <c r="D729" s="160"/>
      <c r="F729" s="160"/>
      <c r="G729" s="160"/>
      <c r="H729" s="160"/>
      <c r="I729" s="160"/>
      <c r="J729" s="160"/>
      <c r="K729" s="160"/>
      <c r="L729" s="160"/>
      <c r="M729" s="160"/>
      <c r="N729" s="160"/>
      <c r="O729" s="160"/>
      <c r="P729" s="160"/>
      <c r="Q729" s="160"/>
      <c r="R729" s="160"/>
      <c r="S729" s="160"/>
      <c r="T729" s="160"/>
      <c r="U729" s="160"/>
      <c r="V729" s="160"/>
      <c r="W729" s="160"/>
      <c r="X729" s="160"/>
      <c r="Y729" s="160"/>
      <c r="Z729" s="160"/>
      <c r="AA729" s="160"/>
    </row>
    <row r="730" spans="1:27" ht="12.75" customHeight="1" x14ac:dyDescent="0.2">
      <c r="A730" s="160"/>
      <c r="B730" s="160"/>
      <c r="D730" s="160"/>
      <c r="F730" s="160"/>
      <c r="G730" s="160"/>
      <c r="H730" s="160"/>
      <c r="I730" s="160"/>
      <c r="J730" s="160"/>
      <c r="K730" s="160"/>
      <c r="L730" s="160"/>
      <c r="M730" s="160"/>
      <c r="N730" s="160"/>
      <c r="O730" s="160"/>
      <c r="P730" s="160"/>
      <c r="Q730" s="160"/>
      <c r="R730" s="160"/>
      <c r="S730" s="160"/>
      <c r="T730" s="160"/>
      <c r="U730" s="160"/>
      <c r="V730" s="160"/>
      <c r="W730" s="160"/>
      <c r="X730" s="160"/>
      <c r="Y730" s="160"/>
      <c r="Z730" s="160"/>
      <c r="AA730" s="160"/>
    </row>
    <row r="731" spans="1:27" ht="12.75" customHeight="1" x14ac:dyDescent="0.2">
      <c r="A731" s="160"/>
      <c r="B731" s="160"/>
      <c r="D731" s="160"/>
      <c r="F731" s="160"/>
      <c r="G731" s="160"/>
      <c r="H731" s="160"/>
      <c r="I731" s="160"/>
      <c r="J731" s="160"/>
      <c r="K731" s="160"/>
      <c r="L731" s="160"/>
      <c r="M731" s="160"/>
      <c r="N731" s="160"/>
      <c r="O731" s="160"/>
      <c r="P731" s="160"/>
      <c r="Q731" s="160"/>
      <c r="R731" s="160"/>
      <c r="S731" s="160"/>
      <c r="T731" s="160"/>
      <c r="U731" s="160"/>
      <c r="V731" s="160"/>
      <c r="W731" s="160"/>
      <c r="X731" s="160"/>
      <c r="Y731" s="160"/>
      <c r="Z731" s="160"/>
      <c r="AA731" s="160"/>
    </row>
    <row r="732" spans="1:27" ht="12.75" customHeight="1" x14ac:dyDescent="0.2">
      <c r="A732" s="160"/>
      <c r="B732" s="160"/>
      <c r="D732" s="160"/>
      <c r="F732" s="160"/>
      <c r="G732" s="160"/>
      <c r="H732" s="160"/>
      <c r="I732" s="160"/>
      <c r="J732" s="160"/>
      <c r="K732" s="160"/>
      <c r="L732" s="160"/>
      <c r="M732" s="160"/>
      <c r="N732" s="160"/>
      <c r="O732" s="160"/>
      <c r="P732" s="160"/>
      <c r="Q732" s="160"/>
      <c r="R732" s="160"/>
      <c r="S732" s="160"/>
      <c r="T732" s="160"/>
      <c r="U732" s="160"/>
      <c r="V732" s="160"/>
      <c r="W732" s="160"/>
      <c r="X732" s="160"/>
      <c r="Y732" s="160"/>
      <c r="Z732" s="160"/>
      <c r="AA732" s="160"/>
    </row>
    <row r="733" spans="1:27" ht="12.75" customHeight="1" x14ac:dyDescent="0.2">
      <c r="A733" s="160"/>
      <c r="B733" s="160"/>
      <c r="D733" s="160"/>
      <c r="F733" s="160"/>
      <c r="G733" s="160"/>
      <c r="H733" s="160"/>
      <c r="I733" s="160"/>
      <c r="J733" s="160"/>
      <c r="K733" s="160"/>
      <c r="L733" s="160"/>
      <c r="M733" s="160"/>
      <c r="N733" s="160"/>
      <c r="O733" s="160"/>
      <c r="P733" s="160"/>
      <c r="Q733" s="160"/>
      <c r="R733" s="160"/>
      <c r="S733" s="160"/>
      <c r="T733" s="160"/>
      <c r="U733" s="160"/>
      <c r="V733" s="160"/>
      <c r="W733" s="160"/>
      <c r="X733" s="160"/>
      <c r="Y733" s="160"/>
      <c r="Z733" s="160"/>
      <c r="AA733" s="160"/>
    </row>
    <row r="734" spans="1:27" ht="12.75" customHeight="1" x14ac:dyDescent="0.2">
      <c r="A734" s="160"/>
      <c r="B734" s="160"/>
      <c r="D734" s="160"/>
      <c r="F734" s="160"/>
      <c r="G734" s="160"/>
      <c r="H734" s="160"/>
      <c r="I734" s="160"/>
      <c r="J734" s="160"/>
      <c r="K734" s="160"/>
      <c r="L734" s="160"/>
      <c r="M734" s="160"/>
      <c r="N734" s="160"/>
      <c r="O734" s="160"/>
      <c r="P734" s="160"/>
      <c r="Q734" s="160"/>
      <c r="R734" s="160"/>
      <c r="S734" s="160"/>
      <c r="T734" s="160"/>
      <c r="U734" s="160"/>
      <c r="V734" s="160"/>
      <c r="W734" s="160"/>
      <c r="X734" s="160"/>
      <c r="Y734" s="160"/>
      <c r="Z734" s="160"/>
      <c r="AA734" s="160"/>
    </row>
    <row r="735" spans="1:27" ht="12.75" customHeight="1" x14ac:dyDescent="0.2">
      <c r="A735" s="160"/>
      <c r="B735" s="160"/>
      <c r="D735" s="160"/>
      <c r="F735" s="160"/>
      <c r="G735" s="160"/>
      <c r="H735" s="160"/>
      <c r="I735" s="160"/>
      <c r="J735" s="160"/>
      <c r="K735" s="160"/>
      <c r="L735" s="160"/>
      <c r="M735" s="160"/>
      <c r="N735" s="160"/>
      <c r="O735" s="160"/>
      <c r="P735" s="160"/>
      <c r="Q735" s="160"/>
      <c r="R735" s="160"/>
      <c r="S735" s="160"/>
      <c r="T735" s="160"/>
      <c r="U735" s="160"/>
      <c r="V735" s="160"/>
      <c r="W735" s="160"/>
      <c r="X735" s="160"/>
      <c r="Y735" s="160"/>
      <c r="Z735" s="160"/>
      <c r="AA735" s="160"/>
    </row>
    <row r="736" spans="1:27" ht="12.75" customHeight="1" x14ac:dyDescent="0.2">
      <c r="A736" s="160"/>
      <c r="B736" s="160"/>
      <c r="D736" s="160"/>
      <c r="F736" s="160"/>
      <c r="G736" s="160"/>
      <c r="H736" s="160"/>
      <c r="I736" s="160"/>
      <c r="J736" s="160"/>
      <c r="K736" s="160"/>
      <c r="L736" s="160"/>
      <c r="M736" s="160"/>
      <c r="N736" s="160"/>
      <c r="O736" s="160"/>
      <c r="P736" s="160"/>
      <c r="Q736" s="160"/>
      <c r="R736" s="160"/>
      <c r="S736" s="160"/>
      <c r="T736" s="160"/>
      <c r="U736" s="160"/>
      <c r="V736" s="160"/>
      <c r="W736" s="160"/>
      <c r="X736" s="160"/>
      <c r="Y736" s="160"/>
      <c r="Z736" s="160"/>
      <c r="AA736" s="160"/>
    </row>
    <row r="737" spans="1:27" ht="12.75" customHeight="1" x14ac:dyDescent="0.2">
      <c r="A737" s="160"/>
      <c r="B737" s="160"/>
      <c r="D737" s="160"/>
      <c r="F737" s="160"/>
      <c r="G737" s="160"/>
      <c r="H737" s="160"/>
      <c r="I737" s="160"/>
      <c r="J737" s="160"/>
      <c r="K737" s="160"/>
      <c r="L737" s="160"/>
      <c r="M737" s="160"/>
      <c r="N737" s="160"/>
      <c r="O737" s="160"/>
      <c r="P737" s="160"/>
      <c r="Q737" s="160"/>
      <c r="R737" s="160"/>
      <c r="S737" s="160"/>
      <c r="T737" s="160"/>
      <c r="U737" s="160"/>
      <c r="V737" s="160"/>
      <c r="W737" s="160"/>
      <c r="X737" s="160"/>
      <c r="Y737" s="160"/>
      <c r="Z737" s="160"/>
      <c r="AA737" s="160"/>
    </row>
    <row r="738" spans="1:27" ht="12.75" customHeight="1" x14ac:dyDescent="0.2">
      <c r="A738" s="160"/>
      <c r="B738" s="160"/>
      <c r="D738" s="160"/>
      <c r="F738" s="160"/>
      <c r="G738" s="160"/>
      <c r="H738" s="160"/>
      <c r="I738" s="160"/>
      <c r="J738" s="160"/>
      <c r="K738" s="160"/>
      <c r="L738" s="160"/>
      <c r="M738" s="160"/>
      <c r="N738" s="160"/>
      <c r="O738" s="160"/>
      <c r="P738" s="160"/>
      <c r="Q738" s="160"/>
      <c r="R738" s="160"/>
      <c r="S738" s="160"/>
      <c r="T738" s="160"/>
      <c r="U738" s="160"/>
      <c r="V738" s="160"/>
      <c r="W738" s="160"/>
      <c r="X738" s="160"/>
      <c r="Y738" s="160"/>
      <c r="Z738" s="160"/>
      <c r="AA738" s="160"/>
    </row>
    <row r="739" spans="1:27" ht="12.75" customHeight="1" x14ac:dyDescent="0.2">
      <c r="A739" s="160"/>
      <c r="B739" s="160"/>
      <c r="D739" s="160"/>
      <c r="F739" s="160"/>
      <c r="G739" s="160"/>
      <c r="H739" s="160"/>
      <c r="I739" s="160"/>
      <c r="J739" s="160"/>
      <c r="K739" s="160"/>
      <c r="L739" s="160"/>
      <c r="M739" s="160"/>
      <c r="N739" s="160"/>
      <c r="O739" s="160"/>
      <c r="P739" s="160"/>
      <c r="Q739" s="160"/>
      <c r="R739" s="160"/>
      <c r="S739" s="160"/>
      <c r="T739" s="160"/>
      <c r="U739" s="160"/>
      <c r="V739" s="160"/>
      <c r="W739" s="160"/>
      <c r="X739" s="160"/>
      <c r="Y739" s="160"/>
      <c r="Z739" s="160"/>
      <c r="AA739" s="160"/>
    </row>
    <row r="740" spans="1:27" ht="12.75" customHeight="1" x14ac:dyDescent="0.2">
      <c r="A740" s="160"/>
      <c r="B740" s="160"/>
      <c r="D740" s="160"/>
      <c r="F740" s="160"/>
      <c r="G740" s="160"/>
      <c r="H740" s="160"/>
      <c r="I740" s="160"/>
      <c r="J740" s="160"/>
      <c r="K740" s="160"/>
      <c r="L740" s="160"/>
      <c r="M740" s="160"/>
      <c r="N740" s="160"/>
      <c r="O740" s="160"/>
      <c r="P740" s="160"/>
      <c r="Q740" s="160"/>
      <c r="R740" s="160"/>
      <c r="S740" s="160"/>
      <c r="T740" s="160"/>
      <c r="U740" s="160"/>
      <c r="V740" s="160"/>
      <c r="W740" s="160"/>
      <c r="X740" s="160"/>
      <c r="Y740" s="160"/>
      <c r="Z740" s="160"/>
      <c r="AA740" s="160"/>
    </row>
    <row r="741" spans="1:27" ht="12.75" customHeight="1" x14ac:dyDescent="0.2">
      <c r="A741" s="160"/>
      <c r="B741" s="160"/>
      <c r="D741" s="160"/>
      <c r="F741" s="160"/>
      <c r="G741" s="160"/>
      <c r="H741" s="160"/>
      <c r="I741" s="160"/>
      <c r="J741" s="160"/>
      <c r="K741" s="160"/>
      <c r="L741" s="160"/>
      <c r="M741" s="160"/>
      <c r="N741" s="160"/>
      <c r="O741" s="160"/>
      <c r="P741" s="160"/>
      <c r="Q741" s="160"/>
      <c r="R741" s="160"/>
      <c r="S741" s="160"/>
      <c r="T741" s="160"/>
      <c r="U741" s="160"/>
      <c r="V741" s="160"/>
      <c r="W741" s="160"/>
      <c r="X741" s="160"/>
      <c r="Y741" s="160"/>
      <c r="Z741" s="160"/>
      <c r="AA741" s="160"/>
    </row>
    <row r="742" spans="1:27" ht="12.75" customHeight="1" x14ac:dyDescent="0.2">
      <c r="A742" s="160"/>
      <c r="B742" s="160"/>
      <c r="D742" s="160"/>
      <c r="F742" s="160"/>
      <c r="G742" s="160"/>
      <c r="H742" s="160"/>
      <c r="I742" s="160"/>
      <c r="J742" s="160"/>
      <c r="K742" s="160"/>
      <c r="L742" s="160"/>
      <c r="M742" s="160"/>
      <c r="N742" s="160"/>
      <c r="O742" s="160"/>
      <c r="P742" s="160"/>
      <c r="Q742" s="160"/>
      <c r="R742" s="160"/>
      <c r="S742" s="160"/>
      <c r="T742" s="160"/>
      <c r="U742" s="160"/>
      <c r="V742" s="160"/>
      <c r="W742" s="160"/>
      <c r="X742" s="160"/>
      <c r="Y742" s="160"/>
      <c r="Z742" s="160"/>
      <c r="AA742" s="160"/>
    </row>
    <row r="743" spans="1:27" ht="12.75" customHeight="1" x14ac:dyDescent="0.2">
      <c r="A743" s="160"/>
      <c r="B743" s="160"/>
      <c r="D743" s="160"/>
      <c r="F743" s="160"/>
      <c r="G743" s="160"/>
      <c r="H743" s="160"/>
      <c r="I743" s="160"/>
      <c r="J743" s="160"/>
      <c r="K743" s="160"/>
      <c r="L743" s="160"/>
      <c r="M743" s="160"/>
      <c r="N743" s="160"/>
      <c r="O743" s="160"/>
      <c r="P743" s="160"/>
      <c r="Q743" s="160"/>
      <c r="R743" s="160"/>
      <c r="S743" s="160"/>
      <c r="T743" s="160"/>
      <c r="U743" s="160"/>
      <c r="V743" s="160"/>
      <c r="W743" s="160"/>
      <c r="X743" s="160"/>
      <c r="Y743" s="160"/>
      <c r="Z743" s="160"/>
      <c r="AA743" s="160"/>
    </row>
    <row r="744" spans="1:27" ht="12.75" customHeight="1" x14ac:dyDescent="0.2">
      <c r="A744" s="160"/>
      <c r="B744" s="160"/>
      <c r="D744" s="160"/>
      <c r="F744" s="160"/>
      <c r="G744" s="160"/>
      <c r="H744" s="160"/>
      <c r="I744" s="160"/>
      <c r="J744" s="160"/>
      <c r="K744" s="160"/>
      <c r="L744" s="160"/>
      <c r="M744" s="160"/>
      <c r="N744" s="160"/>
      <c r="O744" s="160"/>
      <c r="P744" s="160"/>
      <c r="Q744" s="160"/>
      <c r="R744" s="160"/>
      <c r="S744" s="160"/>
      <c r="T744" s="160"/>
      <c r="U744" s="160"/>
      <c r="V744" s="160"/>
      <c r="W744" s="160"/>
      <c r="X744" s="160"/>
      <c r="Y744" s="160"/>
      <c r="Z744" s="160"/>
      <c r="AA744" s="160"/>
    </row>
    <row r="745" spans="1:27" ht="12.75" customHeight="1" x14ac:dyDescent="0.2">
      <c r="A745" s="160"/>
      <c r="B745" s="160"/>
      <c r="D745" s="160"/>
      <c r="F745" s="160"/>
      <c r="G745" s="160"/>
      <c r="H745" s="160"/>
      <c r="I745" s="160"/>
      <c r="J745" s="160"/>
      <c r="K745" s="160"/>
      <c r="L745" s="160"/>
      <c r="M745" s="160"/>
      <c r="N745" s="160"/>
      <c r="O745" s="160"/>
      <c r="P745" s="160"/>
      <c r="Q745" s="160"/>
      <c r="R745" s="160"/>
      <c r="S745" s="160"/>
      <c r="T745" s="160"/>
      <c r="U745" s="160"/>
      <c r="V745" s="160"/>
      <c r="W745" s="160"/>
      <c r="X745" s="160"/>
      <c r="Y745" s="160"/>
      <c r="Z745" s="160"/>
      <c r="AA745" s="160"/>
    </row>
    <row r="746" spans="1:27" ht="12.75" customHeight="1" x14ac:dyDescent="0.2">
      <c r="A746" s="160"/>
      <c r="B746" s="160"/>
      <c r="D746" s="160"/>
      <c r="F746" s="160"/>
      <c r="G746" s="160"/>
      <c r="H746" s="160"/>
      <c r="I746" s="160"/>
      <c r="J746" s="160"/>
      <c r="K746" s="160"/>
      <c r="L746" s="160"/>
      <c r="M746" s="160"/>
      <c r="N746" s="160"/>
      <c r="O746" s="160"/>
      <c r="P746" s="160"/>
      <c r="Q746" s="160"/>
      <c r="R746" s="160"/>
      <c r="S746" s="160"/>
      <c r="T746" s="160"/>
      <c r="U746" s="160"/>
      <c r="V746" s="160"/>
      <c r="W746" s="160"/>
      <c r="X746" s="160"/>
      <c r="Y746" s="160"/>
      <c r="Z746" s="160"/>
      <c r="AA746" s="160"/>
    </row>
    <row r="747" spans="1:27" ht="12.75" customHeight="1" x14ac:dyDescent="0.2">
      <c r="A747" s="160"/>
      <c r="B747" s="160"/>
      <c r="D747" s="160"/>
      <c r="F747" s="160"/>
      <c r="G747" s="160"/>
      <c r="H747" s="160"/>
      <c r="I747" s="160"/>
      <c r="J747" s="160"/>
      <c r="K747" s="160"/>
      <c r="L747" s="160"/>
      <c r="M747" s="160"/>
      <c r="N747" s="160"/>
      <c r="O747" s="160"/>
      <c r="P747" s="160"/>
      <c r="Q747" s="160"/>
      <c r="R747" s="160"/>
      <c r="S747" s="160"/>
      <c r="T747" s="160"/>
      <c r="U747" s="160"/>
      <c r="V747" s="160"/>
      <c r="W747" s="160"/>
      <c r="X747" s="160"/>
      <c r="Y747" s="160"/>
      <c r="Z747" s="160"/>
      <c r="AA747" s="160"/>
    </row>
    <row r="748" spans="1:27" ht="12.75" customHeight="1" x14ac:dyDescent="0.2">
      <c r="A748" s="160"/>
      <c r="B748" s="160"/>
      <c r="D748" s="160"/>
      <c r="F748" s="160"/>
      <c r="G748" s="160"/>
      <c r="H748" s="160"/>
      <c r="I748" s="160"/>
      <c r="J748" s="160"/>
      <c r="K748" s="160"/>
      <c r="L748" s="160"/>
      <c r="M748" s="160"/>
      <c r="N748" s="160"/>
      <c r="O748" s="160"/>
      <c r="P748" s="160"/>
      <c r="Q748" s="160"/>
      <c r="R748" s="160"/>
      <c r="S748" s="160"/>
      <c r="T748" s="160"/>
      <c r="U748" s="160"/>
      <c r="V748" s="160"/>
      <c r="W748" s="160"/>
      <c r="X748" s="160"/>
      <c r="Y748" s="160"/>
      <c r="Z748" s="160"/>
      <c r="AA748" s="160"/>
    </row>
    <row r="749" spans="1:27" ht="12.75" customHeight="1" x14ac:dyDescent="0.2">
      <c r="A749" s="160"/>
      <c r="B749" s="160"/>
      <c r="D749" s="160"/>
      <c r="F749" s="160"/>
      <c r="G749" s="160"/>
      <c r="H749" s="160"/>
      <c r="I749" s="160"/>
      <c r="J749" s="160"/>
      <c r="K749" s="160"/>
      <c r="L749" s="160"/>
      <c r="M749" s="160"/>
      <c r="N749" s="160"/>
      <c r="O749" s="160"/>
      <c r="P749" s="160"/>
      <c r="Q749" s="160"/>
      <c r="R749" s="160"/>
      <c r="S749" s="160"/>
      <c r="T749" s="160"/>
      <c r="U749" s="160"/>
      <c r="V749" s="160"/>
      <c r="W749" s="160"/>
      <c r="X749" s="160"/>
      <c r="Y749" s="160"/>
      <c r="Z749" s="160"/>
      <c r="AA749" s="160"/>
    </row>
    <row r="750" spans="1:27" ht="12.75" customHeight="1" x14ac:dyDescent="0.2">
      <c r="A750" s="160"/>
      <c r="B750" s="160"/>
      <c r="D750" s="160"/>
      <c r="F750" s="160"/>
      <c r="G750" s="160"/>
      <c r="H750" s="160"/>
      <c r="I750" s="160"/>
      <c r="J750" s="160"/>
      <c r="K750" s="160"/>
      <c r="L750" s="160"/>
      <c r="M750" s="160"/>
      <c r="N750" s="160"/>
      <c r="O750" s="160"/>
      <c r="P750" s="160"/>
      <c r="Q750" s="160"/>
      <c r="R750" s="160"/>
      <c r="S750" s="160"/>
      <c r="T750" s="160"/>
      <c r="U750" s="160"/>
      <c r="V750" s="160"/>
      <c r="W750" s="160"/>
      <c r="X750" s="160"/>
      <c r="Y750" s="160"/>
      <c r="Z750" s="160"/>
      <c r="AA750" s="160"/>
    </row>
    <row r="751" spans="1:27" ht="12.75" customHeight="1" x14ac:dyDescent="0.2">
      <c r="A751" s="160"/>
      <c r="B751" s="160"/>
      <c r="D751" s="160"/>
      <c r="F751" s="160"/>
      <c r="G751" s="160"/>
      <c r="H751" s="160"/>
      <c r="I751" s="160"/>
      <c r="J751" s="160"/>
      <c r="K751" s="160"/>
      <c r="L751" s="160"/>
      <c r="M751" s="160"/>
      <c r="N751" s="160"/>
      <c r="O751" s="160"/>
      <c r="P751" s="160"/>
      <c r="Q751" s="160"/>
      <c r="R751" s="160"/>
      <c r="S751" s="160"/>
      <c r="T751" s="160"/>
      <c r="U751" s="160"/>
      <c r="V751" s="160"/>
      <c r="W751" s="160"/>
      <c r="X751" s="160"/>
      <c r="Y751" s="160"/>
      <c r="Z751" s="160"/>
      <c r="AA751" s="160"/>
    </row>
    <row r="752" spans="1:27" ht="12.75" customHeight="1" x14ac:dyDescent="0.2">
      <c r="A752" s="160"/>
      <c r="B752" s="160"/>
      <c r="D752" s="160"/>
      <c r="F752" s="160"/>
      <c r="G752" s="160"/>
      <c r="H752" s="160"/>
      <c r="I752" s="160"/>
      <c r="J752" s="160"/>
      <c r="K752" s="160"/>
      <c r="L752" s="160"/>
      <c r="M752" s="160"/>
      <c r="N752" s="160"/>
      <c r="O752" s="160"/>
      <c r="P752" s="160"/>
      <c r="Q752" s="160"/>
      <c r="R752" s="160"/>
      <c r="S752" s="160"/>
      <c r="T752" s="160"/>
      <c r="U752" s="160"/>
      <c r="V752" s="160"/>
      <c r="W752" s="160"/>
      <c r="X752" s="160"/>
      <c r="Y752" s="160"/>
      <c r="Z752" s="160"/>
      <c r="AA752" s="160"/>
    </row>
    <row r="753" spans="1:27" ht="12.75" customHeight="1" x14ac:dyDescent="0.2">
      <c r="A753" s="160"/>
      <c r="B753" s="160"/>
      <c r="D753" s="160"/>
      <c r="F753" s="160"/>
      <c r="G753" s="160"/>
      <c r="H753" s="160"/>
      <c r="I753" s="160"/>
      <c r="J753" s="160"/>
      <c r="K753" s="160"/>
      <c r="L753" s="160"/>
      <c r="M753" s="160"/>
      <c r="N753" s="160"/>
      <c r="O753" s="160"/>
      <c r="P753" s="160"/>
      <c r="Q753" s="160"/>
      <c r="R753" s="160"/>
      <c r="S753" s="160"/>
      <c r="T753" s="160"/>
      <c r="U753" s="160"/>
      <c r="V753" s="160"/>
      <c r="W753" s="160"/>
      <c r="X753" s="160"/>
      <c r="Y753" s="160"/>
      <c r="Z753" s="160"/>
      <c r="AA753" s="160"/>
    </row>
    <row r="754" spans="1:27" ht="12.75" customHeight="1" x14ac:dyDescent="0.2">
      <c r="A754" s="160"/>
      <c r="B754" s="160"/>
      <c r="D754" s="160"/>
      <c r="F754" s="160"/>
      <c r="G754" s="160"/>
      <c r="H754" s="160"/>
      <c r="I754" s="160"/>
      <c r="J754" s="160"/>
      <c r="K754" s="160"/>
      <c r="L754" s="160"/>
      <c r="M754" s="160"/>
      <c r="N754" s="160"/>
      <c r="O754" s="160"/>
      <c r="P754" s="160"/>
      <c r="Q754" s="160"/>
      <c r="R754" s="160"/>
      <c r="S754" s="160"/>
      <c r="T754" s="160"/>
      <c r="U754" s="160"/>
      <c r="V754" s="160"/>
      <c r="W754" s="160"/>
      <c r="X754" s="160"/>
      <c r="Y754" s="160"/>
      <c r="Z754" s="160"/>
      <c r="AA754" s="160"/>
    </row>
    <row r="755" spans="1:27" ht="12.75" customHeight="1" x14ac:dyDescent="0.2">
      <c r="A755" s="160"/>
      <c r="B755" s="160"/>
      <c r="D755" s="160"/>
      <c r="F755" s="160"/>
      <c r="G755" s="160"/>
      <c r="H755" s="160"/>
      <c r="I755" s="160"/>
      <c r="J755" s="160"/>
      <c r="K755" s="160"/>
      <c r="L755" s="160"/>
      <c r="M755" s="160"/>
      <c r="N755" s="160"/>
      <c r="O755" s="160"/>
      <c r="P755" s="160"/>
      <c r="Q755" s="160"/>
      <c r="R755" s="160"/>
      <c r="S755" s="160"/>
      <c r="T755" s="160"/>
      <c r="U755" s="160"/>
      <c r="V755" s="160"/>
      <c r="W755" s="160"/>
      <c r="X755" s="160"/>
      <c r="Y755" s="160"/>
      <c r="Z755" s="160"/>
      <c r="AA755" s="160"/>
    </row>
    <row r="756" spans="1:27" ht="12.75" customHeight="1" x14ac:dyDescent="0.2">
      <c r="A756" s="160"/>
      <c r="B756" s="160"/>
      <c r="D756" s="160"/>
      <c r="F756" s="160"/>
      <c r="G756" s="160"/>
      <c r="H756" s="160"/>
      <c r="I756" s="160"/>
      <c r="J756" s="160"/>
      <c r="K756" s="160"/>
      <c r="L756" s="160"/>
      <c r="M756" s="160"/>
      <c r="N756" s="160"/>
      <c r="O756" s="160"/>
      <c r="P756" s="160"/>
      <c r="Q756" s="160"/>
      <c r="R756" s="160"/>
      <c r="S756" s="160"/>
      <c r="T756" s="160"/>
      <c r="U756" s="160"/>
      <c r="V756" s="160"/>
      <c r="W756" s="160"/>
      <c r="X756" s="160"/>
      <c r="Y756" s="160"/>
      <c r="Z756" s="160"/>
      <c r="AA756" s="160"/>
    </row>
    <row r="757" spans="1:27" ht="12.75" customHeight="1" x14ac:dyDescent="0.2">
      <c r="A757" s="160"/>
      <c r="B757" s="160"/>
      <c r="D757" s="160"/>
      <c r="F757" s="160"/>
      <c r="G757" s="160"/>
      <c r="H757" s="160"/>
      <c r="I757" s="160"/>
      <c r="J757" s="160"/>
      <c r="K757" s="160"/>
      <c r="L757" s="160"/>
      <c r="M757" s="160"/>
      <c r="N757" s="160"/>
      <c r="O757" s="160"/>
      <c r="P757" s="160"/>
      <c r="Q757" s="160"/>
      <c r="R757" s="160"/>
      <c r="S757" s="160"/>
      <c r="T757" s="160"/>
      <c r="U757" s="160"/>
      <c r="V757" s="160"/>
      <c r="W757" s="160"/>
      <c r="X757" s="160"/>
      <c r="Y757" s="160"/>
      <c r="Z757" s="160"/>
      <c r="AA757" s="160"/>
    </row>
    <row r="758" spans="1:27" ht="12.75" customHeight="1" x14ac:dyDescent="0.2">
      <c r="A758" s="160"/>
      <c r="B758" s="160"/>
      <c r="D758" s="160"/>
      <c r="F758" s="160"/>
      <c r="G758" s="160"/>
      <c r="H758" s="160"/>
      <c r="I758" s="160"/>
      <c r="J758" s="160"/>
      <c r="K758" s="160"/>
      <c r="L758" s="160"/>
      <c r="M758" s="160"/>
      <c r="N758" s="160"/>
      <c r="O758" s="160"/>
      <c r="P758" s="160"/>
      <c r="Q758" s="160"/>
      <c r="R758" s="160"/>
      <c r="S758" s="160"/>
      <c r="T758" s="160"/>
      <c r="U758" s="160"/>
      <c r="V758" s="160"/>
      <c r="W758" s="160"/>
      <c r="X758" s="160"/>
      <c r="Y758" s="160"/>
      <c r="Z758" s="160"/>
      <c r="AA758" s="160"/>
    </row>
    <row r="759" spans="1:27" ht="12.75" customHeight="1" x14ac:dyDescent="0.2">
      <c r="A759" s="160"/>
      <c r="B759" s="160"/>
      <c r="D759" s="160"/>
      <c r="F759" s="160"/>
      <c r="G759" s="160"/>
      <c r="H759" s="160"/>
      <c r="I759" s="160"/>
      <c r="J759" s="160"/>
      <c r="K759" s="160"/>
      <c r="L759" s="160"/>
      <c r="M759" s="160"/>
      <c r="N759" s="160"/>
      <c r="O759" s="160"/>
      <c r="P759" s="160"/>
      <c r="Q759" s="160"/>
      <c r="R759" s="160"/>
      <c r="S759" s="160"/>
      <c r="T759" s="160"/>
      <c r="U759" s="160"/>
      <c r="V759" s="160"/>
      <c r="W759" s="160"/>
      <c r="X759" s="160"/>
      <c r="Y759" s="160"/>
      <c r="Z759" s="160"/>
      <c r="AA759" s="160"/>
    </row>
    <row r="760" spans="1:27" ht="12.75" customHeight="1" x14ac:dyDescent="0.2">
      <c r="A760" s="160"/>
      <c r="B760" s="160"/>
      <c r="D760" s="160"/>
      <c r="F760" s="160"/>
      <c r="G760" s="160"/>
      <c r="H760" s="160"/>
      <c r="I760" s="160"/>
      <c r="J760" s="160"/>
      <c r="K760" s="160"/>
      <c r="L760" s="160"/>
      <c r="M760" s="160"/>
      <c r="N760" s="160"/>
      <c r="O760" s="160"/>
      <c r="P760" s="160"/>
      <c r="Q760" s="160"/>
      <c r="R760" s="160"/>
      <c r="S760" s="160"/>
      <c r="T760" s="160"/>
      <c r="U760" s="160"/>
      <c r="V760" s="160"/>
      <c r="W760" s="160"/>
      <c r="X760" s="160"/>
      <c r="Y760" s="160"/>
      <c r="Z760" s="160"/>
      <c r="AA760" s="160"/>
    </row>
    <row r="761" spans="1:27" ht="12.75" customHeight="1" x14ac:dyDescent="0.2">
      <c r="A761" s="160"/>
      <c r="B761" s="160"/>
      <c r="D761" s="160"/>
      <c r="F761" s="160"/>
      <c r="G761" s="160"/>
      <c r="H761" s="160"/>
      <c r="I761" s="160"/>
      <c r="J761" s="160"/>
      <c r="K761" s="160"/>
      <c r="L761" s="160"/>
      <c r="M761" s="160"/>
      <c r="N761" s="160"/>
      <c r="O761" s="160"/>
      <c r="P761" s="160"/>
      <c r="Q761" s="160"/>
      <c r="R761" s="160"/>
      <c r="S761" s="160"/>
      <c r="T761" s="160"/>
      <c r="U761" s="160"/>
      <c r="V761" s="160"/>
      <c r="W761" s="160"/>
      <c r="X761" s="160"/>
      <c r="Y761" s="160"/>
      <c r="Z761" s="160"/>
      <c r="AA761" s="160"/>
    </row>
    <row r="762" spans="1:27" ht="12.75" customHeight="1" x14ac:dyDescent="0.2">
      <c r="A762" s="160"/>
      <c r="B762" s="160"/>
      <c r="D762" s="160"/>
      <c r="F762" s="160"/>
      <c r="G762" s="160"/>
      <c r="H762" s="160"/>
      <c r="I762" s="160"/>
      <c r="J762" s="160"/>
      <c r="K762" s="160"/>
      <c r="L762" s="160"/>
      <c r="M762" s="160"/>
      <c r="N762" s="160"/>
      <c r="O762" s="160"/>
      <c r="P762" s="160"/>
      <c r="Q762" s="160"/>
      <c r="R762" s="160"/>
      <c r="S762" s="160"/>
      <c r="T762" s="160"/>
      <c r="U762" s="160"/>
      <c r="V762" s="160"/>
      <c r="W762" s="160"/>
      <c r="X762" s="160"/>
      <c r="Y762" s="160"/>
      <c r="Z762" s="160"/>
      <c r="AA762" s="160"/>
    </row>
    <row r="763" spans="1:27" ht="12.75" customHeight="1" x14ac:dyDescent="0.2">
      <c r="A763" s="160"/>
      <c r="B763" s="160"/>
      <c r="D763" s="160"/>
      <c r="F763" s="160"/>
      <c r="G763" s="160"/>
      <c r="H763" s="160"/>
      <c r="I763" s="160"/>
      <c r="J763" s="160"/>
      <c r="K763" s="160"/>
      <c r="L763" s="160"/>
      <c r="M763" s="160"/>
      <c r="N763" s="160"/>
      <c r="O763" s="160"/>
      <c r="P763" s="160"/>
      <c r="Q763" s="160"/>
      <c r="R763" s="160"/>
      <c r="S763" s="160"/>
      <c r="T763" s="160"/>
      <c r="U763" s="160"/>
      <c r="V763" s="160"/>
      <c r="W763" s="160"/>
      <c r="X763" s="160"/>
      <c r="Y763" s="160"/>
      <c r="Z763" s="160"/>
      <c r="AA763" s="160"/>
    </row>
    <row r="764" spans="1:27" ht="12.75" customHeight="1" x14ac:dyDescent="0.2">
      <c r="A764" s="160"/>
      <c r="B764" s="160"/>
      <c r="D764" s="160"/>
      <c r="F764" s="160"/>
      <c r="G764" s="160"/>
      <c r="H764" s="160"/>
      <c r="I764" s="160"/>
      <c r="J764" s="160"/>
      <c r="K764" s="160"/>
      <c r="L764" s="160"/>
      <c r="M764" s="160"/>
      <c r="N764" s="160"/>
      <c r="O764" s="160"/>
      <c r="P764" s="160"/>
      <c r="Q764" s="160"/>
      <c r="R764" s="160"/>
      <c r="S764" s="160"/>
      <c r="T764" s="160"/>
      <c r="U764" s="160"/>
      <c r="V764" s="160"/>
      <c r="W764" s="160"/>
      <c r="X764" s="160"/>
      <c r="Y764" s="160"/>
      <c r="Z764" s="160"/>
      <c r="AA764" s="160"/>
    </row>
    <row r="765" spans="1:27" ht="12.75" customHeight="1" x14ac:dyDescent="0.2">
      <c r="A765" s="160"/>
      <c r="B765" s="160"/>
      <c r="D765" s="160"/>
      <c r="F765" s="160"/>
      <c r="G765" s="160"/>
      <c r="H765" s="160"/>
      <c r="I765" s="160"/>
      <c r="J765" s="160"/>
      <c r="K765" s="160"/>
      <c r="L765" s="160"/>
      <c r="M765" s="160"/>
      <c r="N765" s="160"/>
      <c r="O765" s="160"/>
      <c r="P765" s="160"/>
      <c r="Q765" s="160"/>
      <c r="R765" s="160"/>
      <c r="S765" s="160"/>
      <c r="T765" s="160"/>
      <c r="U765" s="160"/>
      <c r="V765" s="160"/>
      <c r="W765" s="160"/>
      <c r="X765" s="160"/>
      <c r="Y765" s="160"/>
      <c r="Z765" s="160"/>
      <c r="AA765" s="160"/>
    </row>
    <row r="766" spans="1:27" ht="12.75" customHeight="1" x14ac:dyDescent="0.2">
      <c r="A766" s="160"/>
      <c r="B766" s="160"/>
      <c r="D766" s="160"/>
      <c r="F766" s="160"/>
      <c r="G766" s="160"/>
      <c r="H766" s="160"/>
      <c r="I766" s="160"/>
      <c r="J766" s="160"/>
      <c r="K766" s="160"/>
      <c r="L766" s="160"/>
      <c r="M766" s="160"/>
      <c r="N766" s="160"/>
      <c r="O766" s="160"/>
      <c r="P766" s="160"/>
      <c r="Q766" s="160"/>
      <c r="R766" s="160"/>
      <c r="S766" s="160"/>
      <c r="T766" s="160"/>
      <c r="U766" s="160"/>
      <c r="V766" s="160"/>
      <c r="W766" s="160"/>
      <c r="X766" s="160"/>
      <c r="Y766" s="160"/>
      <c r="Z766" s="160"/>
      <c r="AA766" s="160"/>
    </row>
    <row r="767" spans="1:27" ht="12.75" customHeight="1" x14ac:dyDescent="0.2">
      <c r="A767" s="160"/>
      <c r="B767" s="160"/>
      <c r="D767" s="160"/>
      <c r="F767" s="160"/>
      <c r="G767" s="160"/>
      <c r="H767" s="160"/>
      <c r="I767" s="160"/>
      <c r="J767" s="160"/>
      <c r="K767" s="160"/>
      <c r="L767" s="160"/>
      <c r="M767" s="160"/>
      <c r="N767" s="160"/>
      <c r="O767" s="160"/>
      <c r="P767" s="160"/>
      <c r="Q767" s="160"/>
      <c r="R767" s="160"/>
      <c r="S767" s="160"/>
      <c r="T767" s="160"/>
      <c r="U767" s="160"/>
      <c r="V767" s="160"/>
      <c r="W767" s="160"/>
      <c r="X767" s="160"/>
      <c r="Y767" s="160"/>
      <c r="Z767" s="160"/>
      <c r="AA767" s="160"/>
    </row>
    <row r="768" spans="1:27" ht="12.75" customHeight="1" x14ac:dyDescent="0.2">
      <c r="A768" s="160"/>
      <c r="B768" s="160"/>
      <c r="D768" s="160"/>
      <c r="F768" s="160"/>
      <c r="G768" s="160"/>
      <c r="H768" s="160"/>
      <c r="I768" s="160"/>
      <c r="J768" s="160"/>
      <c r="K768" s="160"/>
      <c r="L768" s="160"/>
      <c r="M768" s="160"/>
      <c r="N768" s="160"/>
      <c r="O768" s="160"/>
      <c r="P768" s="160"/>
      <c r="Q768" s="160"/>
      <c r="R768" s="160"/>
      <c r="S768" s="160"/>
      <c r="T768" s="160"/>
      <c r="U768" s="160"/>
      <c r="V768" s="160"/>
      <c r="W768" s="160"/>
      <c r="X768" s="160"/>
      <c r="Y768" s="160"/>
      <c r="Z768" s="160"/>
      <c r="AA768" s="160"/>
    </row>
    <row r="769" spans="1:27" ht="12.75" customHeight="1" x14ac:dyDescent="0.2">
      <c r="A769" s="160"/>
      <c r="B769" s="160"/>
      <c r="D769" s="160"/>
      <c r="F769" s="160"/>
      <c r="G769" s="160"/>
      <c r="H769" s="160"/>
      <c r="I769" s="160"/>
      <c r="J769" s="160"/>
      <c r="K769" s="160"/>
      <c r="L769" s="160"/>
      <c r="M769" s="160"/>
      <c r="N769" s="160"/>
      <c r="O769" s="160"/>
      <c r="P769" s="160"/>
      <c r="Q769" s="160"/>
      <c r="R769" s="160"/>
      <c r="S769" s="160"/>
      <c r="T769" s="160"/>
      <c r="U769" s="160"/>
      <c r="V769" s="160"/>
      <c r="W769" s="160"/>
      <c r="X769" s="160"/>
      <c r="Y769" s="160"/>
      <c r="Z769" s="160"/>
      <c r="AA769" s="160"/>
    </row>
    <row r="770" spans="1:27" ht="12.75" customHeight="1" x14ac:dyDescent="0.2">
      <c r="A770" s="160"/>
      <c r="B770" s="160"/>
      <c r="D770" s="160"/>
      <c r="F770" s="160"/>
      <c r="G770" s="160"/>
      <c r="H770" s="160"/>
      <c r="I770" s="160"/>
      <c r="J770" s="160"/>
      <c r="K770" s="160"/>
      <c r="L770" s="160"/>
      <c r="M770" s="160"/>
      <c r="N770" s="160"/>
      <c r="O770" s="160"/>
      <c r="P770" s="160"/>
      <c r="Q770" s="160"/>
      <c r="R770" s="160"/>
      <c r="S770" s="160"/>
      <c r="T770" s="160"/>
      <c r="U770" s="160"/>
      <c r="V770" s="160"/>
      <c r="W770" s="160"/>
      <c r="X770" s="160"/>
      <c r="Y770" s="160"/>
      <c r="Z770" s="160"/>
      <c r="AA770" s="160"/>
    </row>
    <row r="771" spans="1:27" ht="12.75" customHeight="1" x14ac:dyDescent="0.2">
      <c r="A771" s="160"/>
      <c r="B771" s="160"/>
      <c r="D771" s="160"/>
      <c r="F771" s="160"/>
      <c r="G771" s="160"/>
      <c r="H771" s="160"/>
      <c r="I771" s="160"/>
      <c r="J771" s="160"/>
      <c r="K771" s="160"/>
      <c r="L771" s="160"/>
      <c r="M771" s="160"/>
      <c r="N771" s="160"/>
      <c r="O771" s="160"/>
      <c r="P771" s="160"/>
      <c r="Q771" s="160"/>
      <c r="R771" s="160"/>
      <c r="S771" s="160"/>
      <c r="T771" s="160"/>
      <c r="U771" s="160"/>
      <c r="V771" s="160"/>
      <c r="W771" s="160"/>
      <c r="X771" s="160"/>
      <c r="Y771" s="160"/>
      <c r="Z771" s="160"/>
      <c r="AA771" s="160"/>
    </row>
    <row r="772" spans="1:27" ht="12.75" customHeight="1" x14ac:dyDescent="0.2">
      <c r="A772" s="160"/>
      <c r="B772" s="160"/>
      <c r="D772" s="160"/>
      <c r="F772" s="160"/>
      <c r="G772" s="160"/>
      <c r="H772" s="160"/>
      <c r="I772" s="160"/>
      <c r="J772" s="160"/>
      <c r="K772" s="160"/>
      <c r="L772" s="160"/>
      <c r="M772" s="160"/>
      <c r="N772" s="160"/>
      <c r="O772" s="160"/>
      <c r="P772" s="160"/>
      <c r="Q772" s="160"/>
      <c r="R772" s="160"/>
      <c r="S772" s="160"/>
      <c r="T772" s="160"/>
      <c r="U772" s="160"/>
      <c r="V772" s="160"/>
      <c r="W772" s="160"/>
      <c r="X772" s="160"/>
      <c r="Y772" s="160"/>
      <c r="Z772" s="160"/>
      <c r="AA772" s="160"/>
    </row>
    <row r="773" spans="1:27" ht="12.75" customHeight="1" x14ac:dyDescent="0.2">
      <c r="A773" s="160"/>
      <c r="B773" s="160"/>
      <c r="D773" s="160"/>
      <c r="F773" s="160"/>
      <c r="G773" s="160"/>
      <c r="H773" s="160"/>
      <c r="I773" s="160"/>
      <c r="J773" s="160"/>
      <c r="K773" s="160"/>
      <c r="L773" s="160"/>
      <c r="M773" s="160"/>
      <c r="N773" s="160"/>
      <c r="O773" s="160"/>
      <c r="P773" s="160"/>
      <c r="Q773" s="160"/>
      <c r="R773" s="160"/>
      <c r="S773" s="160"/>
      <c r="T773" s="160"/>
      <c r="U773" s="160"/>
      <c r="V773" s="160"/>
      <c r="W773" s="160"/>
      <c r="X773" s="160"/>
      <c r="Y773" s="160"/>
      <c r="Z773" s="160"/>
      <c r="AA773" s="160"/>
    </row>
    <row r="774" spans="1:27" ht="12.75" customHeight="1" x14ac:dyDescent="0.2">
      <c r="A774" s="160"/>
      <c r="B774" s="160"/>
      <c r="D774" s="160"/>
      <c r="F774" s="160"/>
      <c r="G774" s="160"/>
      <c r="H774" s="160"/>
      <c r="I774" s="160"/>
      <c r="J774" s="160"/>
      <c r="K774" s="160"/>
      <c r="L774" s="160"/>
      <c r="M774" s="160"/>
      <c r="N774" s="160"/>
      <c r="O774" s="160"/>
      <c r="P774" s="160"/>
      <c r="Q774" s="160"/>
      <c r="R774" s="160"/>
      <c r="S774" s="160"/>
      <c r="T774" s="160"/>
      <c r="U774" s="160"/>
      <c r="V774" s="160"/>
      <c r="W774" s="160"/>
      <c r="X774" s="160"/>
      <c r="Y774" s="160"/>
      <c r="Z774" s="160"/>
      <c r="AA774" s="160"/>
    </row>
    <row r="775" spans="1:27" ht="12.75" customHeight="1" x14ac:dyDescent="0.2">
      <c r="A775" s="160"/>
      <c r="B775" s="160"/>
      <c r="D775" s="160"/>
      <c r="F775" s="160"/>
      <c r="G775" s="160"/>
      <c r="H775" s="160"/>
      <c r="I775" s="160"/>
      <c r="J775" s="160"/>
      <c r="K775" s="160"/>
      <c r="L775" s="160"/>
      <c r="M775" s="160"/>
      <c r="N775" s="160"/>
      <c r="O775" s="160"/>
      <c r="P775" s="160"/>
      <c r="Q775" s="160"/>
      <c r="R775" s="160"/>
      <c r="S775" s="160"/>
      <c r="T775" s="160"/>
      <c r="U775" s="160"/>
      <c r="V775" s="160"/>
      <c r="W775" s="160"/>
      <c r="X775" s="160"/>
      <c r="Y775" s="160"/>
      <c r="Z775" s="160"/>
      <c r="AA775" s="160"/>
    </row>
    <row r="776" spans="1:27" ht="12.75" customHeight="1" x14ac:dyDescent="0.2">
      <c r="A776" s="160"/>
      <c r="B776" s="160"/>
      <c r="D776" s="160"/>
      <c r="F776" s="160"/>
      <c r="G776" s="160"/>
      <c r="H776" s="160"/>
      <c r="I776" s="160"/>
      <c r="J776" s="160"/>
      <c r="K776" s="160"/>
      <c r="L776" s="160"/>
      <c r="M776" s="160"/>
      <c r="N776" s="160"/>
      <c r="O776" s="160"/>
      <c r="P776" s="160"/>
      <c r="Q776" s="160"/>
      <c r="R776" s="160"/>
      <c r="S776" s="160"/>
      <c r="T776" s="160"/>
      <c r="U776" s="160"/>
      <c r="V776" s="160"/>
      <c r="W776" s="160"/>
      <c r="X776" s="160"/>
      <c r="Y776" s="160"/>
      <c r="Z776" s="160"/>
      <c r="AA776" s="160"/>
    </row>
    <row r="777" spans="1:27" ht="12.75" customHeight="1" x14ac:dyDescent="0.2">
      <c r="A777" s="160"/>
      <c r="B777" s="160"/>
      <c r="D777" s="160"/>
      <c r="F777" s="160"/>
      <c r="G777" s="160"/>
      <c r="H777" s="160"/>
      <c r="I777" s="160"/>
      <c r="J777" s="160"/>
      <c r="K777" s="160"/>
      <c r="L777" s="160"/>
      <c r="M777" s="160"/>
      <c r="N777" s="160"/>
      <c r="O777" s="160"/>
      <c r="P777" s="160"/>
      <c r="Q777" s="160"/>
      <c r="R777" s="160"/>
      <c r="S777" s="160"/>
      <c r="T777" s="160"/>
      <c r="U777" s="160"/>
      <c r="V777" s="160"/>
      <c r="W777" s="160"/>
      <c r="X777" s="160"/>
      <c r="Y777" s="160"/>
      <c r="Z777" s="160"/>
      <c r="AA777" s="160"/>
    </row>
    <row r="778" spans="1:27" ht="12.75" customHeight="1" x14ac:dyDescent="0.2">
      <c r="A778" s="160"/>
      <c r="B778" s="160"/>
      <c r="D778" s="160"/>
      <c r="F778" s="160"/>
      <c r="G778" s="160"/>
      <c r="H778" s="160"/>
      <c r="I778" s="160"/>
      <c r="J778" s="160"/>
      <c r="K778" s="160"/>
      <c r="L778" s="160"/>
      <c r="M778" s="160"/>
      <c r="N778" s="160"/>
      <c r="O778" s="160"/>
      <c r="P778" s="160"/>
      <c r="Q778" s="160"/>
      <c r="R778" s="160"/>
      <c r="S778" s="160"/>
      <c r="T778" s="160"/>
      <c r="U778" s="160"/>
      <c r="V778" s="160"/>
      <c r="W778" s="160"/>
      <c r="X778" s="160"/>
      <c r="Y778" s="160"/>
      <c r="Z778" s="160"/>
      <c r="AA778" s="160"/>
    </row>
    <row r="779" spans="1:27" ht="12.75" customHeight="1" x14ac:dyDescent="0.2">
      <c r="A779" s="160"/>
      <c r="B779" s="160"/>
      <c r="D779" s="160"/>
      <c r="F779" s="160"/>
      <c r="G779" s="160"/>
      <c r="H779" s="160"/>
      <c r="I779" s="160"/>
      <c r="J779" s="160"/>
      <c r="K779" s="160"/>
      <c r="L779" s="160"/>
      <c r="M779" s="160"/>
      <c r="N779" s="160"/>
      <c r="O779" s="160"/>
      <c r="P779" s="160"/>
      <c r="Q779" s="160"/>
      <c r="R779" s="160"/>
      <c r="S779" s="160"/>
      <c r="T779" s="160"/>
      <c r="U779" s="160"/>
      <c r="V779" s="160"/>
      <c r="W779" s="160"/>
      <c r="X779" s="160"/>
      <c r="Y779" s="160"/>
      <c r="Z779" s="160"/>
      <c r="AA779" s="160"/>
    </row>
    <row r="780" spans="1:27" ht="12.75" customHeight="1" x14ac:dyDescent="0.2">
      <c r="A780" s="160"/>
      <c r="B780" s="160"/>
      <c r="D780" s="160"/>
      <c r="F780" s="160"/>
      <c r="G780" s="160"/>
      <c r="H780" s="160"/>
      <c r="I780" s="160"/>
      <c r="J780" s="160"/>
      <c r="K780" s="160"/>
      <c r="L780" s="160"/>
      <c r="M780" s="160"/>
      <c r="N780" s="160"/>
      <c r="O780" s="160"/>
      <c r="P780" s="160"/>
      <c r="Q780" s="160"/>
      <c r="R780" s="160"/>
      <c r="S780" s="160"/>
      <c r="T780" s="160"/>
      <c r="U780" s="160"/>
      <c r="V780" s="160"/>
      <c r="W780" s="160"/>
      <c r="X780" s="160"/>
      <c r="Y780" s="160"/>
      <c r="Z780" s="160"/>
      <c r="AA780" s="160"/>
    </row>
    <row r="781" spans="1:27" ht="12.75" customHeight="1" x14ac:dyDescent="0.2">
      <c r="A781" s="160"/>
      <c r="B781" s="160"/>
      <c r="D781" s="160"/>
      <c r="F781" s="160"/>
      <c r="G781" s="160"/>
      <c r="H781" s="160"/>
      <c r="I781" s="160"/>
      <c r="J781" s="160"/>
      <c r="K781" s="160"/>
      <c r="L781" s="160"/>
      <c r="M781" s="160"/>
      <c r="N781" s="160"/>
      <c r="O781" s="160"/>
      <c r="P781" s="160"/>
      <c r="Q781" s="160"/>
      <c r="R781" s="160"/>
      <c r="S781" s="160"/>
      <c r="T781" s="160"/>
      <c r="U781" s="160"/>
      <c r="V781" s="160"/>
      <c r="W781" s="160"/>
      <c r="X781" s="160"/>
      <c r="Y781" s="160"/>
      <c r="Z781" s="160"/>
      <c r="AA781" s="160"/>
    </row>
    <row r="782" spans="1:27" ht="12.75" customHeight="1" x14ac:dyDescent="0.2">
      <c r="A782" s="160"/>
      <c r="B782" s="160"/>
      <c r="D782" s="160"/>
      <c r="F782" s="160"/>
      <c r="G782" s="160"/>
      <c r="H782" s="160"/>
      <c r="I782" s="160"/>
      <c r="J782" s="160"/>
      <c r="K782" s="160"/>
      <c r="L782" s="160"/>
      <c r="M782" s="160"/>
      <c r="N782" s="160"/>
      <c r="O782" s="160"/>
      <c r="P782" s="160"/>
      <c r="Q782" s="160"/>
      <c r="R782" s="160"/>
      <c r="S782" s="160"/>
      <c r="T782" s="160"/>
      <c r="U782" s="160"/>
      <c r="V782" s="160"/>
      <c r="W782" s="160"/>
      <c r="X782" s="160"/>
      <c r="Y782" s="160"/>
      <c r="Z782" s="160"/>
      <c r="AA782" s="160"/>
    </row>
    <row r="783" spans="1:27" ht="12.75" customHeight="1" x14ac:dyDescent="0.2">
      <c r="A783" s="160"/>
      <c r="B783" s="160"/>
      <c r="D783" s="160"/>
      <c r="F783" s="160"/>
      <c r="G783" s="160"/>
      <c r="H783" s="160"/>
      <c r="I783" s="160"/>
      <c r="J783" s="160"/>
      <c r="K783" s="160"/>
      <c r="L783" s="160"/>
      <c r="M783" s="160"/>
      <c r="N783" s="160"/>
      <c r="O783" s="160"/>
      <c r="P783" s="160"/>
      <c r="Q783" s="160"/>
      <c r="R783" s="160"/>
      <c r="S783" s="160"/>
      <c r="T783" s="160"/>
      <c r="U783" s="160"/>
      <c r="V783" s="160"/>
      <c r="W783" s="160"/>
      <c r="X783" s="160"/>
      <c r="Y783" s="160"/>
      <c r="Z783" s="160"/>
      <c r="AA783" s="160"/>
    </row>
    <row r="784" spans="1:27" ht="12.75" customHeight="1" x14ac:dyDescent="0.2">
      <c r="A784" s="160"/>
      <c r="B784" s="160"/>
      <c r="D784" s="160"/>
      <c r="F784" s="160"/>
      <c r="G784" s="160"/>
      <c r="H784" s="160"/>
      <c r="I784" s="160"/>
      <c r="J784" s="160"/>
      <c r="K784" s="160"/>
      <c r="L784" s="160"/>
      <c r="M784" s="160"/>
      <c r="N784" s="160"/>
      <c r="O784" s="160"/>
      <c r="P784" s="160"/>
      <c r="Q784" s="160"/>
      <c r="R784" s="160"/>
      <c r="S784" s="160"/>
      <c r="T784" s="160"/>
      <c r="U784" s="160"/>
      <c r="V784" s="160"/>
      <c r="W784" s="160"/>
      <c r="X784" s="160"/>
      <c r="Y784" s="160"/>
      <c r="Z784" s="160"/>
      <c r="AA784" s="160"/>
    </row>
    <row r="785" spans="1:27" ht="12.75" customHeight="1" x14ac:dyDescent="0.2">
      <c r="A785" s="160"/>
      <c r="B785" s="160"/>
      <c r="D785" s="160"/>
      <c r="F785" s="160"/>
      <c r="G785" s="160"/>
      <c r="H785" s="160"/>
      <c r="I785" s="160"/>
      <c r="J785" s="160"/>
      <c r="K785" s="160"/>
      <c r="L785" s="160"/>
      <c r="M785" s="160"/>
      <c r="N785" s="160"/>
      <c r="O785" s="160"/>
      <c r="P785" s="160"/>
      <c r="Q785" s="160"/>
      <c r="R785" s="160"/>
      <c r="S785" s="160"/>
      <c r="T785" s="160"/>
      <c r="U785" s="160"/>
      <c r="V785" s="160"/>
      <c r="W785" s="160"/>
      <c r="X785" s="160"/>
      <c r="Y785" s="160"/>
      <c r="Z785" s="160"/>
      <c r="AA785" s="160"/>
    </row>
    <row r="786" spans="1:27" ht="12.75" customHeight="1" x14ac:dyDescent="0.2">
      <c r="A786" s="160"/>
      <c r="B786" s="160"/>
      <c r="D786" s="160"/>
      <c r="F786" s="160"/>
      <c r="G786" s="160"/>
      <c r="H786" s="160"/>
      <c r="I786" s="160"/>
      <c r="J786" s="160"/>
      <c r="K786" s="160"/>
      <c r="L786" s="160"/>
      <c r="M786" s="160"/>
      <c r="N786" s="160"/>
      <c r="O786" s="160"/>
      <c r="P786" s="160"/>
      <c r="Q786" s="160"/>
      <c r="R786" s="160"/>
      <c r="S786" s="160"/>
      <c r="T786" s="160"/>
      <c r="U786" s="160"/>
      <c r="V786" s="160"/>
      <c r="W786" s="160"/>
      <c r="X786" s="160"/>
      <c r="Y786" s="160"/>
      <c r="Z786" s="160"/>
      <c r="AA786" s="160"/>
    </row>
    <row r="787" spans="1:27" ht="12.75" customHeight="1" x14ac:dyDescent="0.2">
      <c r="A787" s="160"/>
      <c r="B787" s="160"/>
      <c r="D787" s="160"/>
      <c r="F787" s="160"/>
      <c r="G787" s="160"/>
      <c r="H787" s="160"/>
      <c r="I787" s="160"/>
      <c r="J787" s="160"/>
      <c r="K787" s="160"/>
      <c r="L787" s="160"/>
      <c r="M787" s="160"/>
      <c r="N787" s="160"/>
      <c r="O787" s="160"/>
      <c r="P787" s="160"/>
      <c r="Q787" s="160"/>
      <c r="R787" s="160"/>
      <c r="S787" s="160"/>
      <c r="T787" s="160"/>
      <c r="U787" s="160"/>
      <c r="V787" s="160"/>
      <c r="W787" s="160"/>
      <c r="X787" s="160"/>
      <c r="Y787" s="160"/>
      <c r="Z787" s="160"/>
      <c r="AA787" s="160"/>
    </row>
    <row r="788" spans="1:27" ht="12.75" customHeight="1" x14ac:dyDescent="0.2">
      <c r="A788" s="160"/>
      <c r="B788" s="160"/>
      <c r="D788" s="160"/>
      <c r="F788" s="160"/>
      <c r="G788" s="160"/>
      <c r="H788" s="160"/>
      <c r="I788" s="160"/>
      <c r="J788" s="160"/>
      <c r="K788" s="160"/>
      <c r="L788" s="160"/>
      <c r="M788" s="160"/>
      <c r="N788" s="160"/>
      <c r="O788" s="160"/>
      <c r="P788" s="160"/>
      <c r="Q788" s="160"/>
      <c r="R788" s="160"/>
      <c r="S788" s="160"/>
      <c r="T788" s="160"/>
      <c r="U788" s="160"/>
      <c r="V788" s="160"/>
      <c r="W788" s="160"/>
      <c r="X788" s="160"/>
      <c r="Y788" s="160"/>
      <c r="Z788" s="160"/>
      <c r="AA788" s="160"/>
    </row>
    <row r="789" spans="1:27" ht="12.75" customHeight="1" x14ac:dyDescent="0.2">
      <c r="A789" s="160"/>
      <c r="B789" s="160"/>
      <c r="D789" s="160"/>
      <c r="F789" s="160"/>
      <c r="G789" s="160"/>
      <c r="H789" s="160"/>
      <c r="I789" s="160"/>
      <c r="J789" s="160"/>
      <c r="K789" s="160"/>
      <c r="L789" s="160"/>
      <c r="M789" s="160"/>
      <c r="N789" s="160"/>
      <c r="O789" s="160"/>
      <c r="P789" s="160"/>
      <c r="Q789" s="160"/>
      <c r="R789" s="160"/>
      <c r="S789" s="160"/>
      <c r="T789" s="160"/>
      <c r="U789" s="160"/>
      <c r="V789" s="160"/>
      <c r="W789" s="160"/>
      <c r="X789" s="160"/>
      <c r="Y789" s="160"/>
      <c r="Z789" s="160"/>
      <c r="AA789" s="160"/>
    </row>
    <row r="790" spans="1:27" ht="12.75" customHeight="1" x14ac:dyDescent="0.2">
      <c r="A790" s="160"/>
      <c r="B790" s="160"/>
      <c r="D790" s="160"/>
      <c r="F790" s="160"/>
      <c r="G790" s="160"/>
      <c r="H790" s="160"/>
      <c r="I790" s="160"/>
      <c r="J790" s="160"/>
      <c r="K790" s="160"/>
      <c r="L790" s="160"/>
      <c r="M790" s="160"/>
      <c r="N790" s="160"/>
      <c r="O790" s="160"/>
      <c r="P790" s="160"/>
      <c r="Q790" s="160"/>
      <c r="R790" s="160"/>
      <c r="S790" s="160"/>
      <c r="T790" s="160"/>
      <c r="U790" s="160"/>
      <c r="V790" s="160"/>
      <c r="W790" s="160"/>
      <c r="X790" s="160"/>
      <c r="Y790" s="160"/>
      <c r="Z790" s="160"/>
      <c r="AA790" s="160"/>
    </row>
    <row r="791" spans="1:27" ht="12.75" customHeight="1" x14ac:dyDescent="0.2">
      <c r="A791" s="160"/>
      <c r="B791" s="160"/>
      <c r="D791" s="160"/>
      <c r="F791" s="160"/>
      <c r="G791" s="160"/>
      <c r="H791" s="160"/>
      <c r="I791" s="160"/>
      <c r="J791" s="160"/>
      <c r="K791" s="160"/>
      <c r="L791" s="160"/>
      <c r="M791" s="160"/>
      <c r="N791" s="160"/>
      <c r="O791" s="160"/>
      <c r="P791" s="160"/>
      <c r="Q791" s="160"/>
      <c r="R791" s="160"/>
      <c r="S791" s="160"/>
      <c r="T791" s="160"/>
      <c r="U791" s="160"/>
      <c r="V791" s="160"/>
      <c r="W791" s="160"/>
      <c r="X791" s="160"/>
      <c r="Y791" s="160"/>
      <c r="Z791" s="160"/>
      <c r="AA791" s="160"/>
    </row>
    <row r="792" spans="1:27" ht="12.75" customHeight="1" x14ac:dyDescent="0.2">
      <c r="A792" s="160"/>
      <c r="B792" s="160"/>
      <c r="D792" s="160"/>
      <c r="F792" s="160"/>
      <c r="G792" s="160"/>
      <c r="H792" s="160"/>
      <c r="I792" s="160"/>
      <c r="J792" s="160"/>
      <c r="K792" s="160"/>
      <c r="L792" s="160"/>
      <c r="M792" s="160"/>
      <c r="N792" s="160"/>
      <c r="O792" s="160"/>
      <c r="P792" s="160"/>
      <c r="Q792" s="160"/>
      <c r="R792" s="160"/>
      <c r="S792" s="160"/>
      <c r="T792" s="160"/>
      <c r="U792" s="160"/>
      <c r="V792" s="160"/>
      <c r="W792" s="160"/>
      <c r="X792" s="160"/>
      <c r="Y792" s="160"/>
      <c r="Z792" s="160"/>
      <c r="AA792" s="160"/>
    </row>
    <row r="793" spans="1:27" ht="12.75" customHeight="1" x14ac:dyDescent="0.2">
      <c r="A793" s="160"/>
      <c r="B793" s="160"/>
      <c r="D793" s="160"/>
      <c r="F793" s="160"/>
      <c r="G793" s="160"/>
      <c r="H793" s="160"/>
      <c r="I793" s="160"/>
      <c r="J793" s="160"/>
      <c r="K793" s="160"/>
      <c r="L793" s="160"/>
      <c r="M793" s="160"/>
      <c r="N793" s="160"/>
      <c r="O793" s="160"/>
      <c r="P793" s="160"/>
      <c r="Q793" s="160"/>
      <c r="R793" s="160"/>
      <c r="S793" s="160"/>
      <c r="T793" s="160"/>
      <c r="U793" s="160"/>
      <c r="V793" s="160"/>
      <c r="W793" s="160"/>
      <c r="X793" s="160"/>
      <c r="Y793" s="160"/>
      <c r="Z793" s="160"/>
      <c r="AA793" s="160"/>
    </row>
    <row r="794" spans="1:27" ht="12.75" customHeight="1" x14ac:dyDescent="0.2">
      <c r="A794" s="160"/>
      <c r="B794" s="160"/>
      <c r="D794" s="160"/>
      <c r="F794" s="160"/>
      <c r="G794" s="160"/>
      <c r="H794" s="160"/>
      <c r="I794" s="160"/>
      <c r="J794" s="160"/>
      <c r="K794" s="160"/>
      <c r="L794" s="160"/>
      <c r="M794" s="160"/>
      <c r="N794" s="160"/>
      <c r="O794" s="160"/>
      <c r="P794" s="160"/>
      <c r="Q794" s="160"/>
      <c r="R794" s="160"/>
      <c r="S794" s="160"/>
      <c r="T794" s="160"/>
      <c r="U794" s="160"/>
      <c r="V794" s="160"/>
      <c r="W794" s="160"/>
      <c r="X794" s="160"/>
      <c r="Y794" s="160"/>
      <c r="Z794" s="160"/>
      <c r="AA794" s="160"/>
    </row>
    <row r="795" spans="1:27" ht="12.75" customHeight="1" x14ac:dyDescent="0.2">
      <c r="A795" s="160"/>
      <c r="B795" s="160"/>
      <c r="D795" s="160"/>
      <c r="F795" s="160"/>
      <c r="G795" s="160"/>
      <c r="H795" s="160"/>
      <c r="I795" s="160"/>
      <c r="J795" s="160"/>
      <c r="K795" s="160"/>
      <c r="L795" s="160"/>
      <c r="M795" s="160"/>
      <c r="N795" s="160"/>
      <c r="O795" s="160"/>
      <c r="P795" s="160"/>
      <c r="Q795" s="160"/>
      <c r="R795" s="160"/>
      <c r="S795" s="160"/>
      <c r="T795" s="160"/>
      <c r="U795" s="160"/>
      <c r="V795" s="160"/>
      <c r="W795" s="160"/>
      <c r="X795" s="160"/>
      <c r="Y795" s="160"/>
      <c r="Z795" s="160"/>
      <c r="AA795" s="160"/>
    </row>
    <row r="796" spans="1:27" ht="12.75" customHeight="1" x14ac:dyDescent="0.2">
      <c r="A796" s="160"/>
      <c r="B796" s="160"/>
      <c r="D796" s="160"/>
      <c r="F796" s="160"/>
      <c r="G796" s="160"/>
      <c r="H796" s="160"/>
      <c r="I796" s="160"/>
      <c r="J796" s="160"/>
      <c r="K796" s="160"/>
      <c r="L796" s="160"/>
      <c r="M796" s="160"/>
      <c r="N796" s="160"/>
      <c r="O796" s="160"/>
      <c r="P796" s="160"/>
      <c r="Q796" s="160"/>
      <c r="R796" s="160"/>
      <c r="S796" s="160"/>
      <c r="T796" s="160"/>
      <c r="U796" s="160"/>
      <c r="V796" s="160"/>
      <c r="W796" s="160"/>
      <c r="X796" s="160"/>
      <c r="Y796" s="160"/>
      <c r="Z796" s="160"/>
      <c r="AA796" s="160"/>
    </row>
    <row r="797" spans="1:27" ht="12.75" customHeight="1" x14ac:dyDescent="0.2">
      <c r="A797" s="160"/>
      <c r="B797" s="160"/>
      <c r="D797" s="160"/>
      <c r="F797" s="160"/>
      <c r="G797" s="160"/>
      <c r="H797" s="160"/>
      <c r="I797" s="160"/>
      <c r="J797" s="160"/>
      <c r="K797" s="160"/>
      <c r="L797" s="160"/>
      <c r="M797" s="160"/>
      <c r="N797" s="160"/>
      <c r="O797" s="160"/>
      <c r="P797" s="160"/>
      <c r="Q797" s="160"/>
      <c r="R797" s="160"/>
      <c r="S797" s="160"/>
      <c r="T797" s="160"/>
      <c r="U797" s="160"/>
      <c r="V797" s="160"/>
      <c r="W797" s="160"/>
      <c r="X797" s="160"/>
      <c r="Y797" s="160"/>
      <c r="Z797" s="160"/>
      <c r="AA797" s="160"/>
    </row>
    <row r="798" spans="1:27" ht="12.75" customHeight="1" x14ac:dyDescent="0.2">
      <c r="A798" s="160"/>
      <c r="B798" s="160"/>
      <c r="D798" s="160"/>
      <c r="F798" s="160"/>
      <c r="G798" s="160"/>
      <c r="H798" s="160"/>
      <c r="I798" s="160"/>
      <c r="J798" s="160"/>
      <c r="K798" s="160"/>
      <c r="L798" s="160"/>
      <c r="M798" s="160"/>
      <c r="N798" s="160"/>
      <c r="O798" s="160"/>
      <c r="P798" s="160"/>
      <c r="Q798" s="160"/>
      <c r="R798" s="160"/>
      <c r="S798" s="160"/>
      <c r="T798" s="160"/>
      <c r="U798" s="160"/>
      <c r="V798" s="160"/>
      <c r="W798" s="160"/>
      <c r="X798" s="160"/>
      <c r="Y798" s="160"/>
      <c r="Z798" s="160"/>
      <c r="AA798" s="160"/>
    </row>
    <row r="799" spans="1:27" ht="12.75" customHeight="1" x14ac:dyDescent="0.2">
      <c r="A799" s="160"/>
      <c r="B799" s="160"/>
      <c r="D799" s="160"/>
      <c r="F799" s="160"/>
      <c r="G799" s="160"/>
      <c r="H799" s="160"/>
      <c r="I799" s="160"/>
      <c r="J799" s="160"/>
      <c r="K799" s="160"/>
      <c r="L799" s="160"/>
      <c r="M799" s="160"/>
      <c r="N799" s="160"/>
      <c r="O799" s="160"/>
      <c r="P799" s="160"/>
      <c r="Q799" s="160"/>
      <c r="R799" s="160"/>
      <c r="S799" s="160"/>
      <c r="T799" s="160"/>
      <c r="U799" s="160"/>
      <c r="V799" s="160"/>
      <c r="W799" s="160"/>
      <c r="X799" s="160"/>
      <c r="Y799" s="160"/>
      <c r="Z799" s="160"/>
      <c r="AA799" s="160"/>
    </row>
    <row r="800" spans="1:27" ht="12.75" customHeight="1" x14ac:dyDescent="0.2">
      <c r="A800" s="160"/>
      <c r="B800" s="160"/>
      <c r="D800" s="160"/>
      <c r="F800" s="160"/>
      <c r="G800" s="160"/>
      <c r="H800" s="160"/>
      <c r="I800" s="160"/>
      <c r="J800" s="160"/>
      <c r="K800" s="160"/>
      <c r="L800" s="160"/>
      <c r="M800" s="160"/>
      <c r="N800" s="160"/>
      <c r="O800" s="160"/>
      <c r="P800" s="160"/>
      <c r="Q800" s="160"/>
      <c r="R800" s="160"/>
      <c r="S800" s="160"/>
      <c r="T800" s="160"/>
      <c r="U800" s="160"/>
      <c r="V800" s="160"/>
      <c r="W800" s="160"/>
      <c r="X800" s="160"/>
      <c r="Y800" s="160"/>
      <c r="Z800" s="160"/>
      <c r="AA800" s="160"/>
    </row>
    <row r="801" spans="1:27" ht="12.75" customHeight="1" x14ac:dyDescent="0.2">
      <c r="A801" s="160"/>
      <c r="B801" s="160"/>
      <c r="D801" s="160"/>
      <c r="F801" s="160"/>
      <c r="G801" s="160"/>
      <c r="H801" s="160"/>
      <c r="I801" s="160"/>
      <c r="J801" s="160"/>
      <c r="K801" s="160"/>
      <c r="L801" s="160"/>
      <c r="M801" s="160"/>
      <c r="N801" s="160"/>
      <c r="O801" s="160"/>
      <c r="P801" s="160"/>
      <c r="Q801" s="160"/>
      <c r="R801" s="160"/>
      <c r="S801" s="160"/>
      <c r="T801" s="160"/>
      <c r="U801" s="160"/>
      <c r="V801" s="160"/>
      <c r="W801" s="160"/>
      <c r="X801" s="160"/>
      <c r="Y801" s="160"/>
      <c r="Z801" s="160"/>
      <c r="AA801" s="160"/>
    </row>
    <row r="802" spans="1:27" ht="12.75" customHeight="1" x14ac:dyDescent="0.2">
      <c r="A802" s="160"/>
      <c r="B802" s="160"/>
      <c r="D802" s="160"/>
      <c r="F802" s="160"/>
      <c r="G802" s="160"/>
      <c r="H802" s="160"/>
      <c r="I802" s="160"/>
      <c r="J802" s="160"/>
      <c r="K802" s="160"/>
      <c r="L802" s="160"/>
      <c r="M802" s="160"/>
      <c r="N802" s="160"/>
      <c r="O802" s="160"/>
      <c r="P802" s="160"/>
      <c r="Q802" s="160"/>
      <c r="R802" s="160"/>
      <c r="S802" s="160"/>
      <c r="T802" s="160"/>
      <c r="U802" s="160"/>
      <c r="V802" s="160"/>
      <c r="W802" s="160"/>
      <c r="X802" s="160"/>
      <c r="Y802" s="160"/>
      <c r="Z802" s="160"/>
      <c r="AA802" s="160"/>
    </row>
    <row r="803" spans="1:27" ht="12.75" customHeight="1" x14ac:dyDescent="0.2">
      <c r="A803" s="160"/>
      <c r="B803" s="160"/>
      <c r="D803" s="160"/>
      <c r="F803" s="160"/>
      <c r="G803" s="160"/>
      <c r="H803" s="160"/>
      <c r="I803" s="160"/>
      <c r="J803" s="160"/>
      <c r="K803" s="160"/>
      <c r="L803" s="160"/>
      <c r="M803" s="160"/>
      <c r="N803" s="160"/>
      <c r="O803" s="160"/>
      <c r="P803" s="160"/>
      <c r="Q803" s="160"/>
      <c r="R803" s="160"/>
      <c r="S803" s="160"/>
      <c r="T803" s="160"/>
      <c r="U803" s="160"/>
      <c r="V803" s="160"/>
      <c r="W803" s="160"/>
      <c r="X803" s="160"/>
      <c r="Y803" s="160"/>
      <c r="Z803" s="160"/>
      <c r="AA803" s="160"/>
    </row>
    <row r="804" spans="1:27" ht="12.75" customHeight="1" x14ac:dyDescent="0.2">
      <c r="A804" s="160"/>
      <c r="B804" s="160"/>
      <c r="D804" s="160"/>
      <c r="F804" s="160"/>
      <c r="G804" s="160"/>
      <c r="H804" s="160"/>
      <c r="I804" s="160"/>
      <c r="J804" s="160"/>
      <c r="K804" s="160"/>
      <c r="L804" s="160"/>
      <c r="M804" s="160"/>
      <c r="N804" s="160"/>
      <c r="O804" s="160"/>
      <c r="P804" s="160"/>
      <c r="Q804" s="160"/>
      <c r="R804" s="160"/>
      <c r="S804" s="160"/>
      <c r="T804" s="160"/>
      <c r="U804" s="160"/>
      <c r="V804" s="160"/>
      <c r="W804" s="160"/>
      <c r="X804" s="160"/>
      <c r="Y804" s="160"/>
      <c r="Z804" s="160"/>
      <c r="AA804" s="160"/>
    </row>
    <row r="805" spans="1:27" ht="12.75" customHeight="1" x14ac:dyDescent="0.2">
      <c r="A805" s="160"/>
      <c r="B805" s="160"/>
      <c r="D805" s="160"/>
      <c r="F805" s="160"/>
      <c r="G805" s="160"/>
      <c r="H805" s="160"/>
      <c r="I805" s="160"/>
      <c r="J805" s="160"/>
      <c r="K805" s="160"/>
      <c r="L805" s="160"/>
      <c r="M805" s="160"/>
      <c r="N805" s="160"/>
      <c r="O805" s="160"/>
      <c r="P805" s="160"/>
      <c r="Q805" s="160"/>
      <c r="R805" s="160"/>
      <c r="S805" s="160"/>
      <c r="T805" s="160"/>
      <c r="U805" s="160"/>
      <c r="V805" s="160"/>
      <c r="W805" s="160"/>
      <c r="X805" s="160"/>
      <c r="Y805" s="160"/>
      <c r="Z805" s="160"/>
      <c r="AA805" s="160"/>
    </row>
    <row r="806" spans="1:27" ht="12.75" customHeight="1" x14ac:dyDescent="0.2">
      <c r="A806" s="160"/>
      <c r="B806" s="160"/>
      <c r="D806" s="160"/>
      <c r="F806" s="160"/>
      <c r="G806" s="160"/>
      <c r="H806" s="160"/>
      <c r="I806" s="160"/>
      <c r="J806" s="160"/>
      <c r="K806" s="160"/>
      <c r="L806" s="160"/>
      <c r="M806" s="160"/>
      <c r="N806" s="160"/>
      <c r="O806" s="160"/>
      <c r="P806" s="160"/>
      <c r="Q806" s="160"/>
      <c r="R806" s="160"/>
      <c r="S806" s="160"/>
      <c r="T806" s="160"/>
      <c r="U806" s="160"/>
      <c r="V806" s="160"/>
      <c r="W806" s="160"/>
      <c r="X806" s="160"/>
      <c r="Y806" s="160"/>
      <c r="Z806" s="160"/>
      <c r="AA806" s="160"/>
    </row>
    <row r="807" spans="1:27" ht="12.75" customHeight="1" x14ac:dyDescent="0.2">
      <c r="A807" s="160"/>
      <c r="B807" s="160"/>
      <c r="D807" s="160"/>
      <c r="F807" s="160"/>
      <c r="G807" s="160"/>
      <c r="H807" s="160"/>
      <c r="I807" s="160"/>
      <c r="J807" s="160"/>
      <c r="K807" s="160"/>
      <c r="L807" s="160"/>
      <c r="M807" s="160"/>
      <c r="N807" s="160"/>
      <c r="O807" s="160"/>
      <c r="P807" s="160"/>
      <c r="Q807" s="160"/>
      <c r="R807" s="160"/>
      <c r="S807" s="160"/>
      <c r="T807" s="160"/>
      <c r="U807" s="160"/>
      <c r="V807" s="160"/>
      <c r="W807" s="160"/>
      <c r="X807" s="160"/>
      <c r="Y807" s="160"/>
      <c r="Z807" s="160"/>
      <c r="AA807" s="160"/>
    </row>
    <row r="808" spans="1:27" ht="12.75" customHeight="1" x14ac:dyDescent="0.2">
      <c r="A808" s="160"/>
      <c r="B808" s="160"/>
      <c r="D808" s="160"/>
      <c r="F808" s="160"/>
      <c r="G808" s="160"/>
      <c r="H808" s="160"/>
      <c r="I808" s="160"/>
      <c r="J808" s="160"/>
      <c r="K808" s="160"/>
      <c r="L808" s="160"/>
      <c r="M808" s="160"/>
      <c r="N808" s="160"/>
      <c r="O808" s="160"/>
      <c r="P808" s="160"/>
      <c r="Q808" s="160"/>
      <c r="R808" s="160"/>
      <c r="S808" s="160"/>
      <c r="T808" s="160"/>
      <c r="U808" s="160"/>
      <c r="V808" s="160"/>
      <c r="W808" s="160"/>
      <c r="X808" s="160"/>
      <c r="Y808" s="160"/>
      <c r="Z808" s="160"/>
      <c r="AA808" s="160"/>
    </row>
    <row r="809" spans="1:27" ht="12.75" customHeight="1" x14ac:dyDescent="0.2">
      <c r="A809" s="160"/>
      <c r="B809" s="160"/>
      <c r="D809" s="160"/>
      <c r="F809" s="160"/>
      <c r="G809" s="160"/>
      <c r="H809" s="160"/>
      <c r="I809" s="160"/>
      <c r="J809" s="160"/>
      <c r="K809" s="160"/>
      <c r="L809" s="160"/>
      <c r="M809" s="160"/>
      <c r="N809" s="160"/>
      <c r="O809" s="160"/>
      <c r="P809" s="160"/>
      <c r="Q809" s="160"/>
      <c r="R809" s="160"/>
      <c r="S809" s="160"/>
      <c r="T809" s="160"/>
      <c r="U809" s="160"/>
      <c r="V809" s="160"/>
      <c r="W809" s="160"/>
      <c r="X809" s="160"/>
      <c r="Y809" s="160"/>
      <c r="Z809" s="160"/>
      <c r="AA809" s="160"/>
    </row>
    <row r="810" spans="1:27" ht="12.75" customHeight="1" x14ac:dyDescent="0.2">
      <c r="A810" s="160"/>
      <c r="B810" s="160"/>
      <c r="D810" s="160"/>
      <c r="F810" s="160"/>
      <c r="G810" s="160"/>
      <c r="H810" s="160"/>
      <c r="I810" s="160"/>
      <c r="J810" s="160"/>
      <c r="K810" s="160"/>
      <c r="L810" s="160"/>
      <c r="M810" s="160"/>
      <c r="N810" s="160"/>
      <c r="O810" s="160"/>
      <c r="P810" s="160"/>
      <c r="Q810" s="160"/>
      <c r="R810" s="160"/>
      <c r="S810" s="160"/>
      <c r="T810" s="160"/>
      <c r="U810" s="160"/>
      <c r="V810" s="160"/>
      <c r="W810" s="160"/>
      <c r="X810" s="160"/>
      <c r="Y810" s="160"/>
      <c r="Z810" s="160"/>
      <c r="AA810" s="160"/>
    </row>
    <row r="811" spans="1:27" ht="12.75" customHeight="1" x14ac:dyDescent="0.2">
      <c r="A811" s="160"/>
      <c r="B811" s="160"/>
      <c r="D811" s="160"/>
      <c r="F811" s="160"/>
      <c r="G811" s="160"/>
      <c r="H811" s="160"/>
      <c r="I811" s="160"/>
      <c r="J811" s="160"/>
      <c r="K811" s="160"/>
      <c r="L811" s="160"/>
      <c r="M811" s="160"/>
      <c r="N811" s="160"/>
      <c r="O811" s="160"/>
      <c r="P811" s="160"/>
      <c r="Q811" s="160"/>
      <c r="R811" s="160"/>
      <c r="S811" s="160"/>
      <c r="T811" s="160"/>
      <c r="U811" s="160"/>
      <c r="V811" s="160"/>
      <c r="W811" s="160"/>
      <c r="X811" s="160"/>
      <c r="Y811" s="160"/>
      <c r="Z811" s="160"/>
      <c r="AA811" s="160"/>
    </row>
    <row r="812" spans="1:27" ht="12.75" customHeight="1" x14ac:dyDescent="0.2">
      <c r="A812" s="160"/>
      <c r="B812" s="160"/>
      <c r="D812" s="160"/>
      <c r="F812" s="160"/>
      <c r="G812" s="160"/>
      <c r="H812" s="160"/>
      <c r="I812" s="160"/>
      <c r="J812" s="160"/>
      <c r="K812" s="160"/>
      <c r="L812" s="160"/>
      <c r="M812" s="160"/>
      <c r="N812" s="160"/>
      <c r="O812" s="160"/>
      <c r="P812" s="160"/>
      <c r="Q812" s="160"/>
      <c r="R812" s="160"/>
      <c r="S812" s="160"/>
      <c r="T812" s="160"/>
      <c r="U812" s="160"/>
      <c r="V812" s="160"/>
      <c r="W812" s="160"/>
      <c r="X812" s="160"/>
      <c r="Y812" s="160"/>
      <c r="Z812" s="160"/>
      <c r="AA812" s="160"/>
    </row>
    <row r="813" spans="1:27" ht="12.75" customHeight="1" x14ac:dyDescent="0.2">
      <c r="A813" s="160"/>
      <c r="B813" s="160"/>
      <c r="D813" s="160"/>
      <c r="F813" s="160"/>
      <c r="G813" s="160"/>
      <c r="H813" s="160"/>
      <c r="I813" s="160"/>
      <c r="J813" s="160"/>
      <c r="K813" s="160"/>
      <c r="L813" s="160"/>
      <c r="M813" s="160"/>
      <c r="N813" s="160"/>
      <c r="O813" s="160"/>
      <c r="P813" s="160"/>
      <c r="Q813" s="160"/>
      <c r="R813" s="160"/>
      <c r="S813" s="160"/>
      <c r="T813" s="160"/>
      <c r="U813" s="160"/>
      <c r="V813" s="160"/>
      <c r="W813" s="160"/>
      <c r="X813" s="160"/>
      <c r="Y813" s="160"/>
      <c r="Z813" s="160"/>
      <c r="AA813" s="160"/>
    </row>
    <row r="814" spans="1:27" ht="12.75" customHeight="1" x14ac:dyDescent="0.2">
      <c r="A814" s="160"/>
      <c r="B814" s="160"/>
      <c r="D814" s="160"/>
      <c r="F814" s="160"/>
      <c r="G814" s="160"/>
      <c r="H814" s="160"/>
      <c r="I814" s="160"/>
      <c r="J814" s="160"/>
      <c r="K814" s="160"/>
      <c r="L814" s="160"/>
      <c r="M814" s="160"/>
      <c r="N814" s="160"/>
      <c r="O814" s="160"/>
      <c r="P814" s="160"/>
      <c r="Q814" s="160"/>
      <c r="R814" s="160"/>
      <c r="S814" s="160"/>
      <c r="T814" s="160"/>
      <c r="U814" s="160"/>
      <c r="V814" s="160"/>
      <c r="W814" s="160"/>
      <c r="X814" s="160"/>
      <c r="Y814" s="160"/>
      <c r="Z814" s="160"/>
      <c r="AA814" s="160"/>
    </row>
    <row r="815" spans="1:27" ht="12.75" customHeight="1" x14ac:dyDescent="0.2">
      <c r="A815" s="160"/>
      <c r="B815" s="160"/>
      <c r="D815" s="160"/>
      <c r="F815" s="160"/>
      <c r="G815" s="160"/>
      <c r="H815" s="160"/>
      <c r="I815" s="160"/>
      <c r="J815" s="160"/>
      <c r="K815" s="160"/>
      <c r="L815" s="160"/>
      <c r="M815" s="160"/>
      <c r="N815" s="160"/>
      <c r="O815" s="160"/>
      <c r="P815" s="160"/>
      <c r="Q815" s="160"/>
      <c r="R815" s="160"/>
      <c r="S815" s="160"/>
      <c r="T815" s="160"/>
      <c r="U815" s="160"/>
      <c r="V815" s="160"/>
      <c r="W815" s="160"/>
      <c r="X815" s="160"/>
      <c r="Y815" s="160"/>
      <c r="Z815" s="160"/>
      <c r="AA815" s="160"/>
    </row>
  </sheetData>
  <mergeCells count="49">
    <mergeCell ref="D2:K2"/>
    <mergeCell ref="D3:K3"/>
    <mergeCell ref="D4:K4"/>
    <mergeCell ref="A83:A85"/>
    <mergeCell ref="B83:B85"/>
    <mergeCell ref="C83:C84"/>
    <mergeCell ref="E83:E85"/>
    <mergeCell ref="E69:E70"/>
    <mergeCell ref="A71:A74"/>
    <mergeCell ref="B71:B74"/>
    <mergeCell ref="E71:E74"/>
    <mergeCell ref="A75:A82"/>
    <mergeCell ref="B75:B82"/>
    <mergeCell ref="E75:E82"/>
    <mergeCell ref="C77:C82"/>
    <mergeCell ref="A51:A55"/>
    <mergeCell ref="B51:B55"/>
    <mergeCell ref="C51:C54"/>
    <mergeCell ref="E51:E55"/>
    <mergeCell ref="A56:A57"/>
    <mergeCell ref="A41:A50"/>
    <mergeCell ref="B41:B50"/>
    <mergeCell ref="C41:C46"/>
    <mergeCell ref="E41:E50"/>
    <mergeCell ref="C47:C50"/>
    <mergeCell ref="A24:A29"/>
    <mergeCell ref="B24:B29"/>
    <mergeCell ref="C24:C29"/>
    <mergeCell ref="E24:E29"/>
    <mergeCell ref="A30:A40"/>
    <mergeCell ref="B30:B40"/>
    <mergeCell ref="C30:C36"/>
    <mergeCell ref="E30:E39"/>
    <mergeCell ref="C37:C39"/>
    <mergeCell ref="A86:A96"/>
    <mergeCell ref="B86:B96"/>
    <mergeCell ref="C86:C96"/>
    <mergeCell ref="E86:E96"/>
    <mergeCell ref="B56:B57"/>
    <mergeCell ref="C56:C57"/>
    <mergeCell ref="E56:E57"/>
    <mergeCell ref="A58:A68"/>
    <mergeCell ref="B58:B68"/>
    <mergeCell ref="C58:C61"/>
    <mergeCell ref="C62:C63"/>
    <mergeCell ref="E63:E68"/>
    <mergeCell ref="A69:A70"/>
    <mergeCell ref="B69:B70"/>
    <mergeCell ref="C69:C70"/>
  </mergeCells>
  <hyperlinks>
    <hyperlink ref="C5" r:id="rId1"/>
  </hyperlinks>
  <pageMargins left="0.7" right="0.7" top="0.75" bottom="0.75" header="0" footer="0"/>
  <pageSetup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Y983"/>
  <sheetViews>
    <sheetView showGridLines="0" topLeftCell="B1" workbookViewId="0">
      <selection activeCell="K41" sqref="K41"/>
    </sheetView>
  </sheetViews>
  <sheetFormatPr baseColWidth="10" defaultColWidth="14.42578125" defaultRowHeight="15" customHeight="1" x14ac:dyDescent="0.2"/>
  <cols>
    <col min="1" max="1" width="4.5703125" style="1" customWidth="1"/>
    <col min="2" max="2" width="6.42578125" style="1" customWidth="1"/>
    <col min="3" max="3" width="24.140625" style="1" customWidth="1"/>
    <col min="4" max="4" width="11.28515625" style="1" customWidth="1"/>
    <col min="5" max="5" width="8.140625" style="1" customWidth="1"/>
    <col min="6" max="6" width="10.85546875" style="1" customWidth="1"/>
    <col min="7" max="8" width="12" style="1" customWidth="1"/>
    <col min="9" max="10" width="13.42578125" style="1" customWidth="1"/>
    <col min="11" max="11" width="21.85546875" style="1" customWidth="1"/>
    <col min="12" max="12" width="27.5703125" style="1" customWidth="1"/>
    <col min="13" max="13" width="39.28515625" style="1" customWidth="1"/>
    <col min="14" max="14" width="32.42578125" style="1" customWidth="1"/>
    <col min="15" max="25" width="10" style="1" customWidth="1"/>
    <col min="26" max="16384" width="14.42578125" style="1"/>
  </cols>
  <sheetData>
    <row r="1" spans="1:25" ht="12.75" customHeight="1" x14ac:dyDescent="0.2">
      <c r="B1" s="2"/>
      <c r="C1" s="2"/>
      <c r="D1" s="2"/>
      <c r="E1" s="2"/>
      <c r="F1" s="2"/>
      <c r="G1" s="2"/>
      <c r="H1" s="2"/>
      <c r="I1" s="2"/>
      <c r="J1" s="2"/>
      <c r="K1" s="3"/>
      <c r="L1" s="3"/>
    </row>
    <row r="2" spans="1:25" ht="12.75" customHeight="1" x14ac:dyDescent="0.2">
      <c r="C2" s="29"/>
      <c r="D2" s="29"/>
      <c r="E2" s="29"/>
      <c r="F2" s="29"/>
      <c r="G2" s="659" t="s">
        <v>0</v>
      </c>
      <c r="H2" s="659"/>
      <c r="I2" s="659"/>
      <c r="J2" s="659"/>
      <c r="K2" s="659"/>
      <c r="L2" s="659"/>
    </row>
    <row r="3" spans="1:25" ht="12.75" customHeight="1" x14ac:dyDescent="0.2">
      <c r="C3" s="29"/>
      <c r="D3" s="29"/>
      <c r="E3" s="29"/>
      <c r="F3" s="29"/>
      <c r="G3" s="660" t="s">
        <v>1</v>
      </c>
      <c r="H3" s="660"/>
      <c r="I3" s="660"/>
      <c r="J3" s="660"/>
      <c r="K3" s="660"/>
      <c r="L3" s="660"/>
    </row>
    <row r="4" spans="1:25" ht="15.75" customHeight="1" x14ac:dyDescent="0.2">
      <c r="C4" s="29"/>
      <c r="D4" s="29"/>
      <c r="E4" s="29"/>
      <c r="F4" s="29"/>
      <c r="G4" s="661" t="s">
        <v>2</v>
      </c>
      <c r="H4" s="661"/>
      <c r="I4" s="661"/>
      <c r="J4" s="661"/>
      <c r="K4" s="661"/>
      <c r="L4" s="661"/>
    </row>
    <row r="5" spans="1:25" ht="15.75" customHeight="1" x14ac:dyDescent="0.2">
      <c r="C5" s="29"/>
      <c r="D5" s="29"/>
      <c r="E5" s="29"/>
      <c r="F5" s="29"/>
      <c r="G5" s="30"/>
      <c r="H5" s="30"/>
      <c r="I5" s="30"/>
      <c r="J5" s="30"/>
      <c r="K5" s="30"/>
      <c r="L5" s="30"/>
    </row>
    <row r="6" spans="1:25" ht="15.75" customHeight="1" x14ac:dyDescent="0.2">
      <c r="C6" s="55" t="s">
        <v>105</v>
      </c>
      <c r="D6" s="56" t="s">
        <v>74</v>
      </c>
      <c r="E6" s="29"/>
      <c r="F6" s="29"/>
      <c r="G6" s="30"/>
      <c r="H6" s="30"/>
      <c r="I6" s="30"/>
      <c r="J6" s="30"/>
      <c r="K6" s="30"/>
      <c r="L6" s="30"/>
    </row>
    <row r="7" spans="1:25" ht="15.75" customHeight="1" x14ac:dyDescent="0.2">
      <c r="C7" s="55" t="s">
        <v>109</v>
      </c>
      <c r="D7" s="56" t="s">
        <v>108</v>
      </c>
      <c r="E7" s="29"/>
      <c r="F7" s="29"/>
      <c r="G7" s="30"/>
      <c r="H7" s="30"/>
      <c r="I7" s="30"/>
      <c r="J7" s="30"/>
      <c r="K7" s="30"/>
      <c r="L7" s="30"/>
    </row>
    <row r="8" spans="1:25" ht="15" customHeight="1" x14ac:dyDescent="0.2">
      <c r="A8" s="9"/>
      <c r="B8" s="10"/>
      <c r="C8" s="55" t="s">
        <v>109</v>
      </c>
      <c r="D8" s="56" t="s">
        <v>81</v>
      </c>
      <c r="E8" s="10"/>
      <c r="F8" s="10"/>
      <c r="G8" s="10"/>
      <c r="H8" s="10"/>
      <c r="I8" s="10"/>
      <c r="J8" s="10"/>
      <c r="K8" s="10"/>
      <c r="L8" s="10"/>
      <c r="M8" s="9"/>
      <c r="N8" s="9"/>
      <c r="O8" s="9"/>
      <c r="P8" s="9"/>
      <c r="Q8" s="9"/>
      <c r="R8" s="9"/>
      <c r="S8" s="9"/>
      <c r="T8" s="9"/>
      <c r="U8" s="9"/>
      <c r="V8" s="9"/>
      <c r="W8" s="9"/>
      <c r="X8" s="9"/>
      <c r="Y8" s="9"/>
    </row>
    <row r="9" spans="1:25" ht="15" customHeight="1" x14ac:dyDescent="0.2">
      <c r="A9" s="9"/>
      <c r="B9" s="10"/>
      <c r="C9" s="57" t="s">
        <v>110</v>
      </c>
      <c r="D9" s="56" t="s">
        <v>80</v>
      </c>
      <c r="E9" s="10"/>
      <c r="F9" s="10"/>
      <c r="G9" s="10"/>
      <c r="H9" s="10"/>
      <c r="I9" s="10"/>
      <c r="J9" s="10"/>
      <c r="K9" s="10"/>
      <c r="L9" s="10"/>
      <c r="M9" s="9"/>
      <c r="N9" s="9"/>
      <c r="O9" s="9"/>
      <c r="P9" s="9"/>
      <c r="Q9" s="9"/>
      <c r="R9" s="9"/>
      <c r="S9" s="9"/>
      <c r="T9" s="9"/>
      <c r="U9" s="9"/>
      <c r="V9" s="9"/>
      <c r="W9" s="9"/>
      <c r="X9" s="9"/>
      <c r="Y9" s="9"/>
    </row>
    <row r="10" spans="1:25" ht="15" customHeight="1" x14ac:dyDescent="0.2">
      <c r="A10" s="9"/>
      <c r="B10" s="10"/>
      <c r="C10" s="10"/>
      <c r="D10" s="10"/>
      <c r="E10" s="10"/>
      <c r="F10" s="10"/>
      <c r="G10" s="10"/>
      <c r="H10" s="10"/>
      <c r="I10" s="10"/>
      <c r="J10" s="10"/>
      <c r="K10" s="10"/>
      <c r="L10" s="10"/>
      <c r="M10" s="9"/>
      <c r="N10" s="9"/>
      <c r="O10" s="9"/>
      <c r="P10" s="9"/>
      <c r="Q10" s="9"/>
      <c r="R10" s="9"/>
      <c r="S10" s="9"/>
      <c r="T10" s="9"/>
      <c r="U10" s="9"/>
      <c r="V10" s="9"/>
      <c r="W10" s="9"/>
      <c r="X10" s="9"/>
      <c r="Y10" s="9"/>
    </row>
    <row r="11" spans="1:25" ht="12.75" customHeight="1" x14ac:dyDescent="0.2">
      <c r="B11" s="662" t="s">
        <v>3</v>
      </c>
      <c r="C11" s="662"/>
      <c r="D11" s="662"/>
      <c r="E11" s="662"/>
      <c r="F11" s="662"/>
      <c r="G11" s="662"/>
      <c r="H11" s="662"/>
      <c r="I11" s="662"/>
      <c r="J11" s="662"/>
      <c r="K11" s="662"/>
      <c r="L11" s="662"/>
      <c r="M11" s="662"/>
      <c r="N11" s="663"/>
    </row>
    <row r="12" spans="1:25" ht="12.75" customHeight="1" x14ac:dyDescent="0.2">
      <c r="B12" s="32" t="s">
        <v>4</v>
      </c>
      <c r="C12" s="32" t="s">
        <v>5</v>
      </c>
      <c r="D12" s="32">
        <v>2018</v>
      </c>
      <c r="E12" s="32">
        <v>2019</v>
      </c>
      <c r="F12" s="32">
        <v>2020</v>
      </c>
      <c r="G12" s="32">
        <v>2021</v>
      </c>
      <c r="H12" s="32">
        <v>2022</v>
      </c>
      <c r="I12" s="32">
        <v>2023</v>
      </c>
      <c r="J12" s="32">
        <v>2024</v>
      </c>
      <c r="K12" s="32">
        <v>2025</v>
      </c>
      <c r="L12" s="32" t="s">
        <v>6</v>
      </c>
      <c r="M12" s="33" t="s">
        <v>7</v>
      </c>
      <c r="N12" s="34" t="s">
        <v>8</v>
      </c>
    </row>
    <row r="13" spans="1:25" ht="55.5" customHeight="1" x14ac:dyDescent="0.2">
      <c r="B13" s="15">
        <v>1</v>
      </c>
      <c r="C13" s="329" t="s">
        <v>9</v>
      </c>
      <c r="D13" s="17">
        <v>113285</v>
      </c>
      <c r="E13" s="17">
        <v>121665</v>
      </c>
      <c r="F13" s="17">
        <v>121922</v>
      </c>
      <c r="G13" s="17">
        <v>122222</v>
      </c>
      <c r="H13" s="17">
        <v>132718</v>
      </c>
      <c r="I13" s="17">
        <v>126761</v>
      </c>
      <c r="J13" s="17">
        <f>127259+243+63+17</f>
        <v>127582</v>
      </c>
      <c r="K13" s="558">
        <v>140217</v>
      </c>
      <c r="L13" s="16" t="s">
        <v>10</v>
      </c>
      <c r="M13" s="16" t="s">
        <v>11</v>
      </c>
      <c r="N13" s="13" t="s">
        <v>12</v>
      </c>
    </row>
    <row r="14" spans="1:25" ht="55.5" customHeight="1" x14ac:dyDescent="0.2">
      <c r="B14" s="15">
        <v>2</v>
      </c>
      <c r="C14" s="329" t="s">
        <v>13</v>
      </c>
      <c r="D14" s="17">
        <v>9957</v>
      </c>
      <c r="E14" s="17">
        <v>10290</v>
      </c>
      <c r="F14" s="17">
        <v>10291</v>
      </c>
      <c r="G14" s="17">
        <v>10262</v>
      </c>
      <c r="H14" s="17">
        <v>1464</v>
      </c>
      <c r="I14" s="17">
        <v>8582</v>
      </c>
      <c r="J14" s="17">
        <v>9653</v>
      </c>
      <c r="K14" s="559"/>
      <c r="L14" s="16" t="s">
        <v>10</v>
      </c>
      <c r="M14" s="16" t="s">
        <v>14</v>
      </c>
      <c r="N14" s="13" t="s">
        <v>12</v>
      </c>
    </row>
    <row r="15" spans="1:25" ht="55.5" customHeight="1" x14ac:dyDescent="0.2">
      <c r="B15" s="15">
        <v>3</v>
      </c>
      <c r="C15" s="329" t="s">
        <v>15</v>
      </c>
      <c r="D15" s="17">
        <v>758</v>
      </c>
      <c r="E15" s="17">
        <v>756</v>
      </c>
      <c r="F15" s="17">
        <v>756</v>
      </c>
      <c r="G15" s="17">
        <v>756</v>
      </c>
      <c r="H15" s="17">
        <v>200</v>
      </c>
      <c r="I15" s="17">
        <v>755</v>
      </c>
      <c r="J15" s="17">
        <v>754</v>
      </c>
      <c r="K15" s="559"/>
      <c r="L15" s="16" t="s">
        <v>10</v>
      </c>
      <c r="M15" s="16" t="s">
        <v>16</v>
      </c>
      <c r="N15" s="13" t="s">
        <v>12</v>
      </c>
    </row>
    <row r="16" spans="1:25" ht="55.5" customHeight="1" x14ac:dyDescent="0.2">
      <c r="B16" s="15">
        <v>4</v>
      </c>
      <c r="C16" s="329" t="s">
        <v>647</v>
      </c>
      <c r="D16" s="17">
        <v>4197</v>
      </c>
      <c r="E16" s="17">
        <v>4603</v>
      </c>
      <c r="F16" s="17">
        <v>4603</v>
      </c>
      <c r="G16" s="17">
        <v>4612</v>
      </c>
      <c r="H16" s="17">
        <v>4730</v>
      </c>
      <c r="I16" s="17">
        <v>4805</v>
      </c>
      <c r="J16" s="17">
        <v>5009</v>
      </c>
      <c r="K16" s="558">
        <v>5314</v>
      </c>
      <c r="L16" s="16" t="s">
        <v>10</v>
      </c>
      <c r="M16" s="18" t="s">
        <v>17</v>
      </c>
      <c r="N16" s="13" t="s">
        <v>12</v>
      </c>
    </row>
    <row r="17" spans="2:14" ht="55.5" customHeight="1" x14ac:dyDescent="0.2">
      <c r="B17" s="15">
        <v>5</v>
      </c>
      <c r="C17" s="329" t="s">
        <v>18</v>
      </c>
      <c r="D17" s="17">
        <v>34330</v>
      </c>
      <c r="E17" s="17">
        <v>34329</v>
      </c>
      <c r="F17" s="17">
        <v>34329</v>
      </c>
      <c r="G17" s="17">
        <v>34329</v>
      </c>
      <c r="H17" s="17">
        <v>34329</v>
      </c>
      <c r="I17" s="17">
        <f>34329+40</f>
        <v>34369</v>
      </c>
      <c r="J17" s="17">
        <f>+'[2]b. Colección_impresa_ubicación'!Q14</f>
        <v>34383</v>
      </c>
      <c r="K17" s="558">
        <v>34345</v>
      </c>
      <c r="L17" s="16" t="s">
        <v>19</v>
      </c>
      <c r="M17" s="16" t="s">
        <v>20</v>
      </c>
      <c r="N17" s="16" t="s">
        <v>19</v>
      </c>
    </row>
    <row r="18" spans="2:14" ht="55.5" customHeight="1" x14ac:dyDescent="0.2">
      <c r="B18" s="15">
        <v>6</v>
      </c>
      <c r="C18" s="329" t="s">
        <v>21</v>
      </c>
      <c r="D18" s="19">
        <v>27837</v>
      </c>
      <c r="E18" s="17">
        <v>27837</v>
      </c>
      <c r="F18" s="17">
        <v>27837</v>
      </c>
      <c r="G18" s="17">
        <v>27837</v>
      </c>
      <c r="H18" s="17">
        <v>27834</v>
      </c>
      <c r="I18" s="17">
        <v>27834</v>
      </c>
      <c r="J18" s="17">
        <f>+'[2]b. Colección_impresa_ubicación'!Q15</f>
        <v>27835</v>
      </c>
      <c r="K18" s="558">
        <v>27812</v>
      </c>
      <c r="L18" s="16" t="s">
        <v>22</v>
      </c>
      <c r="M18" s="18" t="s">
        <v>23</v>
      </c>
      <c r="N18" s="16" t="s">
        <v>22</v>
      </c>
    </row>
    <row r="19" spans="2:14" ht="55.5" customHeight="1" x14ac:dyDescent="0.2">
      <c r="B19" s="15">
        <v>7</v>
      </c>
      <c r="C19" s="329" t="s">
        <v>24</v>
      </c>
      <c r="D19" s="17">
        <v>7738</v>
      </c>
      <c r="E19" s="17">
        <v>11187</v>
      </c>
      <c r="F19" s="17">
        <v>14525</v>
      </c>
      <c r="G19" s="17">
        <v>15111</v>
      </c>
      <c r="H19" s="17">
        <v>17046</v>
      </c>
      <c r="I19" s="17">
        <v>18326</v>
      </c>
      <c r="J19" s="17">
        <f>3322+19882</f>
        <v>23204</v>
      </c>
      <c r="K19" s="558">
        <v>25286</v>
      </c>
      <c r="L19" s="16" t="s">
        <v>25</v>
      </c>
      <c r="M19" s="16" t="s">
        <v>26</v>
      </c>
      <c r="N19" s="13" t="s">
        <v>27</v>
      </c>
    </row>
    <row r="20" spans="2:14" ht="55.5" customHeight="1" x14ac:dyDescent="0.2">
      <c r="B20" s="15">
        <v>8</v>
      </c>
      <c r="C20" s="329" t="s">
        <v>28</v>
      </c>
      <c r="D20" s="17">
        <v>3488</v>
      </c>
      <c r="E20" s="17">
        <v>3960</v>
      </c>
      <c r="F20" s="17">
        <v>3961</v>
      </c>
      <c r="G20" s="17">
        <v>3961</v>
      </c>
      <c r="H20" s="17">
        <v>4359</v>
      </c>
      <c r="I20" s="17">
        <v>4635</v>
      </c>
      <c r="J20" s="17">
        <v>4786</v>
      </c>
      <c r="K20" s="558">
        <v>4783</v>
      </c>
      <c r="L20" s="16" t="s">
        <v>10</v>
      </c>
      <c r="M20" s="16" t="s">
        <v>29</v>
      </c>
      <c r="N20" s="13" t="s">
        <v>12</v>
      </c>
    </row>
    <row r="21" spans="2:14" ht="55.5" customHeight="1" x14ac:dyDescent="0.2">
      <c r="B21" s="15">
        <v>9</v>
      </c>
      <c r="C21" s="329" t="s">
        <v>30</v>
      </c>
      <c r="D21" s="35"/>
      <c r="E21" s="17"/>
      <c r="F21" s="17"/>
      <c r="G21" s="17"/>
      <c r="H21" s="17"/>
      <c r="I21" s="17">
        <v>39571</v>
      </c>
      <c r="J21" s="17">
        <v>39571</v>
      </c>
      <c r="K21" s="558">
        <v>39573</v>
      </c>
      <c r="L21" s="16" t="s">
        <v>31</v>
      </c>
      <c r="M21" s="16" t="s">
        <v>26</v>
      </c>
      <c r="N21" s="16" t="s">
        <v>31</v>
      </c>
    </row>
    <row r="22" spans="2:14" ht="55.5" customHeight="1" x14ac:dyDescent="0.2">
      <c r="B22" s="15">
        <v>10</v>
      </c>
      <c r="C22" s="16" t="s">
        <v>32</v>
      </c>
      <c r="D22" s="36"/>
      <c r="E22" s="17"/>
      <c r="F22" s="17"/>
      <c r="G22" s="17"/>
      <c r="H22" s="17"/>
      <c r="I22" s="17"/>
      <c r="J22" s="17">
        <v>590</v>
      </c>
      <c r="K22" s="559"/>
      <c r="L22" s="16" t="s">
        <v>33</v>
      </c>
      <c r="M22" s="36"/>
      <c r="N22" s="16" t="s">
        <v>33</v>
      </c>
    </row>
    <row r="23" spans="2:14" ht="55.5" customHeight="1" x14ac:dyDescent="0.2">
      <c r="B23" s="15">
        <v>11</v>
      </c>
      <c r="C23" s="16" t="s">
        <v>34</v>
      </c>
      <c r="D23" s="36"/>
      <c r="E23" s="17"/>
      <c r="F23" s="17"/>
      <c r="G23" s="17"/>
      <c r="H23" s="17"/>
      <c r="I23" s="17"/>
      <c r="J23" s="17">
        <v>483</v>
      </c>
      <c r="K23" s="559"/>
      <c r="L23" s="16" t="s">
        <v>35</v>
      </c>
      <c r="M23" s="36"/>
      <c r="N23" s="16" t="s">
        <v>35</v>
      </c>
    </row>
    <row r="24" spans="2:14" ht="55.5" customHeight="1" x14ac:dyDescent="0.2">
      <c r="B24" s="15">
        <v>12</v>
      </c>
      <c r="C24" s="16" t="s">
        <v>36</v>
      </c>
      <c r="D24" s="36"/>
      <c r="E24" s="17"/>
      <c r="F24" s="17"/>
      <c r="G24" s="17"/>
      <c r="H24" s="17"/>
      <c r="I24" s="17"/>
      <c r="J24" s="17">
        <v>133</v>
      </c>
      <c r="K24" s="559"/>
      <c r="L24" s="16" t="s">
        <v>10</v>
      </c>
      <c r="M24" s="36"/>
      <c r="N24" s="13" t="s">
        <v>12</v>
      </c>
    </row>
    <row r="25" spans="2:14" ht="55.5" customHeight="1" x14ac:dyDescent="0.2">
      <c r="B25" s="15">
        <v>13</v>
      </c>
      <c r="C25" s="16" t="s">
        <v>37</v>
      </c>
      <c r="D25" s="35">
        <v>25</v>
      </c>
      <c r="E25" s="17">
        <v>15</v>
      </c>
      <c r="F25" s="17">
        <v>22</v>
      </c>
      <c r="G25" s="17">
        <v>18</v>
      </c>
      <c r="H25" s="17">
        <v>23</v>
      </c>
      <c r="I25" s="17">
        <v>207</v>
      </c>
      <c r="J25" s="17">
        <v>212</v>
      </c>
      <c r="K25" s="559"/>
      <c r="L25" s="16" t="s">
        <v>43</v>
      </c>
      <c r="M25" s="654" t="s">
        <v>38</v>
      </c>
      <c r="N25" s="13" t="s">
        <v>12</v>
      </c>
    </row>
    <row r="26" spans="2:14" ht="55.5" customHeight="1" x14ac:dyDescent="0.2">
      <c r="B26" s="15">
        <v>14</v>
      </c>
      <c r="C26" s="16" t="s">
        <v>39</v>
      </c>
      <c r="D26" s="35">
        <v>17</v>
      </c>
      <c r="E26" s="17">
        <v>10</v>
      </c>
      <c r="F26" s="17">
        <v>52</v>
      </c>
      <c r="G26" s="17">
        <v>50</v>
      </c>
      <c r="H26" s="17">
        <v>33</v>
      </c>
      <c r="I26" s="17">
        <v>34</v>
      </c>
      <c r="J26" s="17">
        <v>35</v>
      </c>
      <c r="K26" s="559"/>
      <c r="L26" s="16" t="s">
        <v>43</v>
      </c>
      <c r="M26" s="654"/>
      <c r="N26" s="13" t="s">
        <v>12</v>
      </c>
    </row>
    <row r="27" spans="2:14" ht="55.5" customHeight="1" x14ac:dyDescent="0.2">
      <c r="B27" s="15">
        <v>15</v>
      </c>
      <c r="C27" s="16" t="s">
        <v>40</v>
      </c>
      <c r="D27" s="35">
        <v>6</v>
      </c>
      <c r="E27" s="17">
        <v>6</v>
      </c>
      <c r="F27" s="17">
        <v>6</v>
      </c>
      <c r="G27" s="17">
        <v>4</v>
      </c>
      <c r="H27" s="17">
        <v>4</v>
      </c>
      <c r="I27" s="17">
        <v>6</v>
      </c>
      <c r="J27" s="17">
        <v>7</v>
      </c>
      <c r="K27" s="559"/>
      <c r="L27" s="16" t="s">
        <v>10</v>
      </c>
      <c r="M27" s="20" t="s">
        <v>41</v>
      </c>
      <c r="N27" s="13" t="s">
        <v>12</v>
      </c>
    </row>
    <row r="28" spans="2:14" ht="55.5" customHeight="1" x14ac:dyDescent="0.2">
      <c r="B28" s="15">
        <v>16</v>
      </c>
      <c r="C28" s="329" t="s">
        <v>42</v>
      </c>
      <c r="D28" s="17">
        <v>0</v>
      </c>
      <c r="E28" s="17">
        <v>0</v>
      </c>
      <c r="F28" s="17">
        <v>4170</v>
      </c>
      <c r="G28" s="17">
        <v>4172</v>
      </c>
      <c r="H28" s="17">
        <v>10135</v>
      </c>
      <c r="I28" s="17">
        <v>10135</v>
      </c>
      <c r="J28" s="17">
        <v>10135</v>
      </c>
      <c r="K28" s="558">
        <v>10135</v>
      </c>
      <c r="L28" s="16" t="s">
        <v>43</v>
      </c>
      <c r="M28" s="21" t="s">
        <v>44</v>
      </c>
      <c r="N28" s="13" t="s">
        <v>27</v>
      </c>
    </row>
    <row r="29" spans="2:14" ht="55.5" customHeight="1" x14ac:dyDescent="0.2">
      <c r="B29" s="15">
        <v>17</v>
      </c>
      <c r="C29" s="329" t="s">
        <v>45</v>
      </c>
      <c r="D29" s="35"/>
      <c r="E29" s="17"/>
      <c r="F29" s="17"/>
      <c r="G29" s="17"/>
      <c r="H29" s="17"/>
      <c r="I29" s="17">
        <v>1089</v>
      </c>
      <c r="J29" s="17">
        <v>5777</v>
      </c>
      <c r="K29" s="558">
        <v>7912</v>
      </c>
      <c r="L29" s="16" t="s">
        <v>25</v>
      </c>
      <c r="M29" s="16" t="s">
        <v>26</v>
      </c>
      <c r="N29" s="13" t="s">
        <v>27</v>
      </c>
    </row>
    <row r="30" spans="2:14" ht="55.5" customHeight="1" x14ac:dyDescent="0.2">
      <c r="B30" s="15">
        <v>18</v>
      </c>
      <c r="C30" s="329" t="s">
        <v>46</v>
      </c>
      <c r="D30" s="35"/>
      <c r="E30" s="17"/>
      <c r="F30" s="17"/>
      <c r="G30" s="17"/>
      <c r="H30" s="17"/>
      <c r="I30" s="17">
        <v>6565</v>
      </c>
      <c r="J30" s="17">
        <v>6619</v>
      </c>
      <c r="K30" s="558">
        <v>6639</v>
      </c>
      <c r="L30" s="16" t="s">
        <v>25</v>
      </c>
      <c r="M30" s="16" t="s">
        <v>26</v>
      </c>
      <c r="N30" s="13" t="s">
        <v>27</v>
      </c>
    </row>
    <row r="31" spans="2:14" ht="55.5" customHeight="1" x14ac:dyDescent="0.2">
      <c r="B31" s="15">
        <v>19</v>
      </c>
      <c r="C31" s="329" t="s">
        <v>47</v>
      </c>
      <c r="D31" s="35"/>
      <c r="E31" s="17"/>
      <c r="F31" s="17"/>
      <c r="G31" s="17"/>
      <c r="H31" s="17"/>
      <c r="I31" s="17"/>
      <c r="J31" s="17">
        <v>48945</v>
      </c>
      <c r="K31" s="558">
        <v>49511</v>
      </c>
      <c r="L31" s="16" t="s">
        <v>25</v>
      </c>
      <c r="M31" s="16" t="s">
        <v>48</v>
      </c>
      <c r="N31" s="13" t="s">
        <v>27</v>
      </c>
    </row>
    <row r="32" spans="2:14" ht="12.75" customHeight="1" x14ac:dyDescent="0.2">
      <c r="B32" s="655" t="s">
        <v>49</v>
      </c>
      <c r="C32" s="655"/>
      <c r="D32" s="22">
        <f>+SUM(D13:D31)</f>
        <v>201638</v>
      </c>
      <c r="E32" s="22">
        <f t="shared" ref="E32:K32" si="0">+SUM(E13:E31)</f>
        <v>214658</v>
      </c>
      <c r="F32" s="22">
        <f t="shared" si="0"/>
        <v>222474</v>
      </c>
      <c r="G32" s="22">
        <f t="shared" si="0"/>
        <v>223334</v>
      </c>
      <c r="H32" s="22">
        <f t="shared" si="0"/>
        <v>232875</v>
      </c>
      <c r="I32" s="22">
        <f t="shared" si="0"/>
        <v>283674</v>
      </c>
      <c r="J32" s="22">
        <f t="shared" si="0"/>
        <v>345713</v>
      </c>
      <c r="K32" s="22">
        <f t="shared" si="0"/>
        <v>351527</v>
      </c>
      <c r="L32" s="22"/>
      <c r="M32" s="22"/>
      <c r="N32" s="14"/>
    </row>
    <row r="33" spans="2:14" ht="12.75" customHeight="1" x14ac:dyDescent="0.2">
      <c r="B33" s="4"/>
      <c r="C33" s="304"/>
      <c r="D33" s="5"/>
      <c r="E33" s="6"/>
      <c r="F33" s="37"/>
      <c r="G33" s="7"/>
      <c r="H33" s="8"/>
      <c r="I33" s="308"/>
      <c r="J33" s="308"/>
      <c r="K33" s="308"/>
      <c r="L33" s="38"/>
      <c r="M33" s="304"/>
      <c r="N33" s="12"/>
    </row>
    <row r="34" spans="2:14" ht="12.75" customHeight="1" x14ac:dyDescent="0.2">
      <c r="B34" s="656" t="s">
        <v>788</v>
      </c>
      <c r="C34" s="653"/>
      <c r="D34" s="653"/>
      <c r="E34" s="653"/>
      <c r="F34" s="653"/>
      <c r="G34" s="653"/>
      <c r="H34" s="653"/>
      <c r="I34" s="653"/>
      <c r="J34" s="653"/>
      <c r="K34" s="653"/>
      <c r="L34" s="653"/>
      <c r="M34" s="653"/>
    </row>
    <row r="35" spans="2:14" ht="12.75" customHeight="1" x14ac:dyDescent="0.2">
      <c r="B35" s="653"/>
      <c r="C35" s="653"/>
      <c r="D35" s="653"/>
      <c r="E35" s="653"/>
      <c r="F35" s="653"/>
      <c r="G35" s="653"/>
      <c r="H35" s="653"/>
      <c r="I35" s="653"/>
      <c r="J35" s="653"/>
      <c r="K35" s="653"/>
      <c r="L35" s="653"/>
      <c r="M35" s="653"/>
    </row>
    <row r="36" spans="2:14" ht="12.75" customHeight="1" x14ac:dyDescent="0.2">
      <c r="B36" s="657" t="s">
        <v>648</v>
      </c>
      <c r="C36" s="657"/>
      <c r="D36" s="657"/>
      <c r="E36" s="657"/>
      <c r="F36" s="657"/>
      <c r="G36" s="657"/>
      <c r="H36" s="657"/>
      <c r="I36" s="657"/>
      <c r="J36" s="657"/>
      <c r="K36" s="657"/>
      <c r="L36" s="657"/>
      <c r="M36" s="657"/>
    </row>
    <row r="37" spans="2:14" ht="12.75" customHeight="1" x14ac:dyDescent="0.2">
      <c r="C37" s="12"/>
      <c r="D37" s="12"/>
      <c r="E37" s="12"/>
      <c r="F37" s="12"/>
      <c r="G37" s="12"/>
      <c r="H37" s="12"/>
      <c r="I37" s="12"/>
      <c r="J37" s="12"/>
      <c r="K37" s="12"/>
      <c r="L37" s="303"/>
      <c r="M37" s="303"/>
    </row>
    <row r="38" spans="2:14" ht="12.75" customHeight="1" x14ac:dyDescent="0.2">
      <c r="B38" s="4"/>
      <c r="C38" s="41" t="s">
        <v>50</v>
      </c>
      <c r="D38" s="39">
        <v>2018</v>
      </c>
      <c r="E38" s="39">
        <v>2019</v>
      </c>
      <c r="F38" s="39">
        <v>2020</v>
      </c>
      <c r="G38" s="39">
        <v>2021</v>
      </c>
      <c r="H38" s="39">
        <v>2022</v>
      </c>
      <c r="I38" s="40">
        <v>2023</v>
      </c>
      <c r="J38" s="330">
        <v>2024</v>
      </c>
      <c r="K38" s="237">
        <v>2025</v>
      </c>
      <c r="L38" s="304"/>
      <c r="M38" s="302"/>
    </row>
    <row r="39" spans="2:14" ht="12.75" customHeight="1" x14ac:dyDescent="0.2">
      <c r="B39" s="4"/>
      <c r="C39" s="42" t="s">
        <v>103</v>
      </c>
      <c r="D39" s="43">
        <v>80846</v>
      </c>
      <c r="E39" s="43">
        <v>85474</v>
      </c>
      <c r="F39" s="43">
        <v>89790</v>
      </c>
      <c r="G39" s="43">
        <v>89875</v>
      </c>
      <c r="H39" s="44">
        <v>90177</v>
      </c>
      <c r="I39" s="45">
        <f>91050+39571</f>
        <v>130621</v>
      </c>
      <c r="J39" s="331">
        <v>131697</v>
      </c>
      <c r="K39" s="48">
        <v>155346</v>
      </c>
      <c r="L39" s="304"/>
      <c r="M39" s="302"/>
    </row>
    <row r="40" spans="2:14" ht="12.75" customHeight="1" x14ac:dyDescent="0.2">
      <c r="B40" s="4"/>
      <c r="C40" s="46" t="s">
        <v>104</v>
      </c>
      <c r="D40" s="47">
        <f t="shared" ref="D40:K40" si="1">+D19+D21+D28+D29+D30+D31</f>
        <v>7738</v>
      </c>
      <c r="E40" s="47">
        <f t="shared" si="1"/>
        <v>11187</v>
      </c>
      <c r="F40" s="47">
        <f t="shared" si="1"/>
        <v>18695</v>
      </c>
      <c r="G40" s="47">
        <f t="shared" si="1"/>
        <v>19283</v>
      </c>
      <c r="H40" s="47">
        <f t="shared" si="1"/>
        <v>27181</v>
      </c>
      <c r="I40" s="47">
        <f t="shared" si="1"/>
        <v>75686</v>
      </c>
      <c r="J40" s="332">
        <f t="shared" si="1"/>
        <v>134251</v>
      </c>
      <c r="K40" s="47">
        <f t="shared" si="1"/>
        <v>139056</v>
      </c>
      <c r="L40" s="304"/>
      <c r="M40" s="302"/>
    </row>
    <row r="41" spans="2:14" ht="12.75" customHeight="1" x14ac:dyDescent="0.2">
      <c r="B41" s="301"/>
      <c r="C41" s="658" t="s">
        <v>649</v>
      </c>
      <c r="D41" s="658"/>
      <c r="E41" s="658"/>
      <c r="F41" s="658"/>
      <c r="G41" s="658"/>
      <c r="H41" s="658"/>
      <c r="I41" s="658"/>
      <c r="J41" s="304"/>
      <c r="K41" s="304"/>
      <c r="L41" s="302"/>
      <c r="M41" s="302"/>
    </row>
    <row r="42" spans="2:14" ht="12.75" customHeight="1" x14ac:dyDescent="0.2">
      <c r="B42" s="301"/>
      <c r="C42" s="302"/>
      <c r="D42" s="302"/>
      <c r="E42" s="11"/>
      <c r="F42" s="27"/>
      <c r="G42" s="27"/>
      <c r="H42" s="27"/>
      <c r="I42" s="27"/>
      <c r="J42" s="27"/>
      <c r="K42" s="27"/>
      <c r="L42" s="302"/>
      <c r="M42" s="302"/>
    </row>
    <row r="43" spans="2:14" ht="12.75" customHeight="1" x14ac:dyDescent="0.2">
      <c r="B43" s="301"/>
      <c r="C43" s="302"/>
      <c r="D43" s="302"/>
      <c r="E43" s="11"/>
      <c r="F43" s="27"/>
      <c r="G43" s="27"/>
      <c r="H43" s="27"/>
      <c r="I43" s="27"/>
      <c r="J43" s="27"/>
      <c r="K43" s="27"/>
      <c r="L43" s="302"/>
      <c r="M43" s="302"/>
    </row>
    <row r="44" spans="2:14" ht="12.75" customHeight="1" x14ac:dyDescent="0.2">
      <c r="B44" s="301"/>
      <c r="C44" s="302"/>
      <c r="D44" s="302"/>
      <c r="E44" s="11"/>
      <c r="F44" s="27"/>
      <c r="G44" s="27"/>
      <c r="H44" s="27"/>
      <c r="I44" s="27"/>
      <c r="J44" s="27"/>
      <c r="K44" s="27"/>
      <c r="L44" s="302"/>
      <c r="M44" s="302"/>
    </row>
    <row r="45" spans="2:14" ht="12.75" customHeight="1" x14ac:dyDescent="0.2">
      <c r="B45" s="301"/>
      <c r="C45" s="302"/>
      <c r="D45" s="302"/>
      <c r="E45" s="11"/>
      <c r="F45" s="27"/>
      <c r="G45" s="27"/>
      <c r="H45" s="27"/>
      <c r="I45" s="27"/>
      <c r="J45" s="27"/>
      <c r="K45" s="27"/>
      <c r="L45" s="302"/>
      <c r="M45" s="302"/>
    </row>
    <row r="46" spans="2:14" ht="12.75" customHeight="1" x14ac:dyDescent="0.2">
      <c r="B46" s="301"/>
      <c r="C46" s="302"/>
      <c r="D46" s="302"/>
      <c r="E46" s="11"/>
      <c r="F46" s="27"/>
      <c r="G46" s="27"/>
      <c r="H46" s="27"/>
      <c r="I46" s="27"/>
      <c r="J46" s="27"/>
      <c r="K46" s="27"/>
      <c r="L46" s="302"/>
      <c r="M46" s="302"/>
    </row>
    <row r="47" spans="2:14" ht="12.75" customHeight="1" x14ac:dyDescent="0.2">
      <c r="B47" s="301"/>
      <c r="C47" s="302"/>
      <c r="D47" s="302"/>
      <c r="E47" s="11"/>
      <c r="F47" s="27"/>
      <c r="G47" s="27"/>
      <c r="H47" s="27"/>
      <c r="I47" s="27"/>
      <c r="J47" s="27"/>
      <c r="K47" s="27"/>
      <c r="L47" s="652"/>
      <c r="M47" s="302"/>
    </row>
    <row r="48" spans="2:14" ht="12.75" customHeight="1" x14ac:dyDescent="0.2">
      <c r="B48" s="301"/>
      <c r="C48" s="302"/>
      <c r="D48" s="302"/>
      <c r="E48" s="11"/>
      <c r="F48" s="27"/>
      <c r="G48" s="27"/>
      <c r="H48" s="27"/>
      <c r="I48" s="27"/>
      <c r="J48" s="27"/>
      <c r="K48" s="27"/>
      <c r="L48" s="653"/>
      <c r="M48" s="302"/>
    </row>
    <row r="49" spans="2:13" ht="12.75" customHeight="1" x14ac:dyDescent="0.2">
      <c r="B49" s="301"/>
      <c r="C49" s="302"/>
      <c r="D49" s="302"/>
      <c r="E49" s="11"/>
      <c r="F49" s="27"/>
      <c r="G49" s="27"/>
      <c r="H49" s="27"/>
      <c r="I49" s="27"/>
      <c r="J49" s="27"/>
      <c r="K49" s="27"/>
      <c r="L49" s="653"/>
      <c r="M49" s="302"/>
    </row>
    <row r="50" spans="2:13" ht="12.75" customHeight="1" x14ac:dyDescent="0.2">
      <c r="B50" s="652"/>
      <c r="C50" s="653"/>
      <c r="D50" s="653"/>
      <c r="E50" s="653"/>
      <c r="F50" s="653"/>
      <c r="G50" s="653"/>
      <c r="H50" s="653"/>
      <c r="I50" s="653"/>
      <c r="J50" s="653"/>
      <c r="K50" s="653"/>
      <c r="L50" s="653"/>
      <c r="M50" s="653"/>
    </row>
    <row r="51" spans="2:13" ht="12.75" customHeight="1" x14ac:dyDescent="0.2">
      <c r="B51" s="653"/>
      <c r="C51" s="653"/>
      <c r="D51" s="653"/>
      <c r="E51" s="653"/>
      <c r="F51" s="653"/>
      <c r="G51" s="653"/>
      <c r="H51" s="653"/>
      <c r="I51" s="653"/>
      <c r="J51" s="653"/>
      <c r="K51" s="653"/>
      <c r="L51" s="653"/>
      <c r="M51" s="653"/>
    </row>
    <row r="52" spans="2:13" ht="12.75" customHeight="1" x14ac:dyDescent="0.2">
      <c r="L52" s="303"/>
      <c r="M52" s="303"/>
    </row>
    <row r="53" spans="2:13" ht="12.75" customHeight="1" x14ac:dyDescent="0.2">
      <c r="L53" s="303"/>
      <c r="M53" s="303"/>
    </row>
    <row r="54" spans="2:13" ht="12.75" customHeight="1" x14ac:dyDescent="0.2">
      <c r="L54" s="303"/>
      <c r="M54" s="303"/>
    </row>
    <row r="55" spans="2:13" ht="12.75" customHeight="1" x14ac:dyDescent="0.2">
      <c r="L55" s="303"/>
      <c r="M55" s="303"/>
    </row>
    <row r="56" spans="2:13" ht="12.75" customHeight="1" x14ac:dyDescent="0.2">
      <c r="L56" s="303"/>
      <c r="M56" s="303"/>
    </row>
    <row r="57" spans="2:13" ht="12.75" customHeight="1" x14ac:dyDescent="0.2">
      <c r="L57" s="303"/>
      <c r="M57" s="303"/>
    </row>
    <row r="58" spans="2:13" ht="12.75" customHeight="1" x14ac:dyDescent="0.2">
      <c r="L58" s="303"/>
      <c r="M58" s="303"/>
    </row>
    <row r="59" spans="2:13" ht="12.75" customHeight="1" x14ac:dyDescent="0.2">
      <c r="L59" s="303"/>
      <c r="M59" s="303"/>
    </row>
    <row r="60" spans="2:13" ht="12.75" customHeight="1" x14ac:dyDescent="0.2">
      <c r="L60" s="303"/>
      <c r="M60" s="303"/>
    </row>
    <row r="61" spans="2:13" ht="12.75" customHeight="1" x14ac:dyDescent="0.2">
      <c r="L61" s="303"/>
      <c r="M61" s="303"/>
    </row>
    <row r="62" spans="2:13" ht="12.75" customHeight="1" x14ac:dyDescent="0.2">
      <c r="L62" s="303"/>
      <c r="M62" s="303"/>
    </row>
    <row r="63" spans="2:13" ht="12.75" customHeight="1" x14ac:dyDescent="0.2">
      <c r="L63" s="303"/>
      <c r="M63" s="303"/>
    </row>
    <row r="64" spans="2:13" ht="12.75" customHeight="1" x14ac:dyDescent="0.2">
      <c r="L64" s="303"/>
      <c r="M64" s="303"/>
    </row>
    <row r="65" spans="12:13" ht="12.75" customHeight="1" x14ac:dyDescent="0.2">
      <c r="L65" s="303"/>
      <c r="M65" s="303"/>
    </row>
    <row r="66" spans="12:13" ht="12.75" customHeight="1" x14ac:dyDescent="0.2">
      <c r="L66" s="303"/>
      <c r="M66" s="303"/>
    </row>
    <row r="67" spans="12:13" ht="12.75" customHeight="1" x14ac:dyDescent="0.2">
      <c r="L67" s="303"/>
      <c r="M67" s="303"/>
    </row>
    <row r="68" spans="12:13" ht="12.75" customHeight="1" x14ac:dyDescent="0.2">
      <c r="L68" s="303"/>
      <c r="M68" s="303"/>
    </row>
    <row r="69" spans="12:13" ht="12.75" customHeight="1" x14ac:dyDescent="0.2">
      <c r="L69" s="303"/>
      <c r="M69" s="303"/>
    </row>
    <row r="70" spans="12:13" ht="12.75" customHeight="1" x14ac:dyDescent="0.2">
      <c r="L70" s="303"/>
      <c r="M70" s="303"/>
    </row>
    <row r="71" spans="12:13" ht="12.75" customHeight="1" x14ac:dyDescent="0.2">
      <c r="L71" s="303"/>
      <c r="M71" s="303"/>
    </row>
    <row r="72" spans="12:13" ht="12.75" customHeight="1" x14ac:dyDescent="0.2">
      <c r="L72" s="303"/>
      <c r="M72" s="303"/>
    </row>
    <row r="73" spans="12:13" ht="12.75" customHeight="1" x14ac:dyDescent="0.2">
      <c r="L73" s="303"/>
      <c r="M73" s="303"/>
    </row>
    <row r="74" spans="12:13" ht="12.75" customHeight="1" x14ac:dyDescent="0.2">
      <c r="L74" s="303"/>
      <c r="M74" s="303"/>
    </row>
    <row r="75" spans="12:13" ht="12.75" customHeight="1" x14ac:dyDescent="0.2">
      <c r="L75" s="303"/>
      <c r="M75" s="303"/>
    </row>
    <row r="76" spans="12:13" ht="12.75" customHeight="1" x14ac:dyDescent="0.2">
      <c r="L76" s="303"/>
      <c r="M76" s="303"/>
    </row>
    <row r="77" spans="12:13" ht="12.75" customHeight="1" x14ac:dyDescent="0.2">
      <c r="L77" s="303"/>
      <c r="M77" s="303"/>
    </row>
    <row r="78" spans="12:13" ht="12.75" customHeight="1" x14ac:dyDescent="0.2">
      <c r="L78" s="303"/>
      <c r="M78" s="303"/>
    </row>
    <row r="79" spans="12:13" ht="12.75" customHeight="1" x14ac:dyDescent="0.2">
      <c r="L79" s="303"/>
      <c r="M79" s="303"/>
    </row>
    <row r="80" spans="12:13" ht="12.75" customHeight="1" x14ac:dyDescent="0.2">
      <c r="L80" s="303"/>
      <c r="M80" s="303"/>
    </row>
    <row r="81" spans="12:13" ht="12.75" customHeight="1" x14ac:dyDescent="0.2">
      <c r="L81" s="303"/>
      <c r="M81" s="303"/>
    </row>
    <row r="82" spans="12:13" ht="12.75" customHeight="1" x14ac:dyDescent="0.2">
      <c r="L82" s="303"/>
      <c r="M82" s="303"/>
    </row>
    <row r="83" spans="12:13" ht="12.75" customHeight="1" x14ac:dyDescent="0.2">
      <c r="L83" s="303"/>
      <c r="M83" s="303"/>
    </row>
    <row r="84" spans="12:13" ht="12.75" customHeight="1" x14ac:dyDescent="0.2">
      <c r="L84" s="303"/>
      <c r="M84" s="303"/>
    </row>
    <row r="85" spans="12:13" ht="12.75" customHeight="1" x14ac:dyDescent="0.2">
      <c r="L85" s="303"/>
      <c r="M85" s="303"/>
    </row>
    <row r="86" spans="12:13" ht="12.75" customHeight="1" x14ac:dyDescent="0.2">
      <c r="L86" s="303"/>
      <c r="M86" s="303"/>
    </row>
    <row r="87" spans="12:13" ht="12.75" customHeight="1" x14ac:dyDescent="0.2">
      <c r="L87" s="303"/>
      <c r="M87" s="303"/>
    </row>
    <row r="88" spans="12:13" ht="12.75" customHeight="1" x14ac:dyDescent="0.2">
      <c r="L88" s="303"/>
      <c r="M88" s="303"/>
    </row>
    <row r="89" spans="12:13" ht="12.75" customHeight="1" x14ac:dyDescent="0.2">
      <c r="L89" s="303"/>
      <c r="M89" s="303"/>
    </row>
    <row r="90" spans="12:13" ht="12.75" customHeight="1" x14ac:dyDescent="0.2">
      <c r="L90" s="303"/>
      <c r="M90" s="303"/>
    </row>
    <row r="91" spans="12:13" ht="12.75" customHeight="1" x14ac:dyDescent="0.2">
      <c r="L91" s="303"/>
      <c r="M91" s="303"/>
    </row>
    <row r="92" spans="12:13" ht="12.75" customHeight="1" x14ac:dyDescent="0.2">
      <c r="L92" s="303"/>
      <c r="M92" s="303"/>
    </row>
    <row r="93" spans="12:13" ht="12.75" customHeight="1" x14ac:dyDescent="0.2">
      <c r="L93" s="303"/>
      <c r="M93" s="303"/>
    </row>
    <row r="94" spans="12:13" ht="12.75" customHeight="1" x14ac:dyDescent="0.2">
      <c r="L94" s="303"/>
      <c r="M94" s="303"/>
    </row>
    <row r="95" spans="12:13" ht="12.75" customHeight="1" x14ac:dyDescent="0.2">
      <c r="L95" s="303"/>
      <c r="M95" s="303"/>
    </row>
    <row r="96" spans="12:13" ht="12.75" customHeight="1" x14ac:dyDescent="0.2">
      <c r="L96" s="303"/>
      <c r="M96" s="303"/>
    </row>
    <row r="97" spans="12:13" ht="12.75" customHeight="1" x14ac:dyDescent="0.2">
      <c r="L97" s="303"/>
      <c r="M97" s="303"/>
    </row>
    <row r="98" spans="12:13" ht="12.75" customHeight="1" x14ac:dyDescent="0.2">
      <c r="L98" s="303"/>
      <c r="M98" s="303"/>
    </row>
    <row r="99" spans="12:13" ht="12.75" customHeight="1" x14ac:dyDescent="0.2">
      <c r="L99" s="303"/>
      <c r="M99" s="303"/>
    </row>
    <row r="100" spans="12:13" ht="12.75" customHeight="1" x14ac:dyDescent="0.2">
      <c r="L100" s="303"/>
      <c r="M100" s="303"/>
    </row>
    <row r="101" spans="12:13" ht="12.75" customHeight="1" x14ac:dyDescent="0.2">
      <c r="L101" s="303"/>
      <c r="M101" s="303"/>
    </row>
    <row r="102" spans="12:13" ht="12.75" customHeight="1" x14ac:dyDescent="0.2">
      <c r="L102" s="303"/>
      <c r="M102" s="303"/>
    </row>
    <row r="103" spans="12:13" ht="12.75" customHeight="1" x14ac:dyDescent="0.2">
      <c r="L103" s="303"/>
      <c r="M103" s="303"/>
    </row>
    <row r="104" spans="12:13" ht="12.75" customHeight="1" x14ac:dyDescent="0.2">
      <c r="L104" s="303"/>
      <c r="M104" s="303"/>
    </row>
    <row r="105" spans="12:13" ht="12.75" customHeight="1" x14ac:dyDescent="0.2">
      <c r="L105" s="303"/>
      <c r="M105" s="303"/>
    </row>
    <row r="106" spans="12:13" ht="12.75" customHeight="1" x14ac:dyDescent="0.2">
      <c r="L106" s="303"/>
      <c r="M106" s="303"/>
    </row>
    <row r="107" spans="12:13" ht="12.75" customHeight="1" x14ac:dyDescent="0.2">
      <c r="L107" s="303"/>
      <c r="M107" s="303"/>
    </row>
    <row r="108" spans="12:13" ht="12.75" customHeight="1" x14ac:dyDescent="0.2">
      <c r="L108" s="303"/>
      <c r="M108" s="303"/>
    </row>
    <row r="109" spans="12:13" ht="12.75" customHeight="1" x14ac:dyDescent="0.2">
      <c r="L109" s="303"/>
      <c r="M109" s="303"/>
    </row>
    <row r="110" spans="12:13" ht="12.75" customHeight="1" x14ac:dyDescent="0.2">
      <c r="L110" s="303"/>
      <c r="M110" s="303"/>
    </row>
    <row r="111" spans="12:13" ht="12.75" customHeight="1" x14ac:dyDescent="0.2">
      <c r="L111" s="303"/>
      <c r="M111" s="303"/>
    </row>
    <row r="112" spans="12:13" ht="12.75" customHeight="1" x14ac:dyDescent="0.2">
      <c r="L112" s="303"/>
      <c r="M112" s="303"/>
    </row>
    <row r="113" spans="12:13" ht="12.75" customHeight="1" x14ac:dyDescent="0.2">
      <c r="L113" s="303"/>
      <c r="M113" s="303"/>
    </row>
    <row r="114" spans="12:13" ht="12.75" customHeight="1" x14ac:dyDescent="0.2">
      <c r="L114" s="303"/>
      <c r="M114" s="303"/>
    </row>
    <row r="115" spans="12:13" ht="12.75" customHeight="1" x14ac:dyDescent="0.2">
      <c r="L115" s="303"/>
      <c r="M115" s="303"/>
    </row>
    <row r="116" spans="12:13" ht="12.75" customHeight="1" x14ac:dyDescent="0.2">
      <c r="L116" s="303"/>
      <c r="M116" s="303"/>
    </row>
    <row r="117" spans="12:13" ht="12.75" customHeight="1" x14ac:dyDescent="0.2">
      <c r="L117" s="303"/>
      <c r="M117" s="303"/>
    </row>
    <row r="118" spans="12:13" ht="12.75" customHeight="1" x14ac:dyDescent="0.2">
      <c r="L118" s="303"/>
      <c r="M118" s="303"/>
    </row>
    <row r="119" spans="12:13" ht="12.75" customHeight="1" x14ac:dyDescent="0.2">
      <c r="L119" s="303"/>
      <c r="M119" s="303"/>
    </row>
    <row r="120" spans="12:13" ht="12.75" customHeight="1" x14ac:dyDescent="0.2">
      <c r="L120" s="303"/>
      <c r="M120" s="303"/>
    </row>
    <row r="121" spans="12:13" ht="12.75" customHeight="1" x14ac:dyDescent="0.2">
      <c r="L121" s="303"/>
      <c r="M121" s="303"/>
    </row>
    <row r="122" spans="12:13" ht="12.75" customHeight="1" x14ac:dyDescent="0.2">
      <c r="L122" s="303"/>
      <c r="M122" s="303"/>
    </row>
    <row r="123" spans="12:13" ht="12.75" customHeight="1" x14ac:dyDescent="0.2">
      <c r="L123" s="303"/>
      <c r="M123" s="303"/>
    </row>
    <row r="124" spans="12:13" ht="12.75" customHeight="1" x14ac:dyDescent="0.2">
      <c r="L124" s="303"/>
      <c r="M124" s="303"/>
    </row>
    <row r="125" spans="12:13" ht="12.75" customHeight="1" x14ac:dyDescent="0.2">
      <c r="L125" s="303"/>
      <c r="M125" s="303"/>
    </row>
    <row r="126" spans="12:13" ht="12.75" customHeight="1" x14ac:dyDescent="0.2">
      <c r="L126" s="303"/>
      <c r="M126" s="303"/>
    </row>
    <row r="127" spans="12:13" ht="12.75" customHeight="1" x14ac:dyDescent="0.2">
      <c r="L127" s="303"/>
      <c r="M127" s="303"/>
    </row>
    <row r="128" spans="12:13" ht="12.75" customHeight="1" x14ac:dyDescent="0.2">
      <c r="L128" s="303"/>
      <c r="M128" s="303"/>
    </row>
    <row r="129" spans="12:13" ht="12.75" customHeight="1" x14ac:dyDescent="0.2">
      <c r="L129" s="303"/>
      <c r="M129" s="303"/>
    </row>
    <row r="130" spans="12:13" ht="12.75" customHeight="1" x14ac:dyDescent="0.2">
      <c r="L130" s="303"/>
      <c r="M130" s="303"/>
    </row>
    <row r="131" spans="12:13" ht="12.75" customHeight="1" x14ac:dyDescent="0.2">
      <c r="L131" s="303"/>
      <c r="M131" s="303"/>
    </row>
    <row r="132" spans="12:13" ht="12.75" customHeight="1" x14ac:dyDescent="0.2">
      <c r="L132" s="303"/>
      <c r="M132" s="303"/>
    </row>
    <row r="133" spans="12:13" ht="12.75" customHeight="1" x14ac:dyDescent="0.2">
      <c r="L133" s="303"/>
      <c r="M133" s="303"/>
    </row>
    <row r="134" spans="12:13" ht="12.75" customHeight="1" x14ac:dyDescent="0.2">
      <c r="L134" s="303"/>
      <c r="M134" s="303"/>
    </row>
    <row r="135" spans="12:13" ht="12.75" customHeight="1" x14ac:dyDescent="0.2">
      <c r="L135" s="303"/>
      <c r="M135" s="303"/>
    </row>
    <row r="136" spans="12:13" ht="12.75" customHeight="1" x14ac:dyDescent="0.2">
      <c r="L136" s="303"/>
      <c r="M136" s="303"/>
    </row>
    <row r="137" spans="12:13" ht="12.75" customHeight="1" x14ac:dyDescent="0.2">
      <c r="L137" s="303"/>
      <c r="M137" s="303"/>
    </row>
    <row r="138" spans="12:13" ht="12.75" customHeight="1" x14ac:dyDescent="0.2">
      <c r="L138" s="303"/>
      <c r="M138" s="303"/>
    </row>
    <row r="139" spans="12:13" ht="12.75" customHeight="1" x14ac:dyDescent="0.2">
      <c r="L139" s="303"/>
      <c r="M139" s="303"/>
    </row>
    <row r="140" spans="12:13" ht="12.75" customHeight="1" x14ac:dyDescent="0.2">
      <c r="L140" s="303"/>
      <c r="M140" s="303"/>
    </row>
    <row r="141" spans="12:13" ht="12.75" customHeight="1" x14ac:dyDescent="0.2">
      <c r="L141" s="303"/>
      <c r="M141" s="303"/>
    </row>
    <row r="142" spans="12:13" ht="12.75" customHeight="1" x14ac:dyDescent="0.2">
      <c r="L142" s="303"/>
      <c r="M142" s="303"/>
    </row>
    <row r="143" spans="12:13" ht="12.75" customHeight="1" x14ac:dyDescent="0.2">
      <c r="L143" s="303"/>
      <c r="M143" s="303"/>
    </row>
    <row r="144" spans="12:13" ht="12.75" customHeight="1" x14ac:dyDescent="0.2">
      <c r="L144" s="303"/>
      <c r="M144" s="303"/>
    </row>
    <row r="145" spans="12:13" ht="12.75" customHeight="1" x14ac:dyDescent="0.2">
      <c r="L145" s="303"/>
      <c r="M145" s="303"/>
    </row>
    <row r="146" spans="12:13" ht="12.75" customHeight="1" x14ac:dyDescent="0.2">
      <c r="L146" s="303"/>
      <c r="M146" s="303"/>
    </row>
    <row r="147" spans="12:13" ht="12.75" customHeight="1" x14ac:dyDescent="0.2">
      <c r="L147" s="303"/>
      <c r="M147" s="303"/>
    </row>
    <row r="148" spans="12:13" ht="12.75" customHeight="1" x14ac:dyDescent="0.2">
      <c r="L148" s="303"/>
      <c r="M148" s="303"/>
    </row>
    <row r="149" spans="12:13" ht="12.75" customHeight="1" x14ac:dyDescent="0.2">
      <c r="L149" s="303"/>
      <c r="M149" s="303"/>
    </row>
    <row r="150" spans="12:13" ht="12.75" customHeight="1" x14ac:dyDescent="0.2">
      <c r="L150" s="303"/>
      <c r="M150" s="303"/>
    </row>
    <row r="151" spans="12:13" ht="12.75" customHeight="1" x14ac:dyDescent="0.2">
      <c r="L151" s="303"/>
      <c r="M151" s="303"/>
    </row>
    <row r="152" spans="12:13" ht="12.75" customHeight="1" x14ac:dyDescent="0.2">
      <c r="L152" s="303"/>
      <c r="M152" s="303"/>
    </row>
    <row r="153" spans="12:13" ht="12.75" customHeight="1" x14ac:dyDescent="0.2">
      <c r="L153" s="303"/>
      <c r="M153" s="303"/>
    </row>
    <row r="154" spans="12:13" ht="12.75" customHeight="1" x14ac:dyDescent="0.2">
      <c r="L154" s="303"/>
      <c r="M154" s="303"/>
    </row>
    <row r="155" spans="12:13" ht="12.75" customHeight="1" x14ac:dyDescent="0.2">
      <c r="L155" s="303"/>
      <c r="M155" s="303"/>
    </row>
    <row r="156" spans="12:13" ht="12.75" customHeight="1" x14ac:dyDescent="0.2">
      <c r="L156" s="303"/>
      <c r="M156" s="303"/>
    </row>
    <row r="157" spans="12:13" ht="12.75" customHeight="1" x14ac:dyDescent="0.2">
      <c r="L157" s="303"/>
      <c r="M157" s="303"/>
    </row>
    <row r="158" spans="12:13" ht="12.75" customHeight="1" x14ac:dyDescent="0.2">
      <c r="L158" s="303"/>
      <c r="M158" s="303"/>
    </row>
    <row r="159" spans="12:13" ht="12.75" customHeight="1" x14ac:dyDescent="0.2">
      <c r="L159" s="303"/>
      <c r="M159" s="303"/>
    </row>
    <row r="160" spans="12:13" ht="12.75" customHeight="1" x14ac:dyDescent="0.2">
      <c r="L160" s="303"/>
      <c r="M160" s="303"/>
    </row>
    <row r="161" spans="12:13" ht="12.75" customHeight="1" x14ac:dyDescent="0.2">
      <c r="L161" s="303"/>
      <c r="M161" s="303"/>
    </row>
    <row r="162" spans="12:13" ht="12.75" customHeight="1" x14ac:dyDescent="0.2">
      <c r="L162" s="303"/>
      <c r="M162" s="303"/>
    </row>
    <row r="163" spans="12:13" ht="12.75" customHeight="1" x14ac:dyDescent="0.2">
      <c r="L163" s="303"/>
      <c r="M163" s="303"/>
    </row>
    <row r="164" spans="12:13" ht="12.75" customHeight="1" x14ac:dyDescent="0.2">
      <c r="L164" s="303"/>
      <c r="M164" s="303"/>
    </row>
    <row r="165" spans="12:13" ht="12.75" customHeight="1" x14ac:dyDescent="0.2">
      <c r="L165" s="303"/>
      <c r="M165" s="303"/>
    </row>
    <row r="166" spans="12:13" ht="12.75" customHeight="1" x14ac:dyDescent="0.2">
      <c r="L166" s="303"/>
      <c r="M166" s="303"/>
    </row>
    <row r="167" spans="12:13" ht="12.75" customHeight="1" x14ac:dyDescent="0.2">
      <c r="L167" s="303"/>
      <c r="M167" s="303"/>
    </row>
    <row r="168" spans="12:13" ht="12.75" customHeight="1" x14ac:dyDescent="0.2">
      <c r="L168" s="303"/>
      <c r="M168" s="303"/>
    </row>
    <row r="169" spans="12:13" ht="12.75" customHeight="1" x14ac:dyDescent="0.2">
      <c r="L169" s="303"/>
      <c r="M169" s="303"/>
    </row>
    <row r="170" spans="12:13" ht="12.75" customHeight="1" x14ac:dyDescent="0.2">
      <c r="L170" s="303"/>
      <c r="M170" s="303"/>
    </row>
    <row r="171" spans="12:13" ht="12.75" customHeight="1" x14ac:dyDescent="0.2">
      <c r="L171" s="303"/>
      <c r="M171" s="303"/>
    </row>
    <row r="172" spans="12:13" ht="12.75" customHeight="1" x14ac:dyDescent="0.2">
      <c r="L172" s="303"/>
      <c r="M172" s="303"/>
    </row>
    <row r="173" spans="12:13" ht="12.75" customHeight="1" x14ac:dyDescent="0.2">
      <c r="L173" s="303"/>
      <c r="M173" s="303"/>
    </row>
    <row r="174" spans="12:13" ht="12.75" customHeight="1" x14ac:dyDescent="0.2">
      <c r="L174" s="303"/>
      <c r="M174" s="303"/>
    </row>
    <row r="175" spans="12:13" ht="12.75" customHeight="1" x14ac:dyDescent="0.2">
      <c r="L175" s="303"/>
      <c r="M175" s="303"/>
    </row>
    <row r="176" spans="12:13" ht="12.75" customHeight="1" x14ac:dyDescent="0.2">
      <c r="L176" s="303"/>
      <c r="M176" s="303"/>
    </row>
    <row r="177" spans="11:13" ht="12.75" customHeight="1" x14ac:dyDescent="0.2">
      <c r="L177" s="303"/>
      <c r="M177" s="303"/>
    </row>
    <row r="178" spans="11:13" ht="12.75" customHeight="1" x14ac:dyDescent="0.2">
      <c r="L178" s="303"/>
      <c r="M178" s="303"/>
    </row>
    <row r="179" spans="11:13" ht="12.75" customHeight="1" x14ac:dyDescent="0.2">
      <c r="L179" s="303"/>
      <c r="M179" s="303"/>
    </row>
    <row r="180" spans="11:13" ht="12.75" customHeight="1" x14ac:dyDescent="0.2">
      <c r="L180" s="303"/>
      <c r="M180" s="303"/>
    </row>
    <row r="181" spans="11:13" ht="12.75" customHeight="1" x14ac:dyDescent="0.2">
      <c r="L181" s="303"/>
      <c r="M181" s="303"/>
    </row>
    <row r="182" spans="11:13" ht="12.75" customHeight="1" x14ac:dyDescent="0.2">
      <c r="L182" s="303"/>
      <c r="M182" s="303"/>
    </row>
    <row r="183" spans="11:13" ht="12.75" customHeight="1" x14ac:dyDescent="0.2">
      <c r="L183" s="303"/>
      <c r="M183" s="303"/>
    </row>
    <row r="184" spans="11:13" ht="12.75" customHeight="1" x14ac:dyDescent="0.2">
      <c r="K184" s="28"/>
      <c r="L184" s="28"/>
    </row>
    <row r="185" spans="11:13" ht="12.75" customHeight="1" x14ac:dyDescent="0.2">
      <c r="K185" s="28"/>
      <c r="L185" s="28"/>
    </row>
    <row r="186" spans="11:13" ht="12.75" customHeight="1" x14ac:dyDescent="0.2">
      <c r="K186" s="28"/>
      <c r="L186" s="28"/>
    </row>
    <row r="187" spans="11:13" ht="12.75" customHeight="1" x14ac:dyDescent="0.2">
      <c r="K187" s="28"/>
      <c r="L187" s="28"/>
    </row>
    <row r="188" spans="11:13" ht="12.75" customHeight="1" x14ac:dyDescent="0.2">
      <c r="K188" s="28"/>
      <c r="L188" s="28"/>
    </row>
    <row r="189" spans="11:13" ht="12.75" customHeight="1" x14ac:dyDescent="0.2">
      <c r="K189" s="28"/>
      <c r="L189" s="28"/>
    </row>
    <row r="190" spans="11:13" ht="12.75" customHeight="1" x14ac:dyDescent="0.2">
      <c r="K190" s="28"/>
      <c r="L190" s="28"/>
    </row>
    <row r="191" spans="11:13" ht="12.75" customHeight="1" x14ac:dyDescent="0.2">
      <c r="K191" s="28"/>
      <c r="L191" s="28"/>
    </row>
    <row r="192" spans="11:13" ht="12.75" customHeight="1" x14ac:dyDescent="0.2">
      <c r="K192" s="28"/>
      <c r="L192" s="28"/>
    </row>
    <row r="193" spans="11:12" ht="12.75" customHeight="1" x14ac:dyDescent="0.2">
      <c r="K193" s="28"/>
      <c r="L193" s="28"/>
    </row>
    <row r="194" spans="11:12" ht="12.75" customHeight="1" x14ac:dyDescent="0.2">
      <c r="K194" s="28"/>
      <c r="L194" s="28"/>
    </row>
    <row r="195" spans="11:12" ht="12.75" customHeight="1" x14ac:dyDescent="0.2">
      <c r="K195" s="28"/>
      <c r="L195" s="28"/>
    </row>
    <row r="196" spans="11:12" ht="12.75" customHeight="1" x14ac:dyDescent="0.2">
      <c r="K196" s="28"/>
      <c r="L196" s="28"/>
    </row>
    <row r="197" spans="11:12" ht="12.75" customHeight="1" x14ac:dyDescent="0.2">
      <c r="K197" s="28"/>
      <c r="L197" s="28"/>
    </row>
    <row r="198" spans="11:12" ht="12.75" customHeight="1" x14ac:dyDescent="0.2">
      <c r="K198" s="28"/>
      <c r="L198" s="28"/>
    </row>
    <row r="199" spans="11:12" ht="12.75" customHeight="1" x14ac:dyDescent="0.2">
      <c r="K199" s="28"/>
      <c r="L199" s="28"/>
    </row>
    <row r="200" spans="11:12" ht="12.75" customHeight="1" x14ac:dyDescent="0.2">
      <c r="K200" s="28"/>
      <c r="L200" s="28"/>
    </row>
    <row r="201" spans="11:12" ht="12.75" customHeight="1" x14ac:dyDescent="0.2">
      <c r="K201" s="28"/>
      <c r="L201" s="28"/>
    </row>
    <row r="202" spans="11:12" ht="12.75" customHeight="1" x14ac:dyDescent="0.2">
      <c r="K202" s="28"/>
      <c r="L202" s="28"/>
    </row>
    <row r="203" spans="11:12" ht="12.75" customHeight="1" x14ac:dyDescent="0.2">
      <c r="K203" s="28"/>
      <c r="L203" s="28"/>
    </row>
    <row r="204" spans="11:12" ht="12.75" customHeight="1" x14ac:dyDescent="0.2">
      <c r="K204" s="28"/>
      <c r="L204" s="28"/>
    </row>
    <row r="205" spans="11:12" ht="12.75" customHeight="1" x14ac:dyDescent="0.2">
      <c r="K205" s="28"/>
      <c r="L205" s="28"/>
    </row>
    <row r="206" spans="11:12" ht="12.75" customHeight="1" x14ac:dyDescent="0.2">
      <c r="K206" s="28"/>
      <c r="L206" s="28"/>
    </row>
    <row r="207" spans="11:12" ht="12.75" customHeight="1" x14ac:dyDescent="0.2">
      <c r="K207" s="28"/>
      <c r="L207" s="28"/>
    </row>
    <row r="208" spans="11:12" ht="12.75" customHeight="1" x14ac:dyDescent="0.2">
      <c r="K208" s="28"/>
      <c r="L208" s="28"/>
    </row>
    <row r="209" spans="11:12" ht="12.75" customHeight="1" x14ac:dyDescent="0.2">
      <c r="K209" s="28"/>
      <c r="L209" s="28"/>
    </row>
    <row r="210" spans="11:12" ht="12.75" customHeight="1" x14ac:dyDescent="0.2">
      <c r="K210" s="28"/>
      <c r="L210" s="28"/>
    </row>
    <row r="211" spans="11:12" ht="12.75" customHeight="1" x14ac:dyDescent="0.2">
      <c r="K211" s="28"/>
      <c r="L211" s="28"/>
    </row>
    <row r="212" spans="11:12" ht="12.75" customHeight="1" x14ac:dyDescent="0.2">
      <c r="K212" s="28"/>
      <c r="L212" s="28"/>
    </row>
    <row r="213" spans="11:12" ht="12.75" customHeight="1" x14ac:dyDescent="0.2">
      <c r="K213" s="28"/>
      <c r="L213" s="28"/>
    </row>
    <row r="214" spans="11:12" ht="12.75" customHeight="1" x14ac:dyDescent="0.2">
      <c r="K214" s="28"/>
      <c r="L214" s="28"/>
    </row>
    <row r="215" spans="11:12" ht="12.75" customHeight="1" x14ac:dyDescent="0.2">
      <c r="K215" s="28"/>
      <c r="L215" s="28"/>
    </row>
    <row r="216" spans="11:12" ht="12.75" customHeight="1" x14ac:dyDescent="0.2">
      <c r="K216" s="28"/>
      <c r="L216" s="28"/>
    </row>
    <row r="217" spans="11:12" ht="12.75" customHeight="1" x14ac:dyDescent="0.2">
      <c r="K217" s="28"/>
      <c r="L217" s="28"/>
    </row>
    <row r="218" spans="11:12" ht="12.75" customHeight="1" x14ac:dyDescent="0.2">
      <c r="K218" s="28"/>
      <c r="L218" s="28"/>
    </row>
    <row r="219" spans="11:12" ht="12.75" customHeight="1" x14ac:dyDescent="0.2">
      <c r="K219" s="28"/>
      <c r="L219" s="28"/>
    </row>
    <row r="220" spans="11:12" ht="12.75" customHeight="1" x14ac:dyDescent="0.2">
      <c r="K220" s="28"/>
      <c r="L220" s="28"/>
    </row>
    <row r="221" spans="11:12" ht="12.75" customHeight="1" x14ac:dyDescent="0.2">
      <c r="K221" s="28"/>
      <c r="L221" s="28"/>
    </row>
    <row r="222" spans="11:12" ht="12.75" customHeight="1" x14ac:dyDescent="0.2">
      <c r="K222" s="28"/>
      <c r="L222" s="28"/>
    </row>
    <row r="223" spans="11:12" ht="12.75" customHeight="1" x14ac:dyDescent="0.2">
      <c r="K223" s="28"/>
      <c r="L223" s="28"/>
    </row>
    <row r="224" spans="11:12" ht="12.75" customHeight="1" x14ac:dyDescent="0.2">
      <c r="K224" s="28"/>
      <c r="L224" s="28"/>
    </row>
    <row r="225" spans="11:12" ht="12.75" customHeight="1" x14ac:dyDescent="0.2">
      <c r="K225" s="28"/>
      <c r="L225" s="28"/>
    </row>
    <row r="226" spans="11:12" ht="12.75" customHeight="1" x14ac:dyDescent="0.2">
      <c r="K226" s="28"/>
      <c r="L226" s="28"/>
    </row>
    <row r="227" spans="11:12" ht="12.75" customHeight="1" x14ac:dyDescent="0.2">
      <c r="K227" s="28"/>
      <c r="L227" s="28"/>
    </row>
    <row r="228" spans="11:12" ht="12.75" customHeight="1" x14ac:dyDescent="0.2">
      <c r="K228" s="28"/>
      <c r="L228" s="28"/>
    </row>
    <row r="229" spans="11:12" ht="12.75" customHeight="1" x14ac:dyDescent="0.2">
      <c r="K229" s="28"/>
      <c r="L229" s="28"/>
    </row>
    <row r="230" spans="11:12" ht="12.75" customHeight="1" x14ac:dyDescent="0.2">
      <c r="K230" s="28"/>
      <c r="L230" s="28"/>
    </row>
    <row r="231" spans="11:12" ht="12.75" customHeight="1" x14ac:dyDescent="0.2">
      <c r="K231" s="28"/>
      <c r="L231" s="28"/>
    </row>
    <row r="232" spans="11:12" ht="12.75" customHeight="1" x14ac:dyDescent="0.2">
      <c r="K232" s="28"/>
      <c r="L232" s="28"/>
    </row>
    <row r="233" spans="11:12" ht="12.75" customHeight="1" x14ac:dyDescent="0.2">
      <c r="K233" s="28"/>
      <c r="L233" s="28"/>
    </row>
    <row r="234" spans="11:12" ht="12.75" customHeight="1" x14ac:dyDescent="0.2">
      <c r="K234" s="28"/>
      <c r="L234" s="28"/>
    </row>
    <row r="235" spans="11:12" ht="12.75" customHeight="1" x14ac:dyDescent="0.2">
      <c r="K235" s="28"/>
      <c r="L235" s="28"/>
    </row>
    <row r="236" spans="11:12" ht="12.75" customHeight="1" x14ac:dyDescent="0.2">
      <c r="K236" s="28"/>
      <c r="L236" s="28"/>
    </row>
    <row r="237" spans="11:12" ht="12.75" customHeight="1" x14ac:dyDescent="0.2">
      <c r="K237" s="28"/>
      <c r="L237" s="28"/>
    </row>
    <row r="238" spans="11:12" ht="12.75" customHeight="1" x14ac:dyDescent="0.2">
      <c r="K238" s="28"/>
      <c r="L238" s="28"/>
    </row>
    <row r="239" spans="11:12" ht="12.75" customHeight="1" x14ac:dyDescent="0.2">
      <c r="K239" s="28"/>
      <c r="L239" s="28"/>
    </row>
    <row r="240" spans="11:12" ht="12.75" customHeight="1" x14ac:dyDescent="0.2">
      <c r="K240" s="28"/>
      <c r="L240" s="28"/>
    </row>
    <row r="241" spans="11:12" ht="12.75" customHeight="1" x14ac:dyDescent="0.2">
      <c r="K241" s="28"/>
      <c r="L241" s="28"/>
    </row>
    <row r="242" spans="11:12" ht="12.75" customHeight="1" x14ac:dyDescent="0.2">
      <c r="K242" s="28"/>
      <c r="L242" s="28"/>
    </row>
    <row r="243" spans="11:12" ht="12.75" customHeight="1" x14ac:dyDescent="0.2">
      <c r="K243" s="28"/>
      <c r="L243" s="28"/>
    </row>
    <row r="244" spans="11:12" ht="12.75" customHeight="1" x14ac:dyDescent="0.2">
      <c r="K244" s="28"/>
      <c r="L244" s="28"/>
    </row>
    <row r="245" spans="11:12" ht="12.75" customHeight="1" x14ac:dyDescent="0.2">
      <c r="K245" s="28"/>
      <c r="L245" s="28"/>
    </row>
    <row r="246" spans="11:12" ht="12.75" customHeight="1" x14ac:dyDescent="0.2">
      <c r="K246" s="28"/>
      <c r="L246" s="28"/>
    </row>
    <row r="247" spans="11:12" ht="12.75" customHeight="1" x14ac:dyDescent="0.2">
      <c r="K247" s="28"/>
      <c r="L247" s="28"/>
    </row>
    <row r="248" spans="11:12" ht="12.75" customHeight="1" x14ac:dyDescent="0.2">
      <c r="K248" s="28"/>
      <c r="L248" s="28"/>
    </row>
    <row r="249" spans="11:12" ht="12.75" customHeight="1" x14ac:dyDescent="0.2">
      <c r="K249" s="28"/>
      <c r="L249" s="28"/>
    </row>
    <row r="250" spans="11:12" ht="12.75" customHeight="1" x14ac:dyDescent="0.2">
      <c r="K250" s="28"/>
      <c r="L250" s="28"/>
    </row>
    <row r="251" spans="11:12" ht="12.75" customHeight="1" x14ac:dyDescent="0.2">
      <c r="K251" s="28"/>
      <c r="L251" s="28"/>
    </row>
    <row r="252" spans="11:12" ht="12.75" customHeight="1" x14ac:dyDescent="0.2">
      <c r="K252" s="28"/>
      <c r="L252" s="28"/>
    </row>
    <row r="253" spans="11:12" ht="12.75" customHeight="1" x14ac:dyDescent="0.2">
      <c r="K253" s="28"/>
      <c r="L253" s="28"/>
    </row>
    <row r="254" spans="11:12" ht="12.75" customHeight="1" x14ac:dyDescent="0.2">
      <c r="K254" s="28"/>
      <c r="L254" s="28"/>
    </row>
    <row r="255" spans="11:12" ht="12.75" customHeight="1" x14ac:dyDescent="0.2">
      <c r="K255" s="28"/>
      <c r="L255" s="28"/>
    </row>
    <row r="256" spans="11:12" ht="12.75" customHeight="1" x14ac:dyDescent="0.2">
      <c r="K256" s="28"/>
      <c r="L256" s="28"/>
    </row>
    <row r="257" spans="11:12" ht="12.75" customHeight="1" x14ac:dyDescent="0.2">
      <c r="K257" s="28"/>
      <c r="L257" s="28"/>
    </row>
    <row r="258" spans="11:12" ht="12.75" customHeight="1" x14ac:dyDescent="0.2">
      <c r="K258" s="28"/>
      <c r="L258" s="28"/>
    </row>
    <row r="259" spans="11:12" ht="12.75" customHeight="1" x14ac:dyDescent="0.2">
      <c r="K259" s="28"/>
      <c r="L259" s="28"/>
    </row>
    <row r="260" spans="11:12" ht="12.75" customHeight="1" x14ac:dyDescent="0.2">
      <c r="K260" s="28"/>
      <c r="L260" s="28"/>
    </row>
    <row r="261" spans="11:12" ht="12.75" customHeight="1" x14ac:dyDescent="0.2">
      <c r="K261" s="28"/>
      <c r="L261" s="28"/>
    </row>
    <row r="262" spans="11:12" ht="12.75" customHeight="1" x14ac:dyDescent="0.2">
      <c r="K262" s="28"/>
      <c r="L262" s="28"/>
    </row>
    <row r="263" spans="11:12" ht="12.75" customHeight="1" x14ac:dyDescent="0.2">
      <c r="K263" s="28"/>
      <c r="L263" s="28"/>
    </row>
    <row r="264" spans="11:12" ht="12.75" customHeight="1" x14ac:dyDescent="0.2">
      <c r="K264" s="28"/>
      <c r="L264" s="28"/>
    </row>
    <row r="265" spans="11:12" ht="12.75" customHeight="1" x14ac:dyDescent="0.2">
      <c r="K265" s="28"/>
      <c r="L265" s="28"/>
    </row>
    <row r="266" spans="11:12" ht="12.75" customHeight="1" x14ac:dyDescent="0.2">
      <c r="K266" s="28"/>
      <c r="L266" s="28"/>
    </row>
    <row r="267" spans="11:12" ht="12.75" customHeight="1" x14ac:dyDescent="0.2">
      <c r="K267" s="28"/>
      <c r="L267" s="28"/>
    </row>
    <row r="268" spans="11:12" ht="12.75" customHeight="1" x14ac:dyDescent="0.2">
      <c r="K268" s="28"/>
      <c r="L268" s="28"/>
    </row>
    <row r="269" spans="11:12" ht="12.75" customHeight="1" x14ac:dyDescent="0.2">
      <c r="K269" s="28"/>
      <c r="L269" s="28"/>
    </row>
    <row r="270" spans="11:12" ht="12.75" customHeight="1" x14ac:dyDescent="0.2">
      <c r="K270" s="28"/>
      <c r="L270" s="28"/>
    </row>
    <row r="271" spans="11:12" ht="12.75" customHeight="1" x14ac:dyDescent="0.2">
      <c r="K271" s="28"/>
      <c r="L271" s="28"/>
    </row>
    <row r="272" spans="11:12" ht="12.75" customHeight="1" x14ac:dyDescent="0.2">
      <c r="K272" s="28"/>
      <c r="L272" s="28"/>
    </row>
    <row r="273" spans="11:12" ht="12.75" customHeight="1" x14ac:dyDescent="0.2">
      <c r="K273" s="28"/>
      <c r="L273" s="28"/>
    </row>
    <row r="274" spans="11:12" ht="12.75" customHeight="1" x14ac:dyDescent="0.2">
      <c r="K274" s="28"/>
      <c r="L274" s="28"/>
    </row>
    <row r="275" spans="11:12" ht="12.75" customHeight="1" x14ac:dyDescent="0.2">
      <c r="K275" s="28"/>
      <c r="L275" s="28"/>
    </row>
    <row r="276" spans="11:12" ht="12.75" customHeight="1" x14ac:dyDescent="0.2">
      <c r="K276" s="28"/>
      <c r="L276" s="28"/>
    </row>
    <row r="277" spans="11:12" ht="12.75" customHeight="1" x14ac:dyDescent="0.2">
      <c r="K277" s="28"/>
      <c r="L277" s="28"/>
    </row>
    <row r="278" spans="11:12" ht="12.75" customHeight="1" x14ac:dyDescent="0.2">
      <c r="K278" s="28"/>
      <c r="L278" s="28"/>
    </row>
    <row r="279" spans="11:12" ht="12.75" customHeight="1" x14ac:dyDescent="0.2">
      <c r="K279" s="28"/>
      <c r="L279" s="28"/>
    </row>
    <row r="280" spans="11:12" ht="12.75" customHeight="1" x14ac:dyDescent="0.2">
      <c r="K280" s="28"/>
      <c r="L280" s="28"/>
    </row>
    <row r="281" spans="11:12" ht="12.75" customHeight="1" x14ac:dyDescent="0.2">
      <c r="K281" s="28"/>
      <c r="L281" s="28"/>
    </row>
    <row r="282" spans="11:12" ht="12.75" customHeight="1" x14ac:dyDescent="0.2">
      <c r="K282" s="28"/>
      <c r="L282" s="28"/>
    </row>
    <row r="283" spans="11:12" ht="12.75" customHeight="1" x14ac:dyDescent="0.2">
      <c r="K283" s="28"/>
      <c r="L283" s="28"/>
    </row>
    <row r="284" spans="11:12" ht="12.75" customHeight="1" x14ac:dyDescent="0.2">
      <c r="K284" s="28"/>
      <c r="L284" s="28"/>
    </row>
    <row r="285" spans="11:12" ht="12.75" customHeight="1" x14ac:dyDescent="0.2">
      <c r="K285" s="28"/>
      <c r="L285" s="28"/>
    </row>
    <row r="286" spans="11:12" ht="12.75" customHeight="1" x14ac:dyDescent="0.2">
      <c r="K286" s="28"/>
      <c r="L286" s="28"/>
    </row>
    <row r="287" spans="11:12" ht="12.75" customHeight="1" x14ac:dyDescent="0.2">
      <c r="K287" s="28"/>
      <c r="L287" s="28"/>
    </row>
    <row r="288" spans="11:12" ht="12.75" customHeight="1" x14ac:dyDescent="0.2">
      <c r="K288" s="28"/>
      <c r="L288" s="28"/>
    </row>
    <row r="289" spans="11:12" ht="12.75" customHeight="1" x14ac:dyDescent="0.2">
      <c r="K289" s="28"/>
      <c r="L289" s="28"/>
    </row>
    <row r="290" spans="11:12" ht="12.75" customHeight="1" x14ac:dyDescent="0.2">
      <c r="K290" s="28"/>
      <c r="L290" s="28"/>
    </row>
    <row r="291" spans="11:12" ht="12.75" customHeight="1" x14ac:dyDescent="0.2">
      <c r="K291" s="28"/>
      <c r="L291" s="28"/>
    </row>
    <row r="292" spans="11:12" ht="12.75" customHeight="1" x14ac:dyDescent="0.2">
      <c r="K292" s="28"/>
      <c r="L292" s="28"/>
    </row>
    <row r="293" spans="11:12" ht="12.75" customHeight="1" x14ac:dyDescent="0.2">
      <c r="K293" s="28"/>
      <c r="L293" s="28"/>
    </row>
    <row r="294" spans="11:12" ht="12.75" customHeight="1" x14ac:dyDescent="0.2">
      <c r="K294" s="28"/>
      <c r="L294" s="28"/>
    </row>
    <row r="295" spans="11:12" ht="12.75" customHeight="1" x14ac:dyDescent="0.2">
      <c r="K295" s="28"/>
      <c r="L295" s="28"/>
    </row>
    <row r="296" spans="11:12" ht="12.75" customHeight="1" x14ac:dyDescent="0.2">
      <c r="K296" s="28"/>
      <c r="L296" s="28"/>
    </row>
    <row r="297" spans="11:12" ht="12.75" customHeight="1" x14ac:dyDescent="0.2">
      <c r="K297" s="28"/>
      <c r="L297" s="28"/>
    </row>
    <row r="298" spans="11:12" ht="12.75" customHeight="1" x14ac:dyDescent="0.2">
      <c r="K298" s="28"/>
      <c r="L298" s="28"/>
    </row>
    <row r="299" spans="11:12" ht="12.75" customHeight="1" x14ac:dyDescent="0.2">
      <c r="K299" s="28"/>
      <c r="L299" s="28"/>
    </row>
    <row r="300" spans="11:12" ht="12.75" customHeight="1" x14ac:dyDescent="0.2">
      <c r="K300" s="28"/>
      <c r="L300" s="28"/>
    </row>
    <row r="301" spans="11:12" ht="12.75" customHeight="1" x14ac:dyDescent="0.2">
      <c r="K301" s="28"/>
      <c r="L301" s="28"/>
    </row>
    <row r="302" spans="11:12" ht="12.75" customHeight="1" x14ac:dyDescent="0.2">
      <c r="K302" s="28"/>
      <c r="L302" s="28"/>
    </row>
    <row r="303" spans="11:12" ht="12.75" customHeight="1" x14ac:dyDescent="0.2">
      <c r="K303" s="28"/>
      <c r="L303" s="28"/>
    </row>
    <row r="304" spans="11:12" ht="12.75" customHeight="1" x14ac:dyDescent="0.2">
      <c r="K304" s="28"/>
      <c r="L304" s="28"/>
    </row>
    <row r="305" spans="11:12" ht="12.75" customHeight="1" x14ac:dyDescent="0.2">
      <c r="K305" s="28"/>
      <c r="L305" s="28"/>
    </row>
    <row r="306" spans="11:12" ht="12.75" customHeight="1" x14ac:dyDescent="0.2">
      <c r="K306" s="28"/>
      <c r="L306" s="28"/>
    </row>
    <row r="307" spans="11:12" ht="12.75" customHeight="1" x14ac:dyDescent="0.2">
      <c r="K307" s="28"/>
      <c r="L307" s="28"/>
    </row>
    <row r="308" spans="11:12" ht="12.75" customHeight="1" x14ac:dyDescent="0.2">
      <c r="K308" s="28"/>
      <c r="L308" s="28"/>
    </row>
    <row r="309" spans="11:12" ht="12.75" customHeight="1" x14ac:dyDescent="0.2">
      <c r="K309" s="28"/>
      <c r="L309" s="28"/>
    </row>
    <row r="310" spans="11:12" ht="12.75" customHeight="1" x14ac:dyDescent="0.2">
      <c r="K310" s="28"/>
      <c r="L310" s="28"/>
    </row>
    <row r="311" spans="11:12" ht="12.75" customHeight="1" x14ac:dyDescent="0.2">
      <c r="K311" s="28"/>
      <c r="L311" s="28"/>
    </row>
    <row r="312" spans="11:12" ht="12.75" customHeight="1" x14ac:dyDescent="0.2">
      <c r="K312" s="28"/>
      <c r="L312" s="28"/>
    </row>
    <row r="313" spans="11:12" ht="12.75" customHeight="1" x14ac:dyDescent="0.2">
      <c r="K313" s="28"/>
      <c r="L313" s="28"/>
    </row>
    <row r="314" spans="11:12" ht="12.75" customHeight="1" x14ac:dyDescent="0.2">
      <c r="K314" s="28"/>
      <c r="L314" s="28"/>
    </row>
    <row r="315" spans="11:12" ht="12.75" customHeight="1" x14ac:dyDescent="0.2">
      <c r="K315" s="28"/>
      <c r="L315" s="28"/>
    </row>
    <row r="316" spans="11:12" ht="12.75" customHeight="1" x14ac:dyDescent="0.2">
      <c r="K316" s="28"/>
      <c r="L316" s="28"/>
    </row>
    <row r="317" spans="11:12" ht="12.75" customHeight="1" x14ac:dyDescent="0.2">
      <c r="K317" s="28"/>
      <c r="L317" s="28"/>
    </row>
    <row r="318" spans="11:12" ht="12.75" customHeight="1" x14ac:dyDescent="0.2">
      <c r="K318" s="28"/>
      <c r="L318" s="28"/>
    </row>
    <row r="319" spans="11:12" ht="12.75" customHeight="1" x14ac:dyDescent="0.2">
      <c r="K319" s="28"/>
      <c r="L319" s="28"/>
    </row>
    <row r="320" spans="11:12" ht="12.75" customHeight="1" x14ac:dyDescent="0.2">
      <c r="K320" s="28"/>
      <c r="L320" s="28"/>
    </row>
    <row r="321" spans="11:12" ht="12.75" customHeight="1" x14ac:dyDescent="0.2">
      <c r="K321" s="28"/>
      <c r="L321" s="28"/>
    </row>
    <row r="322" spans="11:12" ht="12.75" customHeight="1" x14ac:dyDescent="0.2">
      <c r="K322" s="28"/>
      <c r="L322" s="28"/>
    </row>
    <row r="323" spans="11:12" ht="12.75" customHeight="1" x14ac:dyDescent="0.2">
      <c r="K323" s="28"/>
      <c r="L323" s="28"/>
    </row>
    <row r="324" spans="11:12" ht="12.75" customHeight="1" x14ac:dyDescent="0.2">
      <c r="K324" s="28"/>
      <c r="L324" s="28"/>
    </row>
    <row r="325" spans="11:12" ht="12.75" customHeight="1" x14ac:dyDescent="0.2">
      <c r="K325" s="28"/>
      <c r="L325" s="28"/>
    </row>
    <row r="326" spans="11:12" ht="12.75" customHeight="1" x14ac:dyDescent="0.2">
      <c r="K326" s="28"/>
      <c r="L326" s="28"/>
    </row>
    <row r="327" spans="11:12" ht="12.75" customHeight="1" x14ac:dyDescent="0.2">
      <c r="K327" s="28"/>
      <c r="L327" s="28"/>
    </row>
    <row r="328" spans="11:12" ht="12.75" customHeight="1" x14ac:dyDescent="0.2">
      <c r="K328" s="28"/>
      <c r="L328" s="28"/>
    </row>
    <row r="329" spans="11:12" ht="12.75" customHeight="1" x14ac:dyDescent="0.2">
      <c r="K329" s="28"/>
      <c r="L329" s="28"/>
    </row>
    <row r="330" spans="11:12" ht="12.75" customHeight="1" x14ac:dyDescent="0.2">
      <c r="K330" s="28"/>
      <c r="L330" s="28"/>
    </row>
    <row r="331" spans="11:12" ht="12.75" customHeight="1" x14ac:dyDescent="0.2">
      <c r="K331" s="28"/>
      <c r="L331" s="28"/>
    </row>
    <row r="332" spans="11:12" ht="12.75" customHeight="1" x14ac:dyDescent="0.2">
      <c r="K332" s="28"/>
      <c r="L332" s="28"/>
    </row>
    <row r="333" spans="11:12" ht="12.75" customHeight="1" x14ac:dyDescent="0.2">
      <c r="K333" s="28"/>
      <c r="L333" s="28"/>
    </row>
    <row r="334" spans="11:12" ht="12.75" customHeight="1" x14ac:dyDescent="0.2">
      <c r="K334" s="28"/>
      <c r="L334" s="28"/>
    </row>
    <row r="335" spans="11:12" ht="12.75" customHeight="1" x14ac:dyDescent="0.2">
      <c r="K335" s="28"/>
      <c r="L335" s="28"/>
    </row>
    <row r="336" spans="11:12" ht="12.75" customHeight="1" x14ac:dyDescent="0.2">
      <c r="K336" s="28"/>
      <c r="L336" s="28"/>
    </row>
    <row r="337" spans="11:12" ht="12.75" customHeight="1" x14ac:dyDescent="0.2">
      <c r="K337" s="28"/>
      <c r="L337" s="28"/>
    </row>
    <row r="338" spans="11:12" ht="12.75" customHeight="1" x14ac:dyDescent="0.2">
      <c r="K338" s="28"/>
      <c r="L338" s="28"/>
    </row>
    <row r="339" spans="11:12" ht="12.75" customHeight="1" x14ac:dyDescent="0.2">
      <c r="K339" s="28"/>
      <c r="L339" s="28"/>
    </row>
    <row r="340" spans="11:12" ht="12.75" customHeight="1" x14ac:dyDescent="0.2">
      <c r="K340" s="28"/>
      <c r="L340" s="28"/>
    </row>
    <row r="341" spans="11:12" ht="12.75" customHeight="1" x14ac:dyDescent="0.2">
      <c r="K341" s="28"/>
      <c r="L341" s="28"/>
    </row>
    <row r="342" spans="11:12" ht="12.75" customHeight="1" x14ac:dyDescent="0.2">
      <c r="K342" s="28"/>
      <c r="L342" s="28"/>
    </row>
    <row r="343" spans="11:12" ht="12.75" customHeight="1" x14ac:dyDescent="0.2">
      <c r="K343" s="28"/>
      <c r="L343" s="28"/>
    </row>
    <row r="344" spans="11:12" ht="12.75" customHeight="1" x14ac:dyDescent="0.2">
      <c r="K344" s="28"/>
      <c r="L344" s="28"/>
    </row>
    <row r="345" spans="11:12" ht="12.75" customHeight="1" x14ac:dyDescent="0.2">
      <c r="K345" s="28"/>
      <c r="L345" s="28"/>
    </row>
    <row r="346" spans="11:12" ht="12.75" customHeight="1" x14ac:dyDescent="0.2">
      <c r="K346" s="28"/>
      <c r="L346" s="28"/>
    </row>
    <row r="347" spans="11:12" ht="12.75" customHeight="1" x14ac:dyDescent="0.2">
      <c r="K347" s="28"/>
      <c r="L347" s="28"/>
    </row>
    <row r="348" spans="11:12" ht="12.75" customHeight="1" x14ac:dyDescent="0.2">
      <c r="K348" s="28"/>
      <c r="L348" s="28"/>
    </row>
    <row r="349" spans="11:12" ht="12.75" customHeight="1" x14ac:dyDescent="0.2">
      <c r="K349" s="28"/>
      <c r="L349" s="28"/>
    </row>
    <row r="350" spans="11:12" ht="12.75" customHeight="1" x14ac:dyDescent="0.2">
      <c r="K350" s="28"/>
      <c r="L350" s="28"/>
    </row>
    <row r="351" spans="11:12" ht="12.75" customHeight="1" x14ac:dyDescent="0.2">
      <c r="K351" s="28"/>
      <c r="L351" s="28"/>
    </row>
    <row r="352" spans="11:12" ht="12.75" customHeight="1" x14ac:dyDescent="0.2">
      <c r="K352" s="28"/>
      <c r="L352" s="28"/>
    </row>
    <row r="353" spans="11:12" ht="12.75" customHeight="1" x14ac:dyDescent="0.2">
      <c r="K353" s="28"/>
      <c r="L353" s="28"/>
    </row>
    <row r="354" spans="11:12" ht="12.75" customHeight="1" x14ac:dyDescent="0.2">
      <c r="K354" s="28"/>
      <c r="L354" s="28"/>
    </row>
    <row r="355" spans="11:12" ht="12.75" customHeight="1" x14ac:dyDescent="0.2">
      <c r="K355" s="28"/>
      <c r="L355" s="28"/>
    </row>
    <row r="356" spans="11:12" ht="12.75" customHeight="1" x14ac:dyDescent="0.2">
      <c r="K356" s="28"/>
      <c r="L356" s="28"/>
    </row>
    <row r="357" spans="11:12" ht="12.75" customHeight="1" x14ac:dyDescent="0.2">
      <c r="K357" s="28"/>
      <c r="L357" s="28"/>
    </row>
    <row r="358" spans="11:12" ht="12.75" customHeight="1" x14ac:dyDescent="0.2">
      <c r="K358" s="28"/>
      <c r="L358" s="28"/>
    </row>
    <row r="359" spans="11:12" ht="12.75" customHeight="1" x14ac:dyDescent="0.2">
      <c r="K359" s="28"/>
      <c r="L359" s="28"/>
    </row>
    <row r="360" spans="11:12" ht="12.75" customHeight="1" x14ac:dyDescent="0.2">
      <c r="K360" s="28"/>
      <c r="L360" s="28"/>
    </row>
    <row r="361" spans="11:12" ht="12.75" customHeight="1" x14ac:dyDescent="0.2">
      <c r="K361" s="28"/>
      <c r="L361" s="28"/>
    </row>
    <row r="362" spans="11:12" ht="12.75" customHeight="1" x14ac:dyDescent="0.2">
      <c r="K362" s="28"/>
      <c r="L362" s="28"/>
    </row>
    <row r="363" spans="11:12" ht="12.75" customHeight="1" x14ac:dyDescent="0.2">
      <c r="K363" s="28"/>
      <c r="L363" s="28"/>
    </row>
    <row r="364" spans="11:12" ht="12.75" customHeight="1" x14ac:dyDescent="0.2">
      <c r="K364" s="28"/>
      <c r="L364" s="28"/>
    </row>
    <row r="365" spans="11:12" ht="12.75" customHeight="1" x14ac:dyDescent="0.2">
      <c r="K365" s="28"/>
      <c r="L365" s="28"/>
    </row>
    <row r="366" spans="11:12" ht="12.75" customHeight="1" x14ac:dyDescent="0.2">
      <c r="K366" s="28"/>
      <c r="L366" s="28"/>
    </row>
    <row r="367" spans="11:12" ht="12.75" customHeight="1" x14ac:dyDescent="0.2">
      <c r="K367" s="28"/>
      <c r="L367" s="28"/>
    </row>
    <row r="368" spans="11:12" ht="12.75" customHeight="1" x14ac:dyDescent="0.2">
      <c r="K368" s="28"/>
      <c r="L368" s="28"/>
    </row>
    <row r="369" spans="11:12" ht="12.75" customHeight="1" x14ac:dyDescent="0.2">
      <c r="K369" s="28"/>
      <c r="L369" s="28"/>
    </row>
    <row r="370" spans="11:12" ht="12.75" customHeight="1" x14ac:dyDescent="0.2">
      <c r="K370" s="28"/>
      <c r="L370" s="28"/>
    </row>
    <row r="371" spans="11:12" ht="12.75" customHeight="1" x14ac:dyDescent="0.2">
      <c r="K371" s="28"/>
      <c r="L371" s="28"/>
    </row>
    <row r="372" spans="11:12" ht="12.75" customHeight="1" x14ac:dyDescent="0.2">
      <c r="K372" s="28"/>
      <c r="L372" s="28"/>
    </row>
    <row r="373" spans="11:12" ht="12.75" customHeight="1" x14ac:dyDescent="0.2">
      <c r="K373" s="28"/>
      <c r="L373" s="28"/>
    </row>
    <row r="374" spans="11:12" ht="12.75" customHeight="1" x14ac:dyDescent="0.2">
      <c r="K374" s="28"/>
      <c r="L374" s="28"/>
    </row>
    <row r="375" spans="11:12" ht="12.75" customHeight="1" x14ac:dyDescent="0.2">
      <c r="K375" s="28"/>
      <c r="L375" s="28"/>
    </row>
    <row r="376" spans="11:12" ht="12.75" customHeight="1" x14ac:dyDescent="0.2">
      <c r="K376" s="28"/>
      <c r="L376" s="28"/>
    </row>
    <row r="377" spans="11:12" ht="12.75" customHeight="1" x14ac:dyDescent="0.2">
      <c r="K377" s="28"/>
      <c r="L377" s="28"/>
    </row>
    <row r="378" spans="11:12" ht="12.75" customHeight="1" x14ac:dyDescent="0.2">
      <c r="K378" s="28"/>
      <c r="L378" s="28"/>
    </row>
    <row r="379" spans="11:12" ht="12.75" customHeight="1" x14ac:dyDescent="0.2">
      <c r="K379" s="28"/>
      <c r="L379" s="28"/>
    </row>
    <row r="380" spans="11:12" ht="12.75" customHeight="1" x14ac:dyDescent="0.2">
      <c r="K380" s="28"/>
      <c r="L380" s="28"/>
    </row>
    <row r="381" spans="11:12" ht="12.75" customHeight="1" x14ac:dyDescent="0.2">
      <c r="K381" s="28"/>
      <c r="L381" s="28"/>
    </row>
    <row r="382" spans="11:12" ht="12.75" customHeight="1" x14ac:dyDescent="0.2">
      <c r="K382" s="28"/>
      <c r="L382" s="28"/>
    </row>
    <row r="383" spans="11:12" ht="12.75" customHeight="1" x14ac:dyDescent="0.2">
      <c r="K383" s="28"/>
      <c r="L383" s="28"/>
    </row>
    <row r="384" spans="11:12" ht="12.75" customHeight="1" x14ac:dyDescent="0.2">
      <c r="K384" s="28"/>
      <c r="L384" s="28"/>
    </row>
    <row r="385" spans="11:12" ht="12.75" customHeight="1" x14ac:dyDescent="0.2">
      <c r="K385" s="28"/>
      <c r="L385" s="28"/>
    </row>
    <row r="386" spans="11:12" ht="12.75" customHeight="1" x14ac:dyDescent="0.2">
      <c r="K386" s="28"/>
      <c r="L386" s="28"/>
    </row>
    <row r="387" spans="11:12" ht="12.75" customHeight="1" x14ac:dyDescent="0.2">
      <c r="K387" s="28"/>
      <c r="L387" s="28"/>
    </row>
    <row r="388" spans="11:12" ht="12.75" customHeight="1" x14ac:dyDescent="0.2">
      <c r="K388" s="28"/>
      <c r="L388" s="28"/>
    </row>
    <row r="389" spans="11:12" ht="12.75" customHeight="1" x14ac:dyDescent="0.2">
      <c r="K389" s="28"/>
      <c r="L389" s="28"/>
    </row>
    <row r="390" spans="11:12" ht="12.75" customHeight="1" x14ac:dyDescent="0.2">
      <c r="K390" s="28"/>
      <c r="L390" s="28"/>
    </row>
    <row r="391" spans="11:12" ht="12.75" customHeight="1" x14ac:dyDescent="0.2">
      <c r="K391" s="28"/>
      <c r="L391" s="28"/>
    </row>
    <row r="392" spans="11:12" ht="12.75" customHeight="1" x14ac:dyDescent="0.2">
      <c r="K392" s="28"/>
      <c r="L392" s="28"/>
    </row>
    <row r="393" spans="11:12" ht="12.75" customHeight="1" x14ac:dyDescent="0.2">
      <c r="K393" s="28"/>
      <c r="L393" s="28"/>
    </row>
    <row r="394" spans="11:12" ht="12.75" customHeight="1" x14ac:dyDescent="0.2">
      <c r="K394" s="28"/>
      <c r="L394" s="28"/>
    </row>
    <row r="395" spans="11:12" ht="12.75" customHeight="1" x14ac:dyDescent="0.2">
      <c r="K395" s="28"/>
      <c r="L395" s="28"/>
    </row>
    <row r="396" spans="11:12" ht="12.75" customHeight="1" x14ac:dyDescent="0.2">
      <c r="K396" s="28"/>
      <c r="L396" s="28"/>
    </row>
    <row r="397" spans="11:12" ht="12.75" customHeight="1" x14ac:dyDescent="0.2">
      <c r="K397" s="28"/>
      <c r="L397" s="28"/>
    </row>
    <row r="398" spans="11:12" ht="12.75" customHeight="1" x14ac:dyDescent="0.2">
      <c r="K398" s="28"/>
      <c r="L398" s="28"/>
    </row>
    <row r="399" spans="11:12" ht="12.75" customHeight="1" x14ac:dyDescent="0.2">
      <c r="K399" s="28"/>
      <c r="L399" s="28"/>
    </row>
    <row r="400" spans="11:12" ht="12.75" customHeight="1" x14ac:dyDescent="0.2">
      <c r="K400" s="28"/>
      <c r="L400" s="28"/>
    </row>
    <row r="401" spans="11:12" ht="12.75" customHeight="1" x14ac:dyDescent="0.2">
      <c r="K401" s="28"/>
      <c r="L401" s="28"/>
    </row>
    <row r="402" spans="11:12" ht="12.75" customHeight="1" x14ac:dyDescent="0.2">
      <c r="K402" s="28"/>
      <c r="L402" s="28"/>
    </row>
    <row r="403" spans="11:12" ht="12.75" customHeight="1" x14ac:dyDescent="0.2">
      <c r="K403" s="28"/>
      <c r="L403" s="28"/>
    </row>
    <row r="404" spans="11:12" ht="12.75" customHeight="1" x14ac:dyDescent="0.2">
      <c r="K404" s="28"/>
      <c r="L404" s="28"/>
    </row>
    <row r="405" spans="11:12" ht="12.75" customHeight="1" x14ac:dyDescent="0.2">
      <c r="K405" s="28"/>
      <c r="L405" s="28"/>
    </row>
    <row r="406" spans="11:12" ht="12.75" customHeight="1" x14ac:dyDescent="0.2">
      <c r="K406" s="28"/>
      <c r="L406" s="28"/>
    </row>
    <row r="407" spans="11:12" ht="12.75" customHeight="1" x14ac:dyDescent="0.2">
      <c r="K407" s="28"/>
      <c r="L407" s="28"/>
    </row>
    <row r="408" spans="11:12" ht="12.75" customHeight="1" x14ac:dyDescent="0.2">
      <c r="K408" s="28"/>
      <c r="L408" s="28"/>
    </row>
    <row r="409" spans="11:12" ht="12.75" customHeight="1" x14ac:dyDescent="0.2">
      <c r="K409" s="28"/>
      <c r="L409" s="28"/>
    </row>
    <row r="410" spans="11:12" ht="12.75" customHeight="1" x14ac:dyDescent="0.2">
      <c r="K410" s="28"/>
      <c r="L410" s="28"/>
    </row>
    <row r="411" spans="11:12" ht="12.75" customHeight="1" x14ac:dyDescent="0.2">
      <c r="K411" s="28"/>
      <c r="L411" s="28"/>
    </row>
    <row r="412" spans="11:12" ht="12.75" customHeight="1" x14ac:dyDescent="0.2">
      <c r="K412" s="28"/>
      <c r="L412" s="28"/>
    </row>
    <row r="413" spans="11:12" ht="12.75" customHeight="1" x14ac:dyDescent="0.2">
      <c r="K413" s="28"/>
      <c r="L413" s="28"/>
    </row>
    <row r="414" spans="11:12" ht="12.75" customHeight="1" x14ac:dyDescent="0.2">
      <c r="K414" s="28"/>
      <c r="L414" s="28"/>
    </row>
    <row r="415" spans="11:12" ht="12.75" customHeight="1" x14ac:dyDescent="0.2">
      <c r="K415" s="28"/>
      <c r="L415" s="28"/>
    </row>
    <row r="416" spans="11:12" ht="12.75" customHeight="1" x14ac:dyDescent="0.2">
      <c r="K416" s="28"/>
      <c r="L416" s="28"/>
    </row>
    <row r="417" spans="11:12" ht="12.75" customHeight="1" x14ac:dyDescent="0.2">
      <c r="K417" s="28"/>
      <c r="L417" s="28"/>
    </row>
    <row r="418" spans="11:12" ht="12.75" customHeight="1" x14ac:dyDescent="0.2">
      <c r="K418" s="28"/>
      <c r="L418" s="28"/>
    </row>
    <row r="419" spans="11:12" ht="12.75" customHeight="1" x14ac:dyDescent="0.2">
      <c r="K419" s="28"/>
      <c r="L419" s="28"/>
    </row>
    <row r="420" spans="11:12" ht="12.75" customHeight="1" x14ac:dyDescent="0.2">
      <c r="K420" s="28"/>
      <c r="L420" s="28"/>
    </row>
    <row r="421" spans="11:12" ht="12.75" customHeight="1" x14ac:dyDescent="0.2">
      <c r="K421" s="28"/>
      <c r="L421" s="28"/>
    </row>
    <row r="422" spans="11:12" ht="12.75" customHeight="1" x14ac:dyDescent="0.2">
      <c r="K422" s="28"/>
      <c r="L422" s="28"/>
    </row>
    <row r="423" spans="11:12" ht="12.75" customHeight="1" x14ac:dyDescent="0.2">
      <c r="K423" s="28"/>
      <c r="L423" s="28"/>
    </row>
    <row r="424" spans="11:12" ht="12.75" customHeight="1" x14ac:dyDescent="0.2">
      <c r="K424" s="28"/>
      <c r="L424" s="28"/>
    </row>
    <row r="425" spans="11:12" ht="12.75" customHeight="1" x14ac:dyDescent="0.2">
      <c r="K425" s="28"/>
      <c r="L425" s="28"/>
    </row>
    <row r="426" spans="11:12" ht="12.75" customHeight="1" x14ac:dyDescent="0.2">
      <c r="K426" s="28"/>
      <c r="L426" s="28"/>
    </row>
    <row r="427" spans="11:12" ht="12.75" customHeight="1" x14ac:dyDescent="0.2">
      <c r="K427" s="28"/>
      <c r="L427" s="28"/>
    </row>
    <row r="428" spans="11:12" ht="12.75" customHeight="1" x14ac:dyDescent="0.2">
      <c r="K428" s="28"/>
      <c r="L428" s="28"/>
    </row>
    <row r="429" spans="11:12" ht="12.75" customHeight="1" x14ac:dyDescent="0.2">
      <c r="K429" s="28"/>
      <c r="L429" s="28"/>
    </row>
    <row r="430" spans="11:12" ht="12.75" customHeight="1" x14ac:dyDescent="0.2">
      <c r="K430" s="28"/>
      <c r="L430" s="28"/>
    </row>
    <row r="431" spans="11:12" ht="12.75" customHeight="1" x14ac:dyDescent="0.2">
      <c r="K431" s="28"/>
      <c r="L431" s="28"/>
    </row>
    <row r="432" spans="11:12" ht="12.75" customHeight="1" x14ac:dyDescent="0.2">
      <c r="K432" s="28"/>
      <c r="L432" s="28"/>
    </row>
    <row r="433" spans="11:12" ht="12.75" customHeight="1" x14ac:dyDescent="0.2">
      <c r="K433" s="28"/>
      <c r="L433" s="28"/>
    </row>
    <row r="434" spans="11:12" ht="12.75" customHeight="1" x14ac:dyDescent="0.2">
      <c r="K434" s="28"/>
      <c r="L434" s="28"/>
    </row>
    <row r="435" spans="11:12" ht="12.75" customHeight="1" x14ac:dyDescent="0.2">
      <c r="K435" s="28"/>
      <c r="L435" s="28"/>
    </row>
    <row r="436" spans="11:12" ht="12.75" customHeight="1" x14ac:dyDescent="0.2">
      <c r="K436" s="28"/>
      <c r="L436" s="28"/>
    </row>
    <row r="437" spans="11:12" ht="12.75" customHeight="1" x14ac:dyDescent="0.2">
      <c r="K437" s="28"/>
      <c r="L437" s="28"/>
    </row>
    <row r="438" spans="11:12" ht="12.75" customHeight="1" x14ac:dyDescent="0.2">
      <c r="K438" s="28"/>
      <c r="L438" s="28"/>
    </row>
    <row r="439" spans="11:12" ht="12.75" customHeight="1" x14ac:dyDescent="0.2">
      <c r="K439" s="28"/>
      <c r="L439" s="28"/>
    </row>
    <row r="440" spans="11:12" ht="12.75" customHeight="1" x14ac:dyDescent="0.2">
      <c r="K440" s="28"/>
      <c r="L440" s="28"/>
    </row>
    <row r="441" spans="11:12" ht="12.75" customHeight="1" x14ac:dyDescent="0.2">
      <c r="K441" s="28"/>
      <c r="L441" s="28"/>
    </row>
    <row r="442" spans="11:12" ht="12.75" customHeight="1" x14ac:dyDescent="0.2">
      <c r="K442" s="28"/>
      <c r="L442" s="28"/>
    </row>
    <row r="443" spans="11:12" ht="12.75" customHeight="1" x14ac:dyDescent="0.2">
      <c r="K443" s="28"/>
      <c r="L443" s="28"/>
    </row>
    <row r="444" spans="11:12" ht="12.75" customHeight="1" x14ac:dyDescent="0.2">
      <c r="K444" s="28"/>
      <c r="L444" s="28"/>
    </row>
    <row r="445" spans="11:12" ht="12.75" customHeight="1" x14ac:dyDescent="0.2">
      <c r="K445" s="28"/>
      <c r="L445" s="28"/>
    </row>
    <row r="446" spans="11:12" ht="12.75" customHeight="1" x14ac:dyDescent="0.2">
      <c r="K446" s="28"/>
      <c r="L446" s="28"/>
    </row>
    <row r="447" spans="11:12" ht="12.75" customHeight="1" x14ac:dyDescent="0.2">
      <c r="K447" s="28"/>
      <c r="L447" s="28"/>
    </row>
    <row r="448" spans="11:12" ht="12.75" customHeight="1" x14ac:dyDescent="0.2">
      <c r="K448" s="28"/>
      <c r="L448" s="28"/>
    </row>
    <row r="449" spans="11:12" ht="12.75" customHeight="1" x14ac:dyDescent="0.2">
      <c r="K449" s="28"/>
      <c r="L449" s="28"/>
    </row>
    <row r="450" spans="11:12" ht="12.75" customHeight="1" x14ac:dyDescent="0.2">
      <c r="K450" s="28"/>
      <c r="L450" s="28"/>
    </row>
    <row r="451" spans="11:12" ht="12.75" customHeight="1" x14ac:dyDescent="0.2">
      <c r="K451" s="28"/>
      <c r="L451" s="28"/>
    </row>
    <row r="452" spans="11:12" ht="12.75" customHeight="1" x14ac:dyDescent="0.2">
      <c r="K452" s="28"/>
      <c r="L452" s="28"/>
    </row>
    <row r="453" spans="11:12" ht="12.75" customHeight="1" x14ac:dyDescent="0.2">
      <c r="K453" s="28"/>
      <c r="L453" s="28"/>
    </row>
    <row r="454" spans="11:12" ht="12.75" customHeight="1" x14ac:dyDescent="0.2">
      <c r="K454" s="28"/>
      <c r="L454" s="28"/>
    </row>
    <row r="455" spans="11:12" ht="12.75" customHeight="1" x14ac:dyDescent="0.2">
      <c r="K455" s="28"/>
      <c r="L455" s="28"/>
    </row>
    <row r="456" spans="11:12" ht="12.75" customHeight="1" x14ac:dyDescent="0.2">
      <c r="K456" s="28"/>
      <c r="L456" s="28"/>
    </row>
    <row r="457" spans="11:12" ht="12.75" customHeight="1" x14ac:dyDescent="0.2">
      <c r="K457" s="28"/>
      <c r="L457" s="28"/>
    </row>
    <row r="458" spans="11:12" ht="12.75" customHeight="1" x14ac:dyDescent="0.2">
      <c r="K458" s="28"/>
      <c r="L458" s="28"/>
    </row>
    <row r="459" spans="11:12" ht="12.75" customHeight="1" x14ac:dyDescent="0.2">
      <c r="K459" s="28"/>
      <c r="L459" s="28"/>
    </row>
    <row r="460" spans="11:12" ht="12.75" customHeight="1" x14ac:dyDescent="0.2">
      <c r="K460" s="28"/>
      <c r="L460" s="28"/>
    </row>
    <row r="461" spans="11:12" ht="12.75" customHeight="1" x14ac:dyDescent="0.2">
      <c r="K461" s="28"/>
      <c r="L461" s="28"/>
    </row>
    <row r="462" spans="11:12" ht="12.75" customHeight="1" x14ac:dyDescent="0.2">
      <c r="K462" s="28"/>
      <c r="L462" s="28"/>
    </row>
    <row r="463" spans="11:12" ht="12.75" customHeight="1" x14ac:dyDescent="0.2">
      <c r="K463" s="28"/>
      <c r="L463" s="28"/>
    </row>
    <row r="464" spans="11:12" ht="12.75" customHeight="1" x14ac:dyDescent="0.2">
      <c r="K464" s="28"/>
      <c r="L464" s="28"/>
    </row>
    <row r="465" spans="11:12" ht="12.75" customHeight="1" x14ac:dyDescent="0.2">
      <c r="K465" s="28"/>
      <c r="L465" s="28"/>
    </row>
    <row r="466" spans="11:12" ht="12.75" customHeight="1" x14ac:dyDescent="0.2">
      <c r="K466" s="28"/>
      <c r="L466" s="28"/>
    </row>
    <row r="467" spans="11:12" ht="12.75" customHeight="1" x14ac:dyDescent="0.2">
      <c r="K467" s="28"/>
      <c r="L467" s="28"/>
    </row>
    <row r="468" spans="11:12" ht="12.75" customHeight="1" x14ac:dyDescent="0.2">
      <c r="K468" s="28"/>
      <c r="L468" s="28"/>
    </row>
    <row r="469" spans="11:12" ht="12.75" customHeight="1" x14ac:dyDescent="0.2">
      <c r="K469" s="28"/>
      <c r="L469" s="28"/>
    </row>
    <row r="470" spans="11:12" ht="12.75" customHeight="1" x14ac:dyDescent="0.2">
      <c r="K470" s="28"/>
      <c r="L470" s="28"/>
    </row>
    <row r="471" spans="11:12" ht="12.75" customHeight="1" x14ac:dyDescent="0.2">
      <c r="K471" s="28"/>
      <c r="L471" s="28"/>
    </row>
    <row r="472" spans="11:12" ht="12.75" customHeight="1" x14ac:dyDescent="0.2">
      <c r="K472" s="28"/>
      <c r="L472" s="28"/>
    </row>
    <row r="473" spans="11:12" ht="12.75" customHeight="1" x14ac:dyDescent="0.2">
      <c r="K473" s="28"/>
      <c r="L473" s="28"/>
    </row>
    <row r="474" spans="11:12" ht="12.75" customHeight="1" x14ac:dyDescent="0.2">
      <c r="K474" s="28"/>
      <c r="L474" s="28"/>
    </row>
    <row r="475" spans="11:12" ht="12.75" customHeight="1" x14ac:dyDescent="0.2">
      <c r="K475" s="28"/>
      <c r="L475" s="28"/>
    </row>
    <row r="476" spans="11:12" ht="12.75" customHeight="1" x14ac:dyDescent="0.2">
      <c r="K476" s="28"/>
      <c r="L476" s="28"/>
    </row>
    <row r="477" spans="11:12" ht="12.75" customHeight="1" x14ac:dyDescent="0.2">
      <c r="K477" s="28"/>
      <c r="L477" s="28"/>
    </row>
    <row r="478" spans="11:12" ht="12.75" customHeight="1" x14ac:dyDescent="0.2">
      <c r="K478" s="28"/>
      <c r="L478" s="28"/>
    </row>
    <row r="479" spans="11:12" ht="12.75" customHeight="1" x14ac:dyDescent="0.2">
      <c r="K479" s="28"/>
      <c r="L479" s="28"/>
    </row>
    <row r="480" spans="11:12" ht="12.75" customHeight="1" x14ac:dyDescent="0.2">
      <c r="K480" s="28"/>
      <c r="L480" s="28"/>
    </row>
    <row r="481" spans="11:12" ht="12.75" customHeight="1" x14ac:dyDescent="0.2">
      <c r="K481" s="28"/>
      <c r="L481" s="28"/>
    </row>
    <row r="482" spans="11:12" ht="12.75" customHeight="1" x14ac:dyDescent="0.2">
      <c r="K482" s="28"/>
      <c r="L482" s="28"/>
    </row>
    <row r="483" spans="11:12" ht="12.75" customHeight="1" x14ac:dyDescent="0.2">
      <c r="K483" s="28"/>
      <c r="L483" s="28"/>
    </row>
    <row r="484" spans="11:12" ht="12.75" customHeight="1" x14ac:dyDescent="0.2">
      <c r="K484" s="28"/>
      <c r="L484" s="28"/>
    </row>
    <row r="485" spans="11:12" ht="12.75" customHeight="1" x14ac:dyDescent="0.2">
      <c r="K485" s="28"/>
      <c r="L485" s="28"/>
    </row>
    <row r="486" spans="11:12" ht="12.75" customHeight="1" x14ac:dyDescent="0.2">
      <c r="K486" s="28"/>
      <c r="L486" s="28"/>
    </row>
    <row r="487" spans="11:12" ht="12.75" customHeight="1" x14ac:dyDescent="0.2">
      <c r="K487" s="28"/>
      <c r="L487" s="28"/>
    </row>
    <row r="488" spans="11:12" ht="12.75" customHeight="1" x14ac:dyDescent="0.2">
      <c r="K488" s="28"/>
      <c r="L488" s="28"/>
    </row>
    <row r="489" spans="11:12" ht="12.75" customHeight="1" x14ac:dyDescent="0.2">
      <c r="K489" s="28"/>
      <c r="L489" s="28"/>
    </row>
    <row r="490" spans="11:12" ht="12.75" customHeight="1" x14ac:dyDescent="0.2">
      <c r="K490" s="28"/>
      <c r="L490" s="28"/>
    </row>
    <row r="491" spans="11:12" ht="12.75" customHeight="1" x14ac:dyDescent="0.2">
      <c r="K491" s="28"/>
      <c r="L491" s="28"/>
    </row>
    <row r="492" spans="11:12" ht="12.75" customHeight="1" x14ac:dyDescent="0.2">
      <c r="K492" s="28"/>
      <c r="L492" s="28"/>
    </row>
    <row r="493" spans="11:12" ht="12.75" customHeight="1" x14ac:dyDescent="0.2">
      <c r="K493" s="28"/>
      <c r="L493" s="28"/>
    </row>
    <row r="494" spans="11:12" ht="12.75" customHeight="1" x14ac:dyDescent="0.2">
      <c r="K494" s="28"/>
      <c r="L494" s="28"/>
    </row>
    <row r="495" spans="11:12" ht="12.75" customHeight="1" x14ac:dyDescent="0.2">
      <c r="K495" s="28"/>
      <c r="L495" s="28"/>
    </row>
    <row r="496" spans="11:12" ht="12.75" customHeight="1" x14ac:dyDescent="0.2">
      <c r="K496" s="28"/>
      <c r="L496" s="28"/>
    </row>
    <row r="497" spans="11:12" ht="12.75" customHeight="1" x14ac:dyDescent="0.2">
      <c r="K497" s="28"/>
      <c r="L497" s="28"/>
    </row>
    <row r="498" spans="11:12" ht="12.75" customHeight="1" x14ac:dyDescent="0.2">
      <c r="K498" s="28"/>
      <c r="L498" s="28"/>
    </row>
    <row r="499" spans="11:12" ht="12.75" customHeight="1" x14ac:dyDescent="0.2">
      <c r="K499" s="28"/>
      <c r="L499" s="28"/>
    </row>
    <row r="500" spans="11:12" ht="12.75" customHeight="1" x14ac:dyDescent="0.2">
      <c r="K500" s="28"/>
      <c r="L500" s="28"/>
    </row>
    <row r="501" spans="11:12" ht="12.75" customHeight="1" x14ac:dyDescent="0.2">
      <c r="K501" s="28"/>
      <c r="L501" s="28"/>
    </row>
    <row r="502" spans="11:12" ht="12.75" customHeight="1" x14ac:dyDescent="0.2">
      <c r="K502" s="28"/>
      <c r="L502" s="28"/>
    </row>
    <row r="503" spans="11:12" ht="12.75" customHeight="1" x14ac:dyDescent="0.2">
      <c r="K503" s="28"/>
      <c r="L503" s="28"/>
    </row>
    <row r="504" spans="11:12" ht="12.75" customHeight="1" x14ac:dyDescent="0.2">
      <c r="K504" s="28"/>
      <c r="L504" s="28"/>
    </row>
    <row r="505" spans="11:12" ht="12.75" customHeight="1" x14ac:dyDescent="0.2">
      <c r="K505" s="28"/>
      <c r="L505" s="28"/>
    </row>
    <row r="506" spans="11:12" ht="12.75" customHeight="1" x14ac:dyDescent="0.2">
      <c r="K506" s="28"/>
      <c r="L506" s="28"/>
    </row>
    <row r="507" spans="11:12" ht="12.75" customHeight="1" x14ac:dyDescent="0.2">
      <c r="K507" s="28"/>
      <c r="L507" s="28"/>
    </row>
    <row r="508" spans="11:12" ht="12.75" customHeight="1" x14ac:dyDescent="0.2">
      <c r="K508" s="28"/>
      <c r="L508" s="28"/>
    </row>
    <row r="509" spans="11:12" ht="12.75" customHeight="1" x14ac:dyDescent="0.2">
      <c r="K509" s="28"/>
      <c r="L509" s="28"/>
    </row>
    <row r="510" spans="11:12" ht="12.75" customHeight="1" x14ac:dyDescent="0.2">
      <c r="K510" s="28"/>
      <c r="L510" s="28"/>
    </row>
    <row r="511" spans="11:12" ht="12.75" customHeight="1" x14ac:dyDescent="0.2">
      <c r="K511" s="28"/>
      <c r="L511" s="28"/>
    </row>
    <row r="512" spans="11:12" ht="12.75" customHeight="1" x14ac:dyDescent="0.2">
      <c r="K512" s="28"/>
      <c r="L512" s="28"/>
    </row>
    <row r="513" spans="11:12" ht="12.75" customHeight="1" x14ac:dyDescent="0.2">
      <c r="K513" s="28"/>
      <c r="L513" s="28"/>
    </row>
    <row r="514" spans="11:12" ht="12.75" customHeight="1" x14ac:dyDescent="0.2">
      <c r="K514" s="28"/>
      <c r="L514" s="28"/>
    </row>
    <row r="515" spans="11:12" ht="12.75" customHeight="1" x14ac:dyDescent="0.2">
      <c r="K515" s="28"/>
      <c r="L515" s="28"/>
    </row>
    <row r="516" spans="11:12" ht="12.75" customHeight="1" x14ac:dyDescent="0.2">
      <c r="K516" s="28"/>
      <c r="L516" s="28"/>
    </row>
    <row r="517" spans="11:12" ht="12.75" customHeight="1" x14ac:dyDescent="0.2">
      <c r="K517" s="28"/>
      <c r="L517" s="28"/>
    </row>
    <row r="518" spans="11:12" ht="12.75" customHeight="1" x14ac:dyDescent="0.2">
      <c r="K518" s="28"/>
      <c r="L518" s="28"/>
    </row>
    <row r="519" spans="11:12" ht="12.75" customHeight="1" x14ac:dyDescent="0.2">
      <c r="K519" s="28"/>
      <c r="L519" s="28"/>
    </row>
    <row r="520" spans="11:12" ht="12.75" customHeight="1" x14ac:dyDescent="0.2">
      <c r="K520" s="28"/>
      <c r="L520" s="28"/>
    </row>
    <row r="521" spans="11:12" ht="12.75" customHeight="1" x14ac:dyDescent="0.2">
      <c r="K521" s="28"/>
      <c r="L521" s="28"/>
    </row>
    <row r="522" spans="11:12" ht="12.75" customHeight="1" x14ac:dyDescent="0.2">
      <c r="K522" s="28"/>
      <c r="L522" s="28"/>
    </row>
    <row r="523" spans="11:12" ht="12.75" customHeight="1" x14ac:dyDescent="0.2">
      <c r="K523" s="28"/>
      <c r="L523" s="28"/>
    </row>
    <row r="524" spans="11:12" ht="12.75" customHeight="1" x14ac:dyDescent="0.2">
      <c r="K524" s="28"/>
      <c r="L524" s="28"/>
    </row>
    <row r="525" spans="11:12" ht="12.75" customHeight="1" x14ac:dyDescent="0.2">
      <c r="K525" s="28"/>
      <c r="L525" s="28"/>
    </row>
    <row r="526" spans="11:12" ht="12.75" customHeight="1" x14ac:dyDescent="0.2">
      <c r="K526" s="28"/>
      <c r="L526" s="28"/>
    </row>
    <row r="527" spans="11:12" ht="12.75" customHeight="1" x14ac:dyDescent="0.2">
      <c r="K527" s="28"/>
      <c r="L527" s="28"/>
    </row>
    <row r="528" spans="11:12" ht="12.75" customHeight="1" x14ac:dyDescent="0.2">
      <c r="K528" s="28"/>
      <c r="L528" s="28"/>
    </row>
    <row r="529" spans="11:12" ht="12.75" customHeight="1" x14ac:dyDescent="0.2">
      <c r="K529" s="28"/>
      <c r="L529" s="28"/>
    </row>
    <row r="530" spans="11:12" ht="12.75" customHeight="1" x14ac:dyDescent="0.2">
      <c r="K530" s="28"/>
      <c r="L530" s="28"/>
    </row>
    <row r="531" spans="11:12" ht="12.75" customHeight="1" x14ac:dyDescent="0.2">
      <c r="K531" s="28"/>
      <c r="L531" s="28"/>
    </row>
    <row r="532" spans="11:12" ht="12.75" customHeight="1" x14ac:dyDescent="0.2">
      <c r="K532" s="28"/>
      <c r="L532" s="28"/>
    </row>
    <row r="533" spans="11:12" ht="12.75" customHeight="1" x14ac:dyDescent="0.2">
      <c r="K533" s="28"/>
      <c r="L533" s="28"/>
    </row>
    <row r="534" spans="11:12" ht="12.75" customHeight="1" x14ac:dyDescent="0.2">
      <c r="K534" s="28"/>
      <c r="L534" s="28"/>
    </row>
    <row r="535" spans="11:12" ht="12.75" customHeight="1" x14ac:dyDescent="0.2">
      <c r="K535" s="28"/>
      <c r="L535" s="28"/>
    </row>
    <row r="536" spans="11:12" ht="12.75" customHeight="1" x14ac:dyDescent="0.2">
      <c r="K536" s="28"/>
      <c r="L536" s="28"/>
    </row>
    <row r="537" spans="11:12" ht="12.75" customHeight="1" x14ac:dyDescent="0.2">
      <c r="K537" s="28"/>
      <c r="L537" s="28"/>
    </row>
    <row r="538" spans="11:12" ht="12.75" customHeight="1" x14ac:dyDescent="0.2">
      <c r="K538" s="28"/>
      <c r="L538" s="28"/>
    </row>
    <row r="539" spans="11:12" ht="12.75" customHeight="1" x14ac:dyDescent="0.2">
      <c r="K539" s="28"/>
      <c r="L539" s="28"/>
    </row>
    <row r="540" spans="11:12" ht="12.75" customHeight="1" x14ac:dyDescent="0.2">
      <c r="K540" s="28"/>
      <c r="L540" s="28"/>
    </row>
    <row r="541" spans="11:12" ht="12.75" customHeight="1" x14ac:dyDescent="0.2">
      <c r="K541" s="28"/>
      <c r="L541" s="28"/>
    </row>
    <row r="542" spans="11:12" ht="12.75" customHeight="1" x14ac:dyDescent="0.2">
      <c r="K542" s="28"/>
      <c r="L542" s="28"/>
    </row>
    <row r="543" spans="11:12" ht="12.75" customHeight="1" x14ac:dyDescent="0.2">
      <c r="K543" s="28"/>
      <c r="L543" s="28"/>
    </row>
    <row r="544" spans="11:12" ht="12.75" customHeight="1" x14ac:dyDescent="0.2">
      <c r="K544" s="28"/>
      <c r="L544" s="28"/>
    </row>
    <row r="545" spans="11:12" ht="12.75" customHeight="1" x14ac:dyDescent="0.2">
      <c r="K545" s="28"/>
      <c r="L545" s="28"/>
    </row>
    <row r="546" spans="11:12" ht="12.75" customHeight="1" x14ac:dyDescent="0.2">
      <c r="K546" s="28"/>
      <c r="L546" s="28"/>
    </row>
    <row r="547" spans="11:12" ht="12.75" customHeight="1" x14ac:dyDescent="0.2">
      <c r="K547" s="28"/>
      <c r="L547" s="28"/>
    </row>
    <row r="548" spans="11:12" ht="12.75" customHeight="1" x14ac:dyDescent="0.2">
      <c r="K548" s="28"/>
      <c r="L548" s="28"/>
    </row>
    <row r="549" spans="11:12" ht="12.75" customHeight="1" x14ac:dyDescent="0.2">
      <c r="K549" s="28"/>
      <c r="L549" s="28"/>
    </row>
    <row r="550" spans="11:12" ht="12.75" customHeight="1" x14ac:dyDescent="0.2">
      <c r="K550" s="28"/>
      <c r="L550" s="28"/>
    </row>
    <row r="551" spans="11:12" ht="12.75" customHeight="1" x14ac:dyDescent="0.2">
      <c r="K551" s="28"/>
      <c r="L551" s="28"/>
    </row>
    <row r="552" spans="11:12" ht="12.75" customHeight="1" x14ac:dyDescent="0.2">
      <c r="K552" s="28"/>
      <c r="L552" s="28"/>
    </row>
    <row r="553" spans="11:12" ht="12.75" customHeight="1" x14ac:dyDescent="0.2">
      <c r="K553" s="28"/>
      <c r="L553" s="28"/>
    </row>
    <row r="554" spans="11:12" ht="12.75" customHeight="1" x14ac:dyDescent="0.2">
      <c r="K554" s="28"/>
      <c r="L554" s="28"/>
    </row>
    <row r="555" spans="11:12" ht="12.75" customHeight="1" x14ac:dyDescent="0.2">
      <c r="K555" s="28"/>
      <c r="L555" s="28"/>
    </row>
    <row r="556" spans="11:12" ht="12.75" customHeight="1" x14ac:dyDescent="0.2">
      <c r="K556" s="28"/>
      <c r="L556" s="28"/>
    </row>
    <row r="557" spans="11:12" ht="12.75" customHeight="1" x14ac:dyDescent="0.2">
      <c r="K557" s="28"/>
      <c r="L557" s="28"/>
    </row>
    <row r="558" spans="11:12" ht="12.75" customHeight="1" x14ac:dyDescent="0.2">
      <c r="K558" s="28"/>
      <c r="L558" s="28"/>
    </row>
    <row r="559" spans="11:12" ht="12.75" customHeight="1" x14ac:dyDescent="0.2">
      <c r="K559" s="28"/>
      <c r="L559" s="28"/>
    </row>
    <row r="560" spans="11:12" ht="12.75" customHeight="1" x14ac:dyDescent="0.2">
      <c r="K560" s="28"/>
      <c r="L560" s="28"/>
    </row>
    <row r="561" spans="11:12" ht="12.75" customHeight="1" x14ac:dyDescent="0.2">
      <c r="K561" s="28"/>
      <c r="L561" s="28"/>
    </row>
    <row r="562" spans="11:12" ht="12.75" customHeight="1" x14ac:dyDescent="0.2">
      <c r="K562" s="28"/>
      <c r="L562" s="28"/>
    </row>
    <row r="563" spans="11:12" ht="12.75" customHeight="1" x14ac:dyDescent="0.2">
      <c r="K563" s="28"/>
      <c r="L563" s="28"/>
    </row>
    <row r="564" spans="11:12" ht="12.75" customHeight="1" x14ac:dyDescent="0.2">
      <c r="K564" s="28"/>
      <c r="L564" s="28"/>
    </row>
    <row r="565" spans="11:12" ht="12.75" customHeight="1" x14ac:dyDescent="0.2">
      <c r="K565" s="28"/>
      <c r="L565" s="28"/>
    </row>
    <row r="566" spans="11:12" ht="12.75" customHeight="1" x14ac:dyDescent="0.2">
      <c r="K566" s="28"/>
      <c r="L566" s="28"/>
    </row>
    <row r="567" spans="11:12" ht="12.75" customHeight="1" x14ac:dyDescent="0.2">
      <c r="K567" s="28"/>
      <c r="L567" s="28"/>
    </row>
    <row r="568" spans="11:12" ht="12.75" customHeight="1" x14ac:dyDescent="0.2">
      <c r="K568" s="28"/>
      <c r="L568" s="28"/>
    </row>
    <row r="569" spans="11:12" ht="12.75" customHeight="1" x14ac:dyDescent="0.2">
      <c r="K569" s="28"/>
      <c r="L569" s="28"/>
    </row>
    <row r="570" spans="11:12" ht="12.75" customHeight="1" x14ac:dyDescent="0.2">
      <c r="K570" s="28"/>
      <c r="L570" s="28"/>
    </row>
    <row r="571" spans="11:12" ht="12.75" customHeight="1" x14ac:dyDescent="0.2">
      <c r="K571" s="28"/>
      <c r="L571" s="28"/>
    </row>
    <row r="572" spans="11:12" ht="12.75" customHeight="1" x14ac:dyDescent="0.2">
      <c r="K572" s="28"/>
      <c r="L572" s="28"/>
    </row>
    <row r="573" spans="11:12" ht="12.75" customHeight="1" x14ac:dyDescent="0.2">
      <c r="K573" s="28"/>
      <c r="L573" s="28"/>
    </row>
    <row r="574" spans="11:12" ht="12.75" customHeight="1" x14ac:dyDescent="0.2">
      <c r="K574" s="28"/>
      <c r="L574" s="28"/>
    </row>
    <row r="575" spans="11:12" ht="12.75" customHeight="1" x14ac:dyDescent="0.2">
      <c r="K575" s="28"/>
      <c r="L575" s="28"/>
    </row>
    <row r="576" spans="11:12" ht="12.75" customHeight="1" x14ac:dyDescent="0.2">
      <c r="K576" s="28"/>
      <c r="L576" s="28"/>
    </row>
    <row r="577" spans="11:12" ht="12.75" customHeight="1" x14ac:dyDescent="0.2">
      <c r="K577" s="28"/>
      <c r="L577" s="28"/>
    </row>
    <row r="578" spans="11:12" ht="12.75" customHeight="1" x14ac:dyDescent="0.2">
      <c r="K578" s="28"/>
      <c r="L578" s="28"/>
    </row>
    <row r="579" spans="11:12" ht="12.75" customHeight="1" x14ac:dyDescent="0.2">
      <c r="K579" s="28"/>
      <c r="L579" s="28"/>
    </row>
    <row r="580" spans="11:12" ht="12.75" customHeight="1" x14ac:dyDescent="0.2">
      <c r="K580" s="28"/>
      <c r="L580" s="28"/>
    </row>
    <row r="581" spans="11:12" ht="12.75" customHeight="1" x14ac:dyDescent="0.2">
      <c r="K581" s="28"/>
      <c r="L581" s="28"/>
    </row>
    <row r="582" spans="11:12" ht="12.75" customHeight="1" x14ac:dyDescent="0.2">
      <c r="K582" s="28"/>
      <c r="L582" s="28"/>
    </row>
    <row r="583" spans="11:12" ht="12.75" customHeight="1" x14ac:dyDescent="0.2">
      <c r="K583" s="28"/>
      <c r="L583" s="28"/>
    </row>
    <row r="584" spans="11:12" ht="12.75" customHeight="1" x14ac:dyDescent="0.2">
      <c r="K584" s="28"/>
      <c r="L584" s="28"/>
    </row>
    <row r="585" spans="11:12" ht="12.75" customHeight="1" x14ac:dyDescent="0.2">
      <c r="K585" s="28"/>
      <c r="L585" s="28"/>
    </row>
    <row r="586" spans="11:12" ht="12.75" customHeight="1" x14ac:dyDescent="0.2">
      <c r="K586" s="28"/>
      <c r="L586" s="28"/>
    </row>
    <row r="587" spans="11:12" ht="12.75" customHeight="1" x14ac:dyDescent="0.2">
      <c r="K587" s="28"/>
      <c r="L587" s="28"/>
    </row>
    <row r="588" spans="11:12" ht="12.75" customHeight="1" x14ac:dyDescent="0.2">
      <c r="K588" s="28"/>
      <c r="L588" s="28"/>
    </row>
    <row r="589" spans="11:12" ht="12.75" customHeight="1" x14ac:dyDescent="0.2">
      <c r="K589" s="28"/>
      <c r="L589" s="28"/>
    </row>
    <row r="590" spans="11:12" ht="12.75" customHeight="1" x14ac:dyDescent="0.2">
      <c r="K590" s="28"/>
      <c r="L590" s="28"/>
    </row>
    <row r="591" spans="11:12" ht="12.75" customHeight="1" x14ac:dyDescent="0.2">
      <c r="K591" s="28"/>
      <c r="L591" s="28"/>
    </row>
    <row r="592" spans="11:12" ht="12.75" customHeight="1" x14ac:dyDescent="0.2">
      <c r="K592" s="28"/>
      <c r="L592" s="28"/>
    </row>
    <row r="593" spans="11:12" ht="12.75" customHeight="1" x14ac:dyDescent="0.2">
      <c r="K593" s="28"/>
      <c r="L593" s="28"/>
    </row>
    <row r="594" spans="11:12" ht="12.75" customHeight="1" x14ac:dyDescent="0.2">
      <c r="K594" s="28"/>
      <c r="L594" s="28"/>
    </row>
    <row r="595" spans="11:12" ht="12.75" customHeight="1" x14ac:dyDescent="0.2">
      <c r="K595" s="28"/>
      <c r="L595" s="28"/>
    </row>
    <row r="596" spans="11:12" ht="12.75" customHeight="1" x14ac:dyDescent="0.2">
      <c r="K596" s="28"/>
      <c r="L596" s="28"/>
    </row>
    <row r="597" spans="11:12" ht="12.75" customHeight="1" x14ac:dyDescent="0.2">
      <c r="K597" s="28"/>
      <c r="L597" s="28"/>
    </row>
    <row r="598" spans="11:12" ht="12.75" customHeight="1" x14ac:dyDescent="0.2">
      <c r="K598" s="28"/>
      <c r="L598" s="28"/>
    </row>
    <row r="599" spans="11:12" ht="12.75" customHeight="1" x14ac:dyDescent="0.2">
      <c r="K599" s="28"/>
      <c r="L599" s="28"/>
    </row>
    <row r="600" spans="11:12" ht="12.75" customHeight="1" x14ac:dyDescent="0.2">
      <c r="K600" s="28"/>
      <c r="L600" s="28"/>
    </row>
    <row r="601" spans="11:12" ht="12.75" customHeight="1" x14ac:dyDescent="0.2">
      <c r="K601" s="28"/>
      <c r="L601" s="28"/>
    </row>
    <row r="602" spans="11:12" ht="12.75" customHeight="1" x14ac:dyDescent="0.2">
      <c r="K602" s="28"/>
      <c r="L602" s="28"/>
    </row>
    <row r="603" spans="11:12" ht="12.75" customHeight="1" x14ac:dyDescent="0.2">
      <c r="K603" s="28"/>
      <c r="L603" s="28"/>
    </row>
    <row r="604" spans="11:12" ht="12.75" customHeight="1" x14ac:dyDescent="0.2">
      <c r="K604" s="28"/>
      <c r="L604" s="28"/>
    </row>
    <row r="605" spans="11:12" ht="12.75" customHeight="1" x14ac:dyDescent="0.2">
      <c r="K605" s="28"/>
      <c r="L605" s="28"/>
    </row>
    <row r="606" spans="11:12" ht="12.75" customHeight="1" x14ac:dyDescent="0.2">
      <c r="K606" s="28"/>
      <c r="L606" s="28"/>
    </row>
    <row r="607" spans="11:12" ht="12.75" customHeight="1" x14ac:dyDescent="0.2">
      <c r="K607" s="28"/>
      <c r="L607" s="28"/>
    </row>
    <row r="608" spans="11:12" ht="12.75" customHeight="1" x14ac:dyDescent="0.2">
      <c r="K608" s="28"/>
      <c r="L608" s="28"/>
    </row>
    <row r="609" spans="11:12" ht="12.75" customHeight="1" x14ac:dyDescent="0.2">
      <c r="K609" s="28"/>
      <c r="L609" s="28"/>
    </row>
    <row r="610" spans="11:12" ht="12.75" customHeight="1" x14ac:dyDescent="0.2">
      <c r="K610" s="28"/>
      <c r="L610" s="28"/>
    </row>
    <row r="611" spans="11:12" ht="12.75" customHeight="1" x14ac:dyDescent="0.2">
      <c r="K611" s="28"/>
      <c r="L611" s="28"/>
    </row>
    <row r="612" spans="11:12" ht="12.75" customHeight="1" x14ac:dyDescent="0.2">
      <c r="K612" s="28"/>
      <c r="L612" s="28"/>
    </row>
    <row r="613" spans="11:12" ht="12.75" customHeight="1" x14ac:dyDescent="0.2">
      <c r="K613" s="28"/>
      <c r="L613" s="28"/>
    </row>
    <row r="614" spans="11:12" ht="12.75" customHeight="1" x14ac:dyDescent="0.2">
      <c r="K614" s="28"/>
      <c r="L614" s="28"/>
    </row>
    <row r="615" spans="11:12" ht="12.75" customHeight="1" x14ac:dyDescent="0.2">
      <c r="K615" s="28"/>
      <c r="L615" s="28"/>
    </row>
    <row r="616" spans="11:12" ht="12.75" customHeight="1" x14ac:dyDescent="0.2">
      <c r="K616" s="28"/>
      <c r="L616" s="28"/>
    </row>
    <row r="617" spans="11:12" ht="12.75" customHeight="1" x14ac:dyDescent="0.2">
      <c r="K617" s="28"/>
      <c r="L617" s="28"/>
    </row>
    <row r="618" spans="11:12" ht="12.75" customHeight="1" x14ac:dyDescent="0.2">
      <c r="K618" s="28"/>
      <c r="L618" s="28"/>
    </row>
    <row r="619" spans="11:12" ht="12.75" customHeight="1" x14ac:dyDescent="0.2">
      <c r="K619" s="28"/>
      <c r="L619" s="28"/>
    </row>
    <row r="620" spans="11:12" ht="12.75" customHeight="1" x14ac:dyDescent="0.2">
      <c r="K620" s="28"/>
      <c r="L620" s="28"/>
    </row>
    <row r="621" spans="11:12" ht="12.75" customHeight="1" x14ac:dyDescent="0.2">
      <c r="K621" s="28"/>
      <c r="L621" s="28"/>
    </row>
    <row r="622" spans="11:12" ht="12.75" customHeight="1" x14ac:dyDescent="0.2">
      <c r="K622" s="28"/>
      <c r="L622" s="28"/>
    </row>
    <row r="623" spans="11:12" ht="12.75" customHeight="1" x14ac:dyDescent="0.2">
      <c r="K623" s="28"/>
      <c r="L623" s="28"/>
    </row>
    <row r="624" spans="11:12" ht="12.75" customHeight="1" x14ac:dyDescent="0.2">
      <c r="K624" s="28"/>
      <c r="L624" s="28"/>
    </row>
    <row r="625" spans="11:12" ht="12.75" customHeight="1" x14ac:dyDescent="0.2">
      <c r="K625" s="28"/>
      <c r="L625" s="28"/>
    </row>
    <row r="626" spans="11:12" ht="12.75" customHeight="1" x14ac:dyDescent="0.2">
      <c r="K626" s="28"/>
      <c r="L626" s="28"/>
    </row>
    <row r="627" spans="11:12" ht="12.75" customHeight="1" x14ac:dyDescent="0.2">
      <c r="K627" s="28"/>
      <c r="L627" s="28"/>
    </row>
    <row r="628" spans="11:12" ht="12.75" customHeight="1" x14ac:dyDescent="0.2">
      <c r="K628" s="28"/>
      <c r="L628" s="28"/>
    </row>
    <row r="629" spans="11:12" ht="12.75" customHeight="1" x14ac:dyDescent="0.2">
      <c r="K629" s="28"/>
      <c r="L629" s="28"/>
    </row>
    <row r="630" spans="11:12" ht="12.75" customHeight="1" x14ac:dyDescent="0.2">
      <c r="K630" s="28"/>
      <c r="L630" s="28"/>
    </row>
    <row r="631" spans="11:12" ht="12.75" customHeight="1" x14ac:dyDescent="0.2">
      <c r="K631" s="28"/>
      <c r="L631" s="28"/>
    </row>
    <row r="632" spans="11:12" ht="12.75" customHeight="1" x14ac:dyDescent="0.2">
      <c r="K632" s="28"/>
      <c r="L632" s="28"/>
    </row>
    <row r="633" spans="11:12" ht="12.75" customHeight="1" x14ac:dyDescent="0.2">
      <c r="K633" s="28"/>
      <c r="L633" s="28"/>
    </row>
    <row r="634" spans="11:12" ht="12.75" customHeight="1" x14ac:dyDescent="0.2">
      <c r="K634" s="28"/>
      <c r="L634" s="28"/>
    </row>
    <row r="635" spans="11:12" ht="12.75" customHeight="1" x14ac:dyDescent="0.2">
      <c r="K635" s="28"/>
      <c r="L635" s="28"/>
    </row>
    <row r="636" spans="11:12" ht="12.75" customHeight="1" x14ac:dyDescent="0.2">
      <c r="K636" s="28"/>
      <c r="L636" s="28"/>
    </row>
    <row r="637" spans="11:12" ht="12.75" customHeight="1" x14ac:dyDescent="0.2">
      <c r="K637" s="28"/>
      <c r="L637" s="28"/>
    </row>
    <row r="638" spans="11:12" ht="12.75" customHeight="1" x14ac:dyDescent="0.2">
      <c r="K638" s="28"/>
      <c r="L638" s="28"/>
    </row>
    <row r="639" spans="11:12" ht="12.75" customHeight="1" x14ac:dyDescent="0.2">
      <c r="K639" s="28"/>
      <c r="L639" s="28"/>
    </row>
    <row r="640" spans="11:12" ht="12.75" customHeight="1" x14ac:dyDescent="0.2">
      <c r="K640" s="28"/>
      <c r="L640" s="28"/>
    </row>
    <row r="641" spans="11:12" ht="12.75" customHeight="1" x14ac:dyDescent="0.2">
      <c r="K641" s="28"/>
      <c r="L641" s="28"/>
    </row>
    <row r="642" spans="11:12" ht="12.75" customHeight="1" x14ac:dyDescent="0.2">
      <c r="K642" s="28"/>
      <c r="L642" s="28"/>
    </row>
    <row r="643" spans="11:12" ht="12.75" customHeight="1" x14ac:dyDescent="0.2">
      <c r="K643" s="28"/>
      <c r="L643" s="28"/>
    </row>
    <row r="644" spans="11:12" ht="12.75" customHeight="1" x14ac:dyDescent="0.2">
      <c r="K644" s="28"/>
      <c r="L644" s="28"/>
    </row>
    <row r="645" spans="11:12" ht="12.75" customHeight="1" x14ac:dyDescent="0.2">
      <c r="K645" s="28"/>
      <c r="L645" s="28"/>
    </row>
    <row r="646" spans="11:12" ht="12.75" customHeight="1" x14ac:dyDescent="0.2">
      <c r="K646" s="28"/>
      <c r="L646" s="28"/>
    </row>
    <row r="647" spans="11:12" ht="12.75" customHeight="1" x14ac:dyDescent="0.2">
      <c r="K647" s="28"/>
      <c r="L647" s="28"/>
    </row>
    <row r="648" spans="11:12" ht="12.75" customHeight="1" x14ac:dyDescent="0.2">
      <c r="K648" s="28"/>
      <c r="L648" s="28"/>
    </row>
    <row r="649" spans="11:12" ht="12.75" customHeight="1" x14ac:dyDescent="0.2">
      <c r="K649" s="28"/>
      <c r="L649" s="28"/>
    </row>
    <row r="650" spans="11:12" ht="12.75" customHeight="1" x14ac:dyDescent="0.2">
      <c r="K650" s="28"/>
      <c r="L650" s="28"/>
    </row>
    <row r="651" spans="11:12" ht="12.75" customHeight="1" x14ac:dyDescent="0.2">
      <c r="K651" s="28"/>
      <c r="L651" s="28"/>
    </row>
    <row r="652" spans="11:12" ht="12.75" customHeight="1" x14ac:dyDescent="0.2">
      <c r="K652" s="28"/>
      <c r="L652" s="28"/>
    </row>
    <row r="653" spans="11:12" ht="12.75" customHeight="1" x14ac:dyDescent="0.2">
      <c r="K653" s="28"/>
      <c r="L653" s="28"/>
    </row>
    <row r="654" spans="11:12" ht="12.75" customHeight="1" x14ac:dyDescent="0.2">
      <c r="K654" s="28"/>
      <c r="L654" s="28"/>
    </row>
    <row r="655" spans="11:12" ht="12.75" customHeight="1" x14ac:dyDescent="0.2">
      <c r="K655" s="28"/>
      <c r="L655" s="28"/>
    </row>
    <row r="656" spans="11:12" ht="12.75" customHeight="1" x14ac:dyDescent="0.2">
      <c r="K656" s="28"/>
      <c r="L656" s="28"/>
    </row>
    <row r="657" spans="11:12" ht="12.75" customHeight="1" x14ac:dyDescent="0.2">
      <c r="K657" s="28"/>
      <c r="L657" s="28"/>
    </row>
    <row r="658" spans="11:12" ht="12.75" customHeight="1" x14ac:dyDescent="0.2">
      <c r="K658" s="28"/>
      <c r="L658" s="28"/>
    </row>
    <row r="659" spans="11:12" ht="12.75" customHeight="1" x14ac:dyDescent="0.2">
      <c r="K659" s="28"/>
      <c r="L659" s="28"/>
    </row>
    <row r="660" spans="11:12" ht="12.75" customHeight="1" x14ac:dyDescent="0.2">
      <c r="K660" s="28"/>
      <c r="L660" s="28"/>
    </row>
    <row r="661" spans="11:12" ht="12.75" customHeight="1" x14ac:dyDescent="0.2">
      <c r="K661" s="28"/>
      <c r="L661" s="28"/>
    </row>
    <row r="662" spans="11:12" ht="12.75" customHeight="1" x14ac:dyDescent="0.2">
      <c r="K662" s="28"/>
      <c r="L662" s="28"/>
    </row>
    <row r="663" spans="11:12" ht="12.75" customHeight="1" x14ac:dyDescent="0.2">
      <c r="K663" s="28"/>
      <c r="L663" s="28"/>
    </row>
    <row r="664" spans="11:12" ht="12.75" customHeight="1" x14ac:dyDescent="0.2">
      <c r="K664" s="28"/>
      <c r="L664" s="28"/>
    </row>
    <row r="665" spans="11:12" ht="12.75" customHeight="1" x14ac:dyDescent="0.2">
      <c r="K665" s="28"/>
      <c r="L665" s="28"/>
    </row>
    <row r="666" spans="11:12" ht="12.75" customHeight="1" x14ac:dyDescent="0.2">
      <c r="K666" s="28"/>
      <c r="L666" s="28"/>
    </row>
    <row r="667" spans="11:12" ht="12.75" customHeight="1" x14ac:dyDescent="0.2">
      <c r="K667" s="28"/>
      <c r="L667" s="28"/>
    </row>
    <row r="668" spans="11:12" ht="12.75" customHeight="1" x14ac:dyDescent="0.2">
      <c r="K668" s="28"/>
      <c r="L668" s="28"/>
    </row>
    <row r="669" spans="11:12" ht="12.75" customHeight="1" x14ac:dyDescent="0.2">
      <c r="K669" s="28"/>
      <c r="L669" s="28"/>
    </row>
    <row r="670" spans="11:12" ht="12.75" customHeight="1" x14ac:dyDescent="0.2">
      <c r="K670" s="28"/>
      <c r="L670" s="28"/>
    </row>
    <row r="671" spans="11:12" ht="12.75" customHeight="1" x14ac:dyDescent="0.2">
      <c r="K671" s="28"/>
      <c r="L671" s="28"/>
    </row>
    <row r="672" spans="11:12" ht="12.75" customHeight="1" x14ac:dyDescent="0.2">
      <c r="K672" s="28"/>
      <c r="L672" s="28"/>
    </row>
    <row r="673" spans="11:12" ht="12.75" customHeight="1" x14ac:dyDescent="0.2">
      <c r="K673" s="28"/>
      <c r="L673" s="28"/>
    </row>
    <row r="674" spans="11:12" ht="12.75" customHeight="1" x14ac:dyDescent="0.2">
      <c r="K674" s="28"/>
      <c r="L674" s="28"/>
    </row>
    <row r="675" spans="11:12" ht="12.75" customHeight="1" x14ac:dyDescent="0.2">
      <c r="K675" s="28"/>
      <c r="L675" s="28"/>
    </row>
    <row r="676" spans="11:12" ht="12.75" customHeight="1" x14ac:dyDescent="0.2">
      <c r="K676" s="28"/>
      <c r="L676" s="28"/>
    </row>
    <row r="677" spans="11:12" ht="12.75" customHeight="1" x14ac:dyDescent="0.2">
      <c r="K677" s="28"/>
      <c r="L677" s="28"/>
    </row>
    <row r="678" spans="11:12" ht="12.75" customHeight="1" x14ac:dyDescent="0.2">
      <c r="K678" s="28"/>
      <c r="L678" s="28"/>
    </row>
    <row r="679" spans="11:12" ht="12.75" customHeight="1" x14ac:dyDescent="0.2">
      <c r="K679" s="28"/>
      <c r="L679" s="28"/>
    </row>
    <row r="680" spans="11:12" ht="12.75" customHeight="1" x14ac:dyDescent="0.2">
      <c r="K680" s="28"/>
      <c r="L680" s="28"/>
    </row>
    <row r="681" spans="11:12" ht="12.75" customHeight="1" x14ac:dyDescent="0.2">
      <c r="K681" s="28"/>
      <c r="L681" s="28"/>
    </row>
    <row r="682" spans="11:12" ht="12.75" customHeight="1" x14ac:dyDescent="0.2">
      <c r="K682" s="28"/>
      <c r="L682" s="28"/>
    </row>
    <row r="683" spans="11:12" ht="12.75" customHeight="1" x14ac:dyDescent="0.2">
      <c r="K683" s="28"/>
      <c r="L683" s="28"/>
    </row>
    <row r="684" spans="11:12" ht="12.75" customHeight="1" x14ac:dyDescent="0.2">
      <c r="K684" s="28"/>
      <c r="L684" s="28"/>
    </row>
    <row r="685" spans="11:12" ht="12.75" customHeight="1" x14ac:dyDescent="0.2">
      <c r="K685" s="28"/>
      <c r="L685" s="28"/>
    </row>
    <row r="686" spans="11:12" ht="12.75" customHeight="1" x14ac:dyDescent="0.2">
      <c r="K686" s="28"/>
      <c r="L686" s="28"/>
    </row>
    <row r="687" spans="11:12" ht="12.75" customHeight="1" x14ac:dyDescent="0.2">
      <c r="K687" s="28"/>
      <c r="L687" s="28"/>
    </row>
    <row r="688" spans="11:12" ht="12.75" customHeight="1" x14ac:dyDescent="0.2">
      <c r="K688" s="28"/>
      <c r="L688" s="28"/>
    </row>
    <row r="689" spans="11:12" ht="12.75" customHeight="1" x14ac:dyDescent="0.2">
      <c r="K689" s="28"/>
      <c r="L689" s="28"/>
    </row>
    <row r="690" spans="11:12" ht="12.75" customHeight="1" x14ac:dyDescent="0.2">
      <c r="K690" s="28"/>
      <c r="L690" s="28"/>
    </row>
    <row r="691" spans="11:12" ht="12.75" customHeight="1" x14ac:dyDescent="0.2">
      <c r="K691" s="28"/>
      <c r="L691" s="28"/>
    </row>
    <row r="692" spans="11:12" ht="12.75" customHeight="1" x14ac:dyDescent="0.2">
      <c r="K692" s="28"/>
      <c r="L692" s="28"/>
    </row>
    <row r="693" spans="11:12" ht="12.75" customHeight="1" x14ac:dyDescent="0.2">
      <c r="K693" s="28"/>
      <c r="L693" s="28"/>
    </row>
    <row r="694" spans="11:12" ht="12.75" customHeight="1" x14ac:dyDescent="0.2">
      <c r="K694" s="28"/>
      <c r="L694" s="28"/>
    </row>
    <row r="695" spans="11:12" ht="12.75" customHeight="1" x14ac:dyDescent="0.2">
      <c r="K695" s="28"/>
      <c r="L695" s="28"/>
    </row>
    <row r="696" spans="11:12" ht="12.75" customHeight="1" x14ac:dyDescent="0.2">
      <c r="K696" s="28"/>
      <c r="L696" s="28"/>
    </row>
    <row r="697" spans="11:12" ht="12.75" customHeight="1" x14ac:dyDescent="0.2">
      <c r="K697" s="28"/>
      <c r="L697" s="28"/>
    </row>
    <row r="698" spans="11:12" ht="12.75" customHeight="1" x14ac:dyDescent="0.2">
      <c r="K698" s="28"/>
      <c r="L698" s="28"/>
    </row>
    <row r="699" spans="11:12" ht="12.75" customHeight="1" x14ac:dyDescent="0.2">
      <c r="K699" s="28"/>
      <c r="L699" s="28"/>
    </row>
    <row r="700" spans="11:12" ht="12.75" customHeight="1" x14ac:dyDescent="0.2">
      <c r="K700" s="28"/>
      <c r="L700" s="28"/>
    </row>
    <row r="701" spans="11:12" ht="12.75" customHeight="1" x14ac:dyDescent="0.2">
      <c r="K701" s="28"/>
      <c r="L701" s="28"/>
    </row>
    <row r="702" spans="11:12" ht="12.75" customHeight="1" x14ac:dyDescent="0.2">
      <c r="K702" s="28"/>
      <c r="L702" s="28"/>
    </row>
    <row r="703" spans="11:12" ht="12.75" customHeight="1" x14ac:dyDescent="0.2">
      <c r="K703" s="28"/>
      <c r="L703" s="28"/>
    </row>
    <row r="704" spans="11:12" ht="12.75" customHeight="1" x14ac:dyDescent="0.2">
      <c r="K704" s="28"/>
      <c r="L704" s="28"/>
    </row>
    <row r="705" spans="11:12" ht="12.75" customHeight="1" x14ac:dyDescent="0.2">
      <c r="K705" s="28"/>
      <c r="L705" s="28"/>
    </row>
    <row r="706" spans="11:12" ht="12.75" customHeight="1" x14ac:dyDescent="0.2">
      <c r="K706" s="28"/>
      <c r="L706" s="28"/>
    </row>
    <row r="707" spans="11:12" ht="12.75" customHeight="1" x14ac:dyDescent="0.2">
      <c r="K707" s="28"/>
      <c r="L707" s="28"/>
    </row>
    <row r="708" spans="11:12" ht="12.75" customHeight="1" x14ac:dyDescent="0.2">
      <c r="K708" s="28"/>
      <c r="L708" s="28"/>
    </row>
    <row r="709" spans="11:12" ht="12.75" customHeight="1" x14ac:dyDescent="0.2">
      <c r="K709" s="28"/>
      <c r="L709" s="28"/>
    </row>
    <row r="710" spans="11:12" ht="12.75" customHeight="1" x14ac:dyDescent="0.2">
      <c r="K710" s="28"/>
      <c r="L710" s="28"/>
    </row>
    <row r="711" spans="11:12" ht="12.75" customHeight="1" x14ac:dyDescent="0.2">
      <c r="K711" s="28"/>
      <c r="L711" s="28"/>
    </row>
    <row r="712" spans="11:12" ht="12.75" customHeight="1" x14ac:dyDescent="0.2">
      <c r="K712" s="28"/>
      <c r="L712" s="28"/>
    </row>
    <row r="713" spans="11:12" ht="12.75" customHeight="1" x14ac:dyDescent="0.2">
      <c r="K713" s="28"/>
      <c r="L713" s="28"/>
    </row>
    <row r="714" spans="11:12" ht="12.75" customHeight="1" x14ac:dyDescent="0.2">
      <c r="K714" s="28"/>
      <c r="L714" s="28"/>
    </row>
    <row r="715" spans="11:12" ht="12.75" customHeight="1" x14ac:dyDescent="0.2">
      <c r="K715" s="28"/>
      <c r="L715" s="28"/>
    </row>
    <row r="716" spans="11:12" ht="12.75" customHeight="1" x14ac:dyDescent="0.2">
      <c r="K716" s="28"/>
      <c r="L716" s="28"/>
    </row>
    <row r="717" spans="11:12" ht="12.75" customHeight="1" x14ac:dyDescent="0.2">
      <c r="K717" s="28"/>
      <c r="L717" s="28"/>
    </row>
    <row r="718" spans="11:12" ht="12.75" customHeight="1" x14ac:dyDescent="0.2">
      <c r="K718" s="28"/>
      <c r="L718" s="28"/>
    </row>
    <row r="719" spans="11:12" ht="12.75" customHeight="1" x14ac:dyDescent="0.2">
      <c r="K719" s="28"/>
      <c r="L719" s="28"/>
    </row>
    <row r="720" spans="11:12" ht="12.75" customHeight="1" x14ac:dyDescent="0.2">
      <c r="K720" s="28"/>
      <c r="L720" s="28"/>
    </row>
    <row r="721" spans="11:12" ht="12.75" customHeight="1" x14ac:dyDescent="0.2">
      <c r="K721" s="28"/>
      <c r="L721" s="28"/>
    </row>
    <row r="722" spans="11:12" ht="12.75" customHeight="1" x14ac:dyDescent="0.2">
      <c r="K722" s="28"/>
      <c r="L722" s="28"/>
    </row>
    <row r="723" spans="11:12" ht="12.75" customHeight="1" x14ac:dyDescent="0.2">
      <c r="K723" s="28"/>
      <c r="L723" s="28"/>
    </row>
    <row r="724" spans="11:12" ht="12.75" customHeight="1" x14ac:dyDescent="0.2">
      <c r="K724" s="28"/>
      <c r="L724" s="28"/>
    </row>
    <row r="725" spans="11:12" ht="12.75" customHeight="1" x14ac:dyDescent="0.2">
      <c r="K725" s="28"/>
      <c r="L725" s="28"/>
    </row>
    <row r="726" spans="11:12" ht="12.75" customHeight="1" x14ac:dyDescent="0.2">
      <c r="K726" s="28"/>
      <c r="L726" s="28"/>
    </row>
    <row r="727" spans="11:12" ht="12.75" customHeight="1" x14ac:dyDescent="0.2">
      <c r="K727" s="28"/>
      <c r="L727" s="28"/>
    </row>
    <row r="728" spans="11:12" ht="12.75" customHeight="1" x14ac:dyDescent="0.2">
      <c r="K728" s="28"/>
      <c r="L728" s="28"/>
    </row>
    <row r="729" spans="11:12" ht="12.75" customHeight="1" x14ac:dyDescent="0.2">
      <c r="K729" s="28"/>
      <c r="L729" s="28"/>
    </row>
    <row r="730" spans="11:12" ht="12.75" customHeight="1" x14ac:dyDescent="0.2">
      <c r="K730" s="28"/>
      <c r="L730" s="28"/>
    </row>
    <row r="731" spans="11:12" ht="12.75" customHeight="1" x14ac:dyDescent="0.2">
      <c r="K731" s="28"/>
      <c r="L731" s="28"/>
    </row>
    <row r="732" spans="11:12" ht="12.75" customHeight="1" x14ac:dyDescent="0.2">
      <c r="K732" s="28"/>
      <c r="L732" s="28"/>
    </row>
    <row r="733" spans="11:12" ht="12.75" customHeight="1" x14ac:dyDescent="0.2">
      <c r="K733" s="28"/>
      <c r="L733" s="28"/>
    </row>
    <row r="734" spans="11:12" ht="12.75" customHeight="1" x14ac:dyDescent="0.2">
      <c r="K734" s="28"/>
      <c r="L734" s="28"/>
    </row>
    <row r="735" spans="11:12" ht="12.75" customHeight="1" x14ac:dyDescent="0.2">
      <c r="K735" s="28"/>
      <c r="L735" s="28"/>
    </row>
    <row r="736" spans="11:12" ht="12.75" customHeight="1" x14ac:dyDescent="0.2">
      <c r="K736" s="28"/>
      <c r="L736" s="28"/>
    </row>
    <row r="737" spans="11:12" ht="12.75" customHeight="1" x14ac:dyDescent="0.2">
      <c r="K737" s="28"/>
      <c r="L737" s="28"/>
    </row>
    <row r="738" spans="11:12" ht="12.75" customHeight="1" x14ac:dyDescent="0.2">
      <c r="K738" s="28"/>
      <c r="L738" s="28"/>
    </row>
    <row r="739" spans="11:12" ht="12.75" customHeight="1" x14ac:dyDescent="0.2">
      <c r="K739" s="28"/>
      <c r="L739" s="28"/>
    </row>
    <row r="740" spans="11:12" ht="12.75" customHeight="1" x14ac:dyDescent="0.2">
      <c r="K740" s="28"/>
      <c r="L740" s="28"/>
    </row>
    <row r="741" spans="11:12" ht="12.75" customHeight="1" x14ac:dyDescent="0.2">
      <c r="K741" s="28"/>
      <c r="L741" s="28"/>
    </row>
    <row r="742" spans="11:12" ht="12.75" customHeight="1" x14ac:dyDescent="0.2">
      <c r="K742" s="28"/>
      <c r="L742" s="28"/>
    </row>
    <row r="743" spans="11:12" ht="12.75" customHeight="1" x14ac:dyDescent="0.2">
      <c r="K743" s="28"/>
      <c r="L743" s="28"/>
    </row>
    <row r="744" spans="11:12" ht="12.75" customHeight="1" x14ac:dyDescent="0.2">
      <c r="K744" s="28"/>
      <c r="L744" s="28"/>
    </row>
    <row r="745" spans="11:12" ht="12.75" customHeight="1" x14ac:dyDescent="0.2">
      <c r="K745" s="28"/>
      <c r="L745" s="28"/>
    </row>
    <row r="746" spans="11:12" ht="12.75" customHeight="1" x14ac:dyDescent="0.2">
      <c r="K746" s="28"/>
      <c r="L746" s="28"/>
    </row>
    <row r="747" spans="11:12" ht="12.75" customHeight="1" x14ac:dyDescent="0.2">
      <c r="K747" s="28"/>
      <c r="L747" s="28"/>
    </row>
    <row r="748" spans="11:12" ht="12.75" customHeight="1" x14ac:dyDescent="0.2">
      <c r="K748" s="28"/>
      <c r="L748" s="28"/>
    </row>
    <row r="749" spans="11:12" ht="12.75" customHeight="1" x14ac:dyDescent="0.2">
      <c r="K749" s="28"/>
      <c r="L749" s="28"/>
    </row>
    <row r="750" spans="11:12" ht="12.75" customHeight="1" x14ac:dyDescent="0.2">
      <c r="K750" s="28"/>
      <c r="L750" s="28"/>
    </row>
    <row r="751" spans="11:12" ht="12.75" customHeight="1" x14ac:dyDescent="0.2">
      <c r="K751" s="28"/>
      <c r="L751" s="28"/>
    </row>
    <row r="752" spans="11:12" ht="12.75" customHeight="1" x14ac:dyDescent="0.2">
      <c r="K752" s="28"/>
      <c r="L752" s="28"/>
    </row>
    <row r="753" spans="11:12" ht="12.75" customHeight="1" x14ac:dyDescent="0.2">
      <c r="K753" s="28"/>
      <c r="L753" s="28"/>
    </row>
    <row r="754" spans="11:12" ht="12.75" customHeight="1" x14ac:dyDescent="0.2">
      <c r="K754" s="28"/>
      <c r="L754" s="28"/>
    </row>
    <row r="755" spans="11:12" ht="12.75" customHeight="1" x14ac:dyDescent="0.2">
      <c r="K755" s="28"/>
      <c r="L755" s="28"/>
    </row>
    <row r="756" spans="11:12" ht="12.75" customHeight="1" x14ac:dyDescent="0.2">
      <c r="K756" s="28"/>
      <c r="L756" s="28"/>
    </row>
    <row r="757" spans="11:12" ht="12.75" customHeight="1" x14ac:dyDescent="0.2">
      <c r="K757" s="28"/>
      <c r="L757" s="28"/>
    </row>
    <row r="758" spans="11:12" ht="12.75" customHeight="1" x14ac:dyDescent="0.2">
      <c r="K758" s="28"/>
      <c r="L758" s="28"/>
    </row>
    <row r="759" spans="11:12" ht="12.75" customHeight="1" x14ac:dyDescent="0.2">
      <c r="K759" s="28"/>
      <c r="L759" s="28"/>
    </row>
    <row r="760" spans="11:12" ht="12.75" customHeight="1" x14ac:dyDescent="0.2">
      <c r="K760" s="28"/>
      <c r="L760" s="28"/>
    </row>
    <row r="761" spans="11:12" ht="12.75" customHeight="1" x14ac:dyDescent="0.2">
      <c r="K761" s="28"/>
      <c r="L761" s="28"/>
    </row>
    <row r="762" spans="11:12" ht="12.75" customHeight="1" x14ac:dyDescent="0.2">
      <c r="K762" s="28"/>
      <c r="L762" s="28"/>
    </row>
    <row r="763" spans="11:12" ht="12.75" customHeight="1" x14ac:dyDescent="0.2">
      <c r="K763" s="28"/>
      <c r="L763" s="28"/>
    </row>
    <row r="764" spans="11:12" ht="12.75" customHeight="1" x14ac:dyDescent="0.2">
      <c r="K764" s="28"/>
      <c r="L764" s="28"/>
    </row>
    <row r="765" spans="11:12" ht="12.75" customHeight="1" x14ac:dyDescent="0.2">
      <c r="K765" s="28"/>
      <c r="L765" s="28"/>
    </row>
    <row r="766" spans="11:12" ht="12.75" customHeight="1" x14ac:dyDescent="0.2">
      <c r="K766" s="28"/>
      <c r="L766" s="28"/>
    </row>
    <row r="767" spans="11:12" ht="12.75" customHeight="1" x14ac:dyDescent="0.2">
      <c r="K767" s="28"/>
      <c r="L767" s="28"/>
    </row>
    <row r="768" spans="11:12" ht="12.75" customHeight="1" x14ac:dyDescent="0.2">
      <c r="K768" s="28"/>
      <c r="L768" s="28"/>
    </row>
    <row r="769" spans="11:12" ht="12.75" customHeight="1" x14ac:dyDescent="0.2">
      <c r="K769" s="28"/>
      <c r="L769" s="28"/>
    </row>
    <row r="770" spans="11:12" ht="12.75" customHeight="1" x14ac:dyDescent="0.2">
      <c r="K770" s="28"/>
      <c r="L770" s="28"/>
    </row>
    <row r="771" spans="11:12" ht="12.75" customHeight="1" x14ac:dyDescent="0.2">
      <c r="K771" s="28"/>
      <c r="L771" s="28"/>
    </row>
    <row r="772" spans="11:12" ht="12.75" customHeight="1" x14ac:dyDescent="0.2">
      <c r="K772" s="28"/>
      <c r="L772" s="28"/>
    </row>
    <row r="773" spans="11:12" ht="12.75" customHeight="1" x14ac:dyDescent="0.2">
      <c r="K773" s="28"/>
      <c r="L773" s="28"/>
    </row>
    <row r="774" spans="11:12" ht="12.75" customHeight="1" x14ac:dyDescent="0.2">
      <c r="K774" s="28"/>
      <c r="L774" s="28"/>
    </row>
    <row r="775" spans="11:12" ht="12.75" customHeight="1" x14ac:dyDescent="0.2">
      <c r="K775" s="28"/>
      <c r="L775" s="28"/>
    </row>
    <row r="776" spans="11:12" ht="12.75" customHeight="1" x14ac:dyDescent="0.2">
      <c r="K776" s="28"/>
      <c r="L776" s="28"/>
    </row>
    <row r="777" spans="11:12" ht="12.75" customHeight="1" x14ac:dyDescent="0.2">
      <c r="K777" s="28"/>
      <c r="L777" s="28"/>
    </row>
    <row r="778" spans="11:12" ht="12.75" customHeight="1" x14ac:dyDescent="0.2">
      <c r="K778" s="28"/>
      <c r="L778" s="28"/>
    </row>
    <row r="779" spans="11:12" ht="12.75" customHeight="1" x14ac:dyDescent="0.2">
      <c r="K779" s="28"/>
      <c r="L779" s="28"/>
    </row>
    <row r="780" spans="11:12" ht="12.75" customHeight="1" x14ac:dyDescent="0.2">
      <c r="K780" s="28"/>
      <c r="L780" s="28"/>
    </row>
    <row r="781" spans="11:12" ht="12.75" customHeight="1" x14ac:dyDescent="0.2">
      <c r="K781" s="28"/>
      <c r="L781" s="28"/>
    </row>
    <row r="782" spans="11:12" ht="12.75" customHeight="1" x14ac:dyDescent="0.2">
      <c r="K782" s="28"/>
      <c r="L782" s="28"/>
    </row>
    <row r="783" spans="11:12" ht="12.75" customHeight="1" x14ac:dyDescent="0.2">
      <c r="K783" s="28"/>
      <c r="L783" s="28"/>
    </row>
    <row r="784" spans="11:12" ht="12.75" customHeight="1" x14ac:dyDescent="0.2">
      <c r="K784" s="28"/>
      <c r="L784" s="28"/>
    </row>
    <row r="785" spans="11:12" ht="12.75" customHeight="1" x14ac:dyDescent="0.2">
      <c r="K785" s="28"/>
      <c r="L785" s="28"/>
    </row>
    <row r="786" spans="11:12" ht="12.75" customHeight="1" x14ac:dyDescent="0.2">
      <c r="K786" s="28"/>
      <c r="L786" s="28"/>
    </row>
    <row r="787" spans="11:12" ht="12.75" customHeight="1" x14ac:dyDescent="0.2">
      <c r="K787" s="28"/>
      <c r="L787" s="28"/>
    </row>
    <row r="788" spans="11:12" ht="12.75" customHeight="1" x14ac:dyDescent="0.2">
      <c r="K788" s="28"/>
      <c r="L788" s="28"/>
    </row>
    <row r="789" spans="11:12" ht="12.75" customHeight="1" x14ac:dyDescent="0.2">
      <c r="K789" s="28"/>
      <c r="L789" s="28"/>
    </row>
    <row r="790" spans="11:12" ht="12.75" customHeight="1" x14ac:dyDescent="0.2">
      <c r="K790" s="28"/>
      <c r="L790" s="28"/>
    </row>
    <row r="791" spans="11:12" ht="12.75" customHeight="1" x14ac:dyDescent="0.2">
      <c r="K791" s="28"/>
      <c r="L791" s="28"/>
    </row>
    <row r="792" spans="11:12" ht="12.75" customHeight="1" x14ac:dyDescent="0.2">
      <c r="K792" s="28"/>
      <c r="L792" s="28"/>
    </row>
    <row r="793" spans="11:12" ht="12.75" customHeight="1" x14ac:dyDescent="0.2">
      <c r="K793" s="28"/>
      <c r="L793" s="28"/>
    </row>
    <row r="794" spans="11:12" ht="12.75" customHeight="1" x14ac:dyDescent="0.2">
      <c r="K794" s="28"/>
      <c r="L794" s="28"/>
    </row>
    <row r="795" spans="11:12" ht="12.75" customHeight="1" x14ac:dyDescent="0.2">
      <c r="K795" s="28"/>
      <c r="L795" s="28"/>
    </row>
    <row r="796" spans="11:12" ht="12.75" customHeight="1" x14ac:dyDescent="0.2">
      <c r="K796" s="28"/>
      <c r="L796" s="28"/>
    </row>
    <row r="797" spans="11:12" ht="12.75" customHeight="1" x14ac:dyDescent="0.2">
      <c r="K797" s="28"/>
      <c r="L797" s="28"/>
    </row>
    <row r="798" spans="11:12" ht="12.75" customHeight="1" x14ac:dyDescent="0.2">
      <c r="K798" s="28"/>
      <c r="L798" s="28"/>
    </row>
    <row r="799" spans="11:12" ht="12.75" customHeight="1" x14ac:dyDescent="0.2">
      <c r="K799" s="28"/>
      <c r="L799" s="28"/>
    </row>
    <row r="800" spans="11:12" ht="12.75" customHeight="1" x14ac:dyDescent="0.2">
      <c r="K800" s="28"/>
      <c r="L800" s="28"/>
    </row>
    <row r="801" spans="11:12" ht="12.75" customHeight="1" x14ac:dyDescent="0.2">
      <c r="K801" s="28"/>
      <c r="L801" s="28"/>
    </row>
    <row r="802" spans="11:12" ht="12.75" customHeight="1" x14ac:dyDescent="0.2">
      <c r="K802" s="28"/>
      <c r="L802" s="28"/>
    </row>
    <row r="803" spans="11:12" ht="12.75" customHeight="1" x14ac:dyDescent="0.2">
      <c r="K803" s="28"/>
      <c r="L803" s="28"/>
    </row>
    <row r="804" spans="11:12" ht="12.75" customHeight="1" x14ac:dyDescent="0.2">
      <c r="K804" s="28"/>
      <c r="L804" s="28"/>
    </row>
    <row r="805" spans="11:12" ht="12.75" customHeight="1" x14ac:dyDescent="0.2">
      <c r="K805" s="28"/>
      <c r="L805" s="28"/>
    </row>
    <row r="806" spans="11:12" ht="12.75" customHeight="1" x14ac:dyDescent="0.2">
      <c r="K806" s="28"/>
      <c r="L806" s="28"/>
    </row>
    <row r="807" spans="11:12" ht="12.75" customHeight="1" x14ac:dyDescent="0.2">
      <c r="K807" s="28"/>
      <c r="L807" s="28"/>
    </row>
    <row r="808" spans="11:12" ht="12.75" customHeight="1" x14ac:dyDescent="0.2">
      <c r="K808" s="28"/>
      <c r="L808" s="28"/>
    </row>
    <row r="809" spans="11:12" ht="12.75" customHeight="1" x14ac:dyDescent="0.2">
      <c r="K809" s="28"/>
      <c r="L809" s="28"/>
    </row>
    <row r="810" spans="11:12" ht="12.75" customHeight="1" x14ac:dyDescent="0.2">
      <c r="K810" s="28"/>
      <c r="L810" s="28"/>
    </row>
    <row r="811" spans="11:12" ht="12.75" customHeight="1" x14ac:dyDescent="0.2">
      <c r="K811" s="28"/>
      <c r="L811" s="28"/>
    </row>
    <row r="812" spans="11:12" ht="12.75" customHeight="1" x14ac:dyDescent="0.2">
      <c r="K812" s="28"/>
      <c r="L812" s="28"/>
    </row>
    <row r="813" spans="11:12" ht="12.75" customHeight="1" x14ac:dyDescent="0.2">
      <c r="K813" s="28"/>
      <c r="L813" s="28"/>
    </row>
    <row r="814" spans="11:12" ht="12.75" customHeight="1" x14ac:dyDescent="0.2">
      <c r="K814" s="28"/>
      <c r="L814" s="28"/>
    </row>
    <row r="815" spans="11:12" ht="12.75" customHeight="1" x14ac:dyDescent="0.2">
      <c r="K815" s="28"/>
      <c r="L815" s="28"/>
    </row>
    <row r="816" spans="11:12" ht="12.75" customHeight="1" x14ac:dyDescent="0.2">
      <c r="K816" s="28"/>
      <c r="L816" s="28"/>
    </row>
    <row r="817" spans="11:12" ht="12.75" customHeight="1" x14ac:dyDescent="0.2">
      <c r="K817" s="28"/>
      <c r="L817" s="28"/>
    </row>
    <row r="818" spans="11:12" ht="12.75" customHeight="1" x14ac:dyDescent="0.2">
      <c r="K818" s="28"/>
      <c r="L818" s="28"/>
    </row>
    <row r="819" spans="11:12" ht="12.75" customHeight="1" x14ac:dyDescent="0.2">
      <c r="K819" s="28"/>
      <c r="L819" s="28"/>
    </row>
    <row r="820" spans="11:12" ht="12.75" customHeight="1" x14ac:dyDescent="0.2">
      <c r="K820" s="28"/>
      <c r="L820" s="28"/>
    </row>
    <row r="821" spans="11:12" ht="12.75" customHeight="1" x14ac:dyDescent="0.2">
      <c r="K821" s="28"/>
      <c r="L821" s="28"/>
    </row>
    <row r="822" spans="11:12" ht="12.75" customHeight="1" x14ac:dyDescent="0.2">
      <c r="K822" s="28"/>
      <c r="L822" s="28"/>
    </row>
    <row r="823" spans="11:12" ht="12.75" customHeight="1" x14ac:dyDescent="0.2">
      <c r="K823" s="28"/>
      <c r="L823" s="28"/>
    </row>
    <row r="824" spans="11:12" ht="12.75" customHeight="1" x14ac:dyDescent="0.2">
      <c r="K824" s="28"/>
      <c r="L824" s="28"/>
    </row>
    <row r="825" spans="11:12" ht="12.75" customHeight="1" x14ac:dyDescent="0.2">
      <c r="K825" s="28"/>
      <c r="L825" s="28"/>
    </row>
    <row r="826" spans="11:12" ht="12.75" customHeight="1" x14ac:dyDescent="0.2">
      <c r="K826" s="28"/>
      <c r="L826" s="28"/>
    </row>
    <row r="827" spans="11:12" ht="12.75" customHeight="1" x14ac:dyDescent="0.2">
      <c r="K827" s="28"/>
      <c r="L827" s="28"/>
    </row>
    <row r="828" spans="11:12" ht="12.75" customHeight="1" x14ac:dyDescent="0.2">
      <c r="K828" s="28"/>
      <c r="L828" s="28"/>
    </row>
    <row r="829" spans="11:12" ht="12.75" customHeight="1" x14ac:dyDescent="0.2">
      <c r="K829" s="28"/>
      <c r="L829" s="28"/>
    </row>
    <row r="830" spans="11:12" ht="12.75" customHeight="1" x14ac:dyDescent="0.2">
      <c r="K830" s="28"/>
      <c r="L830" s="28"/>
    </row>
    <row r="831" spans="11:12" ht="12.75" customHeight="1" x14ac:dyDescent="0.2">
      <c r="K831" s="28"/>
      <c r="L831" s="28"/>
    </row>
    <row r="832" spans="11:12" ht="12.75" customHeight="1" x14ac:dyDescent="0.2">
      <c r="K832" s="28"/>
      <c r="L832" s="28"/>
    </row>
    <row r="833" spans="11:12" ht="12.75" customHeight="1" x14ac:dyDescent="0.2">
      <c r="K833" s="28"/>
      <c r="L833" s="28"/>
    </row>
    <row r="834" spans="11:12" ht="12.75" customHeight="1" x14ac:dyDescent="0.2">
      <c r="K834" s="28"/>
      <c r="L834" s="28"/>
    </row>
    <row r="835" spans="11:12" ht="12.75" customHeight="1" x14ac:dyDescent="0.2">
      <c r="K835" s="28"/>
      <c r="L835" s="28"/>
    </row>
    <row r="836" spans="11:12" ht="12.75" customHeight="1" x14ac:dyDescent="0.2">
      <c r="K836" s="28"/>
      <c r="L836" s="28"/>
    </row>
    <row r="837" spans="11:12" ht="12.75" customHeight="1" x14ac:dyDescent="0.2">
      <c r="K837" s="28"/>
      <c r="L837" s="28"/>
    </row>
    <row r="838" spans="11:12" ht="12.75" customHeight="1" x14ac:dyDescent="0.2">
      <c r="K838" s="28"/>
      <c r="L838" s="28"/>
    </row>
    <row r="839" spans="11:12" ht="12.75" customHeight="1" x14ac:dyDescent="0.2">
      <c r="K839" s="28"/>
      <c r="L839" s="28"/>
    </row>
    <row r="840" spans="11:12" ht="12.75" customHeight="1" x14ac:dyDescent="0.2">
      <c r="K840" s="28"/>
      <c r="L840" s="28"/>
    </row>
    <row r="841" spans="11:12" ht="12.75" customHeight="1" x14ac:dyDescent="0.2">
      <c r="K841" s="28"/>
      <c r="L841" s="28"/>
    </row>
    <row r="842" spans="11:12" ht="12.75" customHeight="1" x14ac:dyDescent="0.2">
      <c r="K842" s="28"/>
      <c r="L842" s="28"/>
    </row>
    <row r="843" spans="11:12" ht="12.75" customHeight="1" x14ac:dyDescent="0.2">
      <c r="K843" s="28"/>
      <c r="L843" s="28"/>
    </row>
    <row r="844" spans="11:12" ht="12.75" customHeight="1" x14ac:dyDescent="0.2">
      <c r="K844" s="28"/>
      <c r="L844" s="28"/>
    </row>
    <row r="845" spans="11:12" ht="12.75" customHeight="1" x14ac:dyDescent="0.2">
      <c r="K845" s="28"/>
      <c r="L845" s="28"/>
    </row>
    <row r="846" spans="11:12" ht="12.75" customHeight="1" x14ac:dyDescent="0.2">
      <c r="K846" s="28"/>
      <c r="L846" s="28"/>
    </row>
    <row r="847" spans="11:12" ht="12.75" customHeight="1" x14ac:dyDescent="0.2">
      <c r="K847" s="28"/>
      <c r="L847" s="28"/>
    </row>
    <row r="848" spans="11:12" ht="12.75" customHeight="1" x14ac:dyDescent="0.2">
      <c r="K848" s="28"/>
      <c r="L848" s="28"/>
    </row>
    <row r="849" spans="11:12" ht="12.75" customHeight="1" x14ac:dyDescent="0.2">
      <c r="K849" s="28"/>
      <c r="L849" s="28"/>
    </row>
    <row r="850" spans="11:12" ht="12.75" customHeight="1" x14ac:dyDescent="0.2">
      <c r="K850" s="28"/>
      <c r="L850" s="28"/>
    </row>
    <row r="851" spans="11:12" ht="12.75" customHeight="1" x14ac:dyDescent="0.2">
      <c r="K851" s="28"/>
      <c r="L851" s="28"/>
    </row>
    <row r="852" spans="11:12" ht="12.75" customHeight="1" x14ac:dyDescent="0.2">
      <c r="K852" s="28"/>
      <c r="L852" s="28"/>
    </row>
    <row r="853" spans="11:12" ht="12.75" customHeight="1" x14ac:dyDescent="0.2">
      <c r="K853" s="28"/>
      <c r="L853" s="28"/>
    </row>
    <row r="854" spans="11:12" ht="12.75" customHeight="1" x14ac:dyDescent="0.2">
      <c r="K854" s="28"/>
      <c r="L854" s="28"/>
    </row>
    <row r="855" spans="11:12" ht="12.75" customHeight="1" x14ac:dyDescent="0.2">
      <c r="K855" s="28"/>
      <c r="L855" s="28"/>
    </row>
    <row r="856" spans="11:12" ht="12.75" customHeight="1" x14ac:dyDescent="0.2">
      <c r="K856" s="28"/>
      <c r="L856" s="28"/>
    </row>
    <row r="857" spans="11:12" ht="12.75" customHeight="1" x14ac:dyDescent="0.2">
      <c r="K857" s="28"/>
      <c r="L857" s="28"/>
    </row>
    <row r="858" spans="11:12" ht="12.75" customHeight="1" x14ac:dyDescent="0.2">
      <c r="K858" s="28"/>
      <c r="L858" s="28"/>
    </row>
    <row r="859" spans="11:12" ht="12.75" customHeight="1" x14ac:dyDescent="0.2">
      <c r="K859" s="28"/>
      <c r="L859" s="28"/>
    </row>
    <row r="860" spans="11:12" ht="12.75" customHeight="1" x14ac:dyDescent="0.2">
      <c r="K860" s="28"/>
      <c r="L860" s="28"/>
    </row>
    <row r="861" spans="11:12" ht="12.75" customHeight="1" x14ac:dyDescent="0.2">
      <c r="K861" s="28"/>
      <c r="L861" s="28"/>
    </row>
    <row r="862" spans="11:12" ht="12.75" customHeight="1" x14ac:dyDescent="0.2">
      <c r="K862" s="28"/>
      <c r="L862" s="28"/>
    </row>
    <row r="863" spans="11:12" ht="12.75" customHeight="1" x14ac:dyDescent="0.2">
      <c r="K863" s="28"/>
      <c r="L863" s="28"/>
    </row>
    <row r="864" spans="11:12" ht="12.75" customHeight="1" x14ac:dyDescent="0.2">
      <c r="K864" s="28"/>
      <c r="L864" s="28"/>
    </row>
    <row r="865" spans="11:12" ht="12.75" customHeight="1" x14ac:dyDescent="0.2">
      <c r="K865" s="28"/>
      <c r="L865" s="28"/>
    </row>
    <row r="866" spans="11:12" ht="12.75" customHeight="1" x14ac:dyDescent="0.2">
      <c r="K866" s="28"/>
      <c r="L866" s="28"/>
    </row>
    <row r="867" spans="11:12" ht="12.75" customHeight="1" x14ac:dyDescent="0.2">
      <c r="K867" s="28"/>
      <c r="L867" s="28"/>
    </row>
    <row r="868" spans="11:12" ht="12.75" customHeight="1" x14ac:dyDescent="0.2">
      <c r="K868" s="28"/>
      <c r="L868" s="28"/>
    </row>
    <row r="869" spans="11:12" ht="12.75" customHeight="1" x14ac:dyDescent="0.2">
      <c r="K869" s="28"/>
      <c r="L869" s="28"/>
    </row>
    <row r="870" spans="11:12" ht="12.75" customHeight="1" x14ac:dyDescent="0.2">
      <c r="K870" s="28"/>
      <c r="L870" s="28"/>
    </row>
    <row r="871" spans="11:12" ht="12.75" customHeight="1" x14ac:dyDescent="0.2">
      <c r="K871" s="28"/>
      <c r="L871" s="28"/>
    </row>
    <row r="872" spans="11:12" ht="12.75" customHeight="1" x14ac:dyDescent="0.2">
      <c r="K872" s="28"/>
      <c r="L872" s="28"/>
    </row>
    <row r="873" spans="11:12" ht="12.75" customHeight="1" x14ac:dyDescent="0.2">
      <c r="K873" s="28"/>
      <c r="L873" s="28"/>
    </row>
    <row r="874" spans="11:12" ht="12.75" customHeight="1" x14ac:dyDescent="0.2">
      <c r="K874" s="28"/>
      <c r="L874" s="28"/>
    </row>
    <row r="875" spans="11:12" ht="12.75" customHeight="1" x14ac:dyDescent="0.2">
      <c r="K875" s="28"/>
      <c r="L875" s="28"/>
    </row>
    <row r="876" spans="11:12" ht="12.75" customHeight="1" x14ac:dyDescent="0.2">
      <c r="K876" s="28"/>
      <c r="L876" s="28"/>
    </row>
    <row r="877" spans="11:12" ht="12.75" customHeight="1" x14ac:dyDescent="0.2">
      <c r="K877" s="28"/>
      <c r="L877" s="28"/>
    </row>
    <row r="878" spans="11:12" ht="12.75" customHeight="1" x14ac:dyDescent="0.2">
      <c r="K878" s="28"/>
      <c r="L878" s="28"/>
    </row>
    <row r="879" spans="11:12" ht="12.75" customHeight="1" x14ac:dyDescent="0.2">
      <c r="K879" s="28"/>
      <c r="L879" s="28"/>
    </row>
    <row r="880" spans="11:12" ht="12.75" customHeight="1" x14ac:dyDescent="0.2">
      <c r="K880" s="28"/>
      <c r="L880" s="28"/>
    </row>
    <row r="881" spans="11:12" ht="12.75" customHeight="1" x14ac:dyDescent="0.2">
      <c r="K881" s="28"/>
      <c r="L881" s="28"/>
    </row>
    <row r="882" spans="11:12" ht="12.75" customHeight="1" x14ac:dyDescent="0.2">
      <c r="K882" s="28"/>
      <c r="L882" s="28"/>
    </row>
    <row r="883" spans="11:12" ht="12.75" customHeight="1" x14ac:dyDescent="0.2">
      <c r="K883" s="28"/>
      <c r="L883" s="28"/>
    </row>
    <row r="884" spans="11:12" ht="12.75" customHeight="1" x14ac:dyDescent="0.2">
      <c r="K884" s="28"/>
      <c r="L884" s="28"/>
    </row>
    <row r="885" spans="11:12" ht="12.75" customHeight="1" x14ac:dyDescent="0.2">
      <c r="K885" s="28"/>
      <c r="L885" s="28"/>
    </row>
    <row r="886" spans="11:12" ht="12.75" customHeight="1" x14ac:dyDescent="0.2">
      <c r="K886" s="28"/>
      <c r="L886" s="28"/>
    </row>
    <row r="887" spans="11:12" ht="12.75" customHeight="1" x14ac:dyDescent="0.2">
      <c r="K887" s="28"/>
      <c r="L887" s="28"/>
    </row>
    <row r="888" spans="11:12" ht="12.75" customHeight="1" x14ac:dyDescent="0.2">
      <c r="K888" s="28"/>
      <c r="L888" s="28"/>
    </row>
    <row r="889" spans="11:12" ht="12.75" customHeight="1" x14ac:dyDescent="0.2">
      <c r="K889" s="28"/>
      <c r="L889" s="28"/>
    </row>
    <row r="890" spans="11:12" ht="12.75" customHeight="1" x14ac:dyDescent="0.2">
      <c r="K890" s="28"/>
      <c r="L890" s="28"/>
    </row>
    <row r="891" spans="11:12" ht="12.75" customHeight="1" x14ac:dyDescent="0.2">
      <c r="K891" s="28"/>
      <c r="L891" s="28"/>
    </row>
    <row r="892" spans="11:12" ht="12.75" customHeight="1" x14ac:dyDescent="0.2">
      <c r="K892" s="28"/>
      <c r="L892" s="28"/>
    </row>
    <row r="893" spans="11:12" ht="12.75" customHeight="1" x14ac:dyDescent="0.2">
      <c r="K893" s="28"/>
      <c r="L893" s="28"/>
    </row>
    <row r="894" spans="11:12" ht="12.75" customHeight="1" x14ac:dyDescent="0.2">
      <c r="K894" s="28"/>
      <c r="L894" s="28"/>
    </row>
    <row r="895" spans="11:12" ht="12.75" customHeight="1" x14ac:dyDescent="0.2">
      <c r="K895" s="28"/>
      <c r="L895" s="28"/>
    </row>
    <row r="896" spans="11:12" ht="12.75" customHeight="1" x14ac:dyDescent="0.2">
      <c r="K896" s="28"/>
      <c r="L896" s="28"/>
    </row>
    <row r="897" spans="11:12" ht="12.75" customHeight="1" x14ac:dyDescent="0.2">
      <c r="K897" s="28"/>
      <c r="L897" s="28"/>
    </row>
    <row r="898" spans="11:12" ht="12.75" customHeight="1" x14ac:dyDescent="0.2">
      <c r="K898" s="28"/>
      <c r="L898" s="28"/>
    </row>
    <row r="899" spans="11:12" ht="12.75" customHeight="1" x14ac:dyDescent="0.2">
      <c r="K899" s="28"/>
      <c r="L899" s="28"/>
    </row>
    <row r="900" spans="11:12" ht="12.75" customHeight="1" x14ac:dyDescent="0.2">
      <c r="K900" s="28"/>
      <c r="L900" s="28"/>
    </row>
    <row r="901" spans="11:12" ht="12.75" customHeight="1" x14ac:dyDescent="0.2">
      <c r="K901" s="28"/>
      <c r="L901" s="28"/>
    </row>
    <row r="902" spans="11:12" ht="12.75" customHeight="1" x14ac:dyDescent="0.2">
      <c r="K902" s="28"/>
      <c r="L902" s="28"/>
    </row>
    <row r="903" spans="11:12" ht="12.75" customHeight="1" x14ac:dyDescent="0.2">
      <c r="K903" s="28"/>
      <c r="L903" s="28"/>
    </row>
    <row r="904" spans="11:12" ht="12.75" customHeight="1" x14ac:dyDescent="0.2">
      <c r="K904" s="28"/>
      <c r="L904" s="28"/>
    </row>
    <row r="905" spans="11:12" ht="12.75" customHeight="1" x14ac:dyDescent="0.2">
      <c r="K905" s="28"/>
      <c r="L905" s="28"/>
    </row>
    <row r="906" spans="11:12" ht="12.75" customHeight="1" x14ac:dyDescent="0.2">
      <c r="K906" s="28"/>
      <c r="L906" s="28"/>
    </row>
    <row r="907" spans="11:12" ht="12.75" customHeight="1" x14ac:dyDescent="0.2">
      <c r="K907" s="28"/>
      <c r="L907" s="28"/>
    </row>
    <row r="908" spans="11:12" ht="12.75" customHeight="1" x14ac:dyDescent="0.2">
      <c r="K908" s="28"/>
      <c r="L908" s="28"/>
    </row>
    <row r="909" spans="11:12" ht="12.75" customHeight="1" x14ac:dyDescent="0.2">
      <c r="K909" s="28"/>
      <c r="L909" s="28"/>
    </row>
    <row r="910" spans="11:12" ht="12.75" customHeight="1" x14ac:dyDescent="0.2">
      <c r="K910" s="28"/>
      <c r="L910" s="28"/>
    </row>
    <row r="911" spans="11:12" ht="12.75" customHeight="1" x14ac:dyDescent="0.2">
      <c r="K911" s="28"/>
      <c r="L911" s="28"/>
    </row>
    <row r="912" spans="11:12" ht="12.75" customHeight="1" x14ac:dyDescent="0.2">
      <c r="K912" s="28"/>
      <c r="L912" s="28"/>
    </row>
    <row r="913" spans="11:12" ht="12.75" customHeight="1" x14ac:dyDescent="0.2">
      <c r="K913" s="28"/>
      <c r="L913" s="28"/>
    </row>
    <row r="914" spans="11:12" ht="12.75" customHeight="1" x14ac:dyDescent="0.2">
      <c r="K914" s="28"/>
      <c r="L914" s="28"/>
    </row>
    <row r="915" spans="11:12" ht="12.75" customHeight="1" x14ac:dyDescent="0.2">
      <c r="K915" s="28"/>
      <c r="L915" s="28"/>
    </row>
    <row r="916" spans="11:12" ht="12.75" customHeight="1" x14ac:dyDescent="0.2">
      <c r="K916" s="28"/>
      <c r="L916" s="28"/>
    </row>
    <row r="917" spans="11:12" ht="12.75" customHeight="1" x14ac:dyDescent="0.2">
      <c r="K917" s="28"/>
      <c r="L917" s="28"/>
    </row>
    <row r="918" spans="11:12" ht="12.75" customHeight="1" x14ac:dyDescent="0.2">
      <c r="K918" s="28"/>
      <c r="L918" s="28"/>
    </row>
    <row r="919" spans="11:12" ht="12.75" customHeight="1" x14ac:dyDescent="0.2">
      <c r="K919" s="28"/>
      <c r="L919" s="28"/>
    </row>
    <row r="920" spans="11:12" ht="12.75" customHeight="1" x14ac:dyDescent="0.2">
      <c r="K920" s="28"/>
      <c r="L920" s="28"/>
    </row>
    <row r="921" spans="11:12" ht="12.75" customHeight="1" x14ac:dyDescent="0.2">
      <c r="K921" s="28"/>
      <c r="L921" s="28"/>
    </row>
    <row r="922" spans="11:12" ht="12.75" customHeight="1" x14ac:dyDescent="0.2">
      <c r="K922" s="28"/>
      <c r="L922" s="28"/>
    </row>
    <row r="923" spans="11:12" ht="12.75" customHeight="1" x14ac:dyDescent="0.2">
      <c r="K923" s="28"/>
      <c r="L923" s="28"/>
    </row>
    <row r="924" spans="11:12" ht="12.75" customHeight="1" x14ac:dyDescent="0.2">
      <c r="K924" s="28"/>
      <c r="L924" s="28"/>
    </row>
    <row r="925" spans="11:12" ht="12.75" customHeight="1" x14ac:dyDescent="0.2">
      <c r="K925" s="28"/>
      <c r="L925" s="28"/>
    </row>
    <row r="926" spans="11:12" ht="12.75" customHeight="1" x14ac:dyDescent="0.2">
      <c r="K926" s="28"/>
      <c r="L926" s="28"/>
    </row>
    <row r="927" spans="11:12" ht="12.75" customHeight="1" x14ac:dyDescent="0.2">
      <c r="K927" s="28"/>
      <c r="L927" s="28"/>
    </row>
    <row r="928" spans="11:12" ht="12.75" customHeight="1" x14ac:dyDescent="0.2">
      <c r="K928" s="28"/>
      <c r="L928" s="28"/>
    </row>
    <row r="929" spans="11:12" ht="12.75" customHeight="1" x14ac:dyDescent="0.2">
      <c r="K929" s="28"/>
      <c r="L929" s="28"/>
    </row>
    <row r="930" spans="11:12" ht="12.75" customHeight="1" x14ac:dyDescent="0.2">
      <c r="K930" s="28"/>
      <c r="L930" s="28"/>
    </row>
    <row r="931" spans="11:12" ht="12.75" customHeight="1" x14ac:dyDescent="0.2">
      <c r="K931" s="28"/>
      <c r="L931" s="28"/>
    </row>
    <row r="932" spans="11:12" ht="12.75" customHeight="1" x14ac:dyDescent="0.2">
      <c r="K932" s="28"/>
      <c r="L932" s="28"/>
    </row>
    <row r="933" spans="11:12" ht="12.75" customHeight="1" x14ac:dyDescent="0.2">
      <c r="K933" s="28"/>
      <c r="L933" s="28"/>
    </row>
    <row r="934" spans="11:12" ht="12.75" customHeight="1" x14ac:dyDescent="0.2">
      <c r="K934" s="28"/>
      <c r="L934" s="28"/>
    </row>
    <row r="935" spans="11:12" ht="12.75" customHeight="1" x14ac:dyDescent="0.2">
      <c r="K935" s="28"/>
      <c r="L935" s="28"/>
    </row>
    <row r="936" spans="11:12" ht="12.75" customHeight="1" x14ac:dyDescent="0.2">
      <c r="K936" s="28"/>
      <c r="L936" s="28"/>
    </row>
    <row r="937" spans="11:12" ht="12.75" customHeight="1" x14ac:dyDescent="0.2">
      <c r="K937" s="28"/>
      <c r="L937" s="28"/>
    </row>
    <row r="938" spans="11:12" ht="12.75" customHeight="1" x14ac:dyDescent="0.2">
      <c r="K938" s="28"/>
      <c r="L938" s="28"/>
    </row>
    <row r="939" spans="11:12" ht="12.75" customHeight="1" x14ac:dyDescent="0.2">
      <c r="K939" s="28"/>
      <c r="L939" s="28"/>
    </row>
    <row r="940" spans="11:12" ht="12.75" customHeight="1" x14ac:dyDescent="0.2">
      <c r="K940" s="28"/>
      <c r="L940" s="28"/>
    </row>
    <row r="941" spans="11:12" ht="12.75" customHeight="1" x14ac:dyDescent="0.2">
      <c r="K941" s="28"/>
      <c r="L941" s="28"/>
    </row>
    <row r="942" spans="11:12" ht="12.75" customHeight="1" x14ac:dyDescent="0.2">
      <c r="K942" s="28"/>
      <c r="L942" s="28"/>
    </row>
    <row r="943" spans="11:12" ht="12.75" customHeight="1" x14ac:dyDescent="0.2">
      <c r="K943" s="28"/>
      <c r="L943" s="28"/>
    </row>
    <row r="944" spans="11:12" ht="12.75" customHeight="1" x14ac:dyDescent="0.2">
      <c r="K944" s="28"/>
      <c r="L944" s="28"/>
    </row>
    <row r="945" spans="11:12" ht="12.75" customHeight="1" x14ac:dyDescent="0.2">
      <c r="K945" s="28"/>
      <c r="L945" s="28"/>
    </row>
    <row r="946" spans="11:12" ht="12.75" customHeight="1" x14ac:dyDescent="0.2">
      <c r="K946" s="28"/>
      <c r="L946" s="28"/>
    </row>
    <row r="947" spans="11:12" ht="12.75" customHeight="1" x14ac:dyDescent="0.2">
      <c r="K947" s="28"/>
      <c r="L947" s="28"/>
    </row>
    <row r="948" spans="11:12" ht="12.75" customHeight="1" x14ac:dyDescent="0.2">
      <c r="K948" s="28"/>
      <c r="L948" s="28"/>
    </row>
    <row r="949" spans="11:12" ht="12.75" customHeight="1" x14ac:dyDescent="0.2">
      <c r="K949" s="28"/>
      <c r="L949" s="28"/>
    </row>
    <row r="950" spans="11:12" ht="12.75" customHeight="1" x14ac:dyDescent="0.2">
      <c r="K950" s="28"/>
      <c r="L950" s="28"/>
    </row>
    <row r="951" spans="11:12" ht="12.75" customHeight="1" x14ac:dyDescent="0.2">
      <c r="K951" s="28"/>
      <c r="L951" s="28"/>
    </row>
    <row r="952" spans="11:12" ht="12.75" customHeight="1" x14ac:dyDescent="0.2">
      <c r="K952" s="28"/>
      <c r="L952" s="28"/>
    </row>
    <row r="953" spans="11:12" ht="12.75" customHeight="1" x14ac:dyDescent="0.2">
      <c r="K953" s="28"/>
      <c r="L953" s="28"/>
    </row>
    <row r="954" spans="11:12" ht="12.75" customHeight="1" x14ac:dyDescent="0.2">
      <c r="K954" s="28"/>
      <c r="L954" s="28"/>
    </row>
    <row r="955" spans="11:12" ht="12.75" customHeight="1" x14ac:dyDescent="0.2">
      <c r="K955" s="28"/>
      <c r="L955" s="28"/>
    </row>
    <row r="956" spans="11:12" ht="12.75" customHeight="1" x14ac:dyDescent="0.2">
      <c r="K956" s="28"/>
      <c r="L956" s="28"/>
    </row>
    <row r="957" spans="11:12" ht="12.75" customHeight="1" x14ac:dyDescent="0.2">
      <c r="K957" s="28"/>
      <c r="L957" s="28"/>
    </row>
    <row r="958" spans="11:12" ht="12.75" customHeight="1" x14ac:dyDescent="0.2">
      <c r="K958" s="28"/>
      <c r="L958" s="28"/>
    </row>
    <row r="959" spans="11:12" ht="12.75" customHeight="1" x14ac:dyDescent="0.2">
      <c r="K959" s="28"/>
      <c r="L959" s="28"/>
    </row>
    <row r="960" spans="11:12" ht="12.75" customHeight="1" x14ac:dyDescent="0.2">
      <c r="K960" s="28"/>
      <c r="L960" s="28"/>
    </row>
    <row r="961" spans="11:12" ht="12.75" customHeight="1" x14ac:dyDescent="0.2">
      <c r="K961" s="28"/>
      <c r="L961" s="28"/>
    </row>
    <row r="962" spans="11:12" ht="12.75" customHeight="1" x14ac:dyDescent="0.2">
      <c r="K962" s="28"/>
      <c r="L962" s="28"/>
    </row>
    <row r="963" spans="11:12" ht="12.75" customHeight="1" x14ac:dyDescent="0.2">
      <c r="K963" s="28"/>
      <c r="L963" s="28"/>
    </row>
    <row r="964" spans="11:12" ht="12.75" customHeight="1" x14ac:dyDescent="0.2">
      <c r="K964" s="28"/>
      <c r="L964" s="28"/>
    </row>
    <row r="965" spans="11:12" ht="12.75" customHeight="1" x14ac:dyDescent="0.2">
      <c r="K965" s="28"/>
      <c r="L965" s="28"/>
    </row>
    <row r="966" spans="11:12" ht="12.75" customHeight="1" x14ac:dyDescent="0.2">
      <c r="K966" s="28"/>
      <c r="L966" s="28"/>
    </row>
    <row r="967" spans="11:12" ht="12.75" customHeight="1" x14ac:dyDescent="0.2">
      <c r="K967" s="28"/>
      <c r="L967" s="28"/>
    </row>
    <row r="968" spans="11:12" ht="12.75" customHeight="1" x14ac:dyDescent="0.2">
      <c r="K968" s="28"/>
      <c r="L968" s="28"/>
    </row>
    <row r="969" spans="11:12" ht="12.75" customHeight="1" x14ac:dyDescent="0.2">
      <c r="K969" s="28"/>
      <c r="L969" s="28"/>
    </row>
    <row r="970" spans="11:12" ht="12.75" customHeight="1" x14ac:dyDescent="0.2">
      <c r="K970" s="28"/>
      <c r="L970" s="28"/>
    </row>
    <row r="971" spans="11:12" ht="12.75" customHeight="1" x14ac:dyDescent="0.2">
      <c r="K971" s="28"/>
      <c r="L971" s="28"/>
    </row>
    <row r="972" spans="11:12" ht="12.75" customHeight="1" x14ac:dyDescent="0.2">
      <c r="K972" s="28"/>
      <c r="L972" s="28"/>
    </row>
    <row r="973" spans="11:12" ht="12.75" customHeight="1" x14ac:dyDescent="0.2">
      <c r="K973" s="28"/>
      <c r="L973" s="28"/>
    </row>
    <row r="974" spans="11:12" ht="12.75" customHeight="1" x14ac:dyDescent="0.2">
      <c r="K974" s="28"/>
      <c r="L974" s="28"/>
    </row>
    <row r="975" spans="11:12" ht="12.75" customHeight="1" x14ac:dyDescent="0.2">
      <c r="K975" s="28"/>
      <c r="L975" s="28"/>
    </row>
    <row r="976" spans="11:12" ht="12.75" customHeight="1" x14ac:dyDescent="0.2">
      <c r="K976" s="28"/>
      <c r="L976" s="28"/>
    </row>
    <row r="977" spans="11:12" ht="12.75" customHeight="1" x14ac:dyDescent="0.2">
      <c r="K977" s="28"/>
      <c r="L977" s="28"/>
    </row>
    <row r="978" spans="11:12" ht="12.75" customHeight="1" x14ac:dyDescent="0.2">
      <c r="K978" s="28"/>
      <c r="L978" s="28"/>
    </row>
    <row r="979" spans="11:12" ht="12.75" customHeight="1" x14ac:dyDescent="0.2">
      <c r="K979" s="28"/>
      <c r="L979" s="28"/>
    </row>
    <row r="980" spans="11:12" ht="12.75" customHeight="1" x14ac:dyDescent="0.2">
      <c r="K980" s="28"/>
      <c r="L980" s="28"/>
    </row>
    <row r="981" spans="11:12" ht="12.75" customHeight="1" x14ac:dyDescent="0.2">
      <c r="K981" s="28"/>
      <c r="L981" s="28"/>
    </row>
    <row r="982" spans="11:12" ht="12.75" customHeight="1" x14ac:dyDescent="0.2">
      <c r="K982" s="28"/>
      <c r="L982" s="28"/>
    </row>
    <row r="983" spans="11:12" ht="12.75" customHeight="1" x14ac:dyDescent="0.2">
      <c r="K983" s="28"/>
      <c r="L983" s="28"/>
    </row>
  </sheetData>
  <mergeCells count="11">
    <mergeCell ref="G2:L2"/>
    <mergeCell ref="G3:L3"/>
    <mergeCell ref="G4:L4"/>
    <mergeCell ref="B11:N11"/>
    <mergeCell ref="L47:L49"/>
    <mergeCell ref="B50:M51"/>
    <mergeCell ref="M25:M26"/>
    <mergeCell ref="B32:C32"/>
    <mergeCell ref="B34:M35"/>
    <mergeCell ref="B36:M36"/>
    <mergeCell ref="C41:I41"/>
  </mergeCells>
  <hyperlinks>
    <hyperlink ref="D7" r:id="rId1"/>
    <hyperlink ref="D8" r:id="rId2"/>
    <hyperlink ref="D9" r:id="rId3"/>
  </hyperlinks>
  <pageMargins left="0.7" right="0.7" top="0.75" bottom="0.75" header="0" footer="0"/>
  <pageSetup orientation="landscape"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P1003"/>
  <sheetViews>
    <sheetView showGridLines="0" topLeftCell="B1" workbookViewId="0">
      <selection activeCell="B1" sqref="B1"/>
    </sheetView>
  </sheetViews>
  <sheetFormatPr baseColWidth="10" defaultColWidth="14.42578125" defaultRowHeight="15" customHeight="1" x14ac:dyDescent="0.2"/>
  <cols>
    <col min="1" max="1" width="10" style="1" customWidth="1"/>
    <col min="2" max="2" width="61.5703125" style="1" customWidth="1"/>
    <col min="3" max="6" width="11.42578125" style="1" customWidth="1"/>
    <col min="7" max="8" width="16.140625" style="1" customWidth="1"/>
    <col min="9" max="13" width="10" style="1" customWidth="1"/>
    <col min="14" max="14" width="14.42578125" style="1" customWidth="1"/>
    <col min="15" max="20" width="10" style="1" customWidth="1"/>
    <col min="21" max="16384" width="14.42578125" style="1"/>
  </cols>
  <sheetData>
    <row r="1" spans="2:16" ht="12.75" x14ac:dyDescent="0.2">
      <c r="B1" s="2"/>
      <c r="C1" s="2"/>
      <c r="D1" s="2"/>
      <c r="E1" s="2"/>
      <c r="F1" s="2"/>
    </row>
    <row r="2" spans="2:16" ht="15" customHeight="1" x14ac:dyDescent="0.2">
      <c r="C2" s="31"/>
      <c r="D2" s="31"/>
      <c r="E2" s="31"/>
      <c r="F2" s="31"/>
      <c r="G2" s="659" t="s">
        <v>0</v>
      </c>
      <c r="H2" s="659"/>
      <c r="I2" s="659"/>
      <c r="J2" s="659"/>
      <c r="K2" s="659"/>
      <c r="L2" s="659"/>
    </row>
    <row r="3" spans="2:16" ht="14.25" customHeight="1" x14ac:dyDescent="0.2">
      <c r="C3" s="31"/>
      <c r="D3" s="31"/>
      <c r="E3" s="31"/>
      <c r="F3" s="31"/>
      <c r="G3" s="660" t="s">
        <v>1</v>
      </c>
      <c r="H3" s="660"/>
      <c r="I3" s="660"/>
      <c r="J3" s="660"/>
      <c r="K3" s="660"/>
      <c r="L3" s="660"/>
    </row>
    <row r="4" spans="2:16" ht="12.75" x14ac:dyDescent="0.2">
      <c r="C4" s="31"/>
      <c r="D4" s="31"/>
      <c r="E4" s="31"/>
      <c r="F4" s="31"/>
      <c r="G4" s="661" t="s">
        <v>510</v>
      </c>
      <c r="H4" s="661"/>
      <c r="I4" s="661"/>
      <c r="J4" s="661"/>
      <c r="K4" s="661"/>
      <c r="L4" s="661"/>
    </row>
    <row r="5" spans="2:16" ht="12.75" x14ac:dyDescent="0.2">
      <c r="C5" s="31"/>
      <c r="D5" s="31"/>
      <c r="E5" s="31"/>
      <c r="F5" s="31"/>
      <c r="G5" s="30"/>
      <c r="H5" s="31"/>
      <c r="I5" s="31"/>
    </row>
    <row r="6" spans="2:16" ht="12.75" x14ac:dyDescent="0.2">
      <c r="B6" s="55" t="s">
        <v>109</v>
      </c>
      <c r="C6" s="56" t="s">
        <v>108</v>
      </c>
      <c r="D6" s="31"/>
      <c r="E6" s="31"/>
      <c r="F6" s="31"/>
      <c r="G6" s="30"/>
      <c r="H6" s="31"/>
      <c r="I6" s="31"/>
    </row>
    <row r="7" spans="2:16" ht="12.75" x14ac:dyDescent="0.2">
      <c r="B7" s="55" t="s">
        <v>109</v>
      </c>
      <c r="C7" s="56" t="s">
        <v>81</v>
      </c>
      <c r="D7" s="31"/>
      <c r="E7" s="31"/>
      <c r="F7" s="31"/>
      <c r="G7" s="30"/>
      <c r="H7" s="31"/>
      <c r="I7" s="31"/>
    </row>
    <row r="8" spans="2:16" ht="12.75" x14ac:dyDescent="0.2">
      <c r="C8" s="31"/>
      <c r="D8" s="31"/>
      <c r="E8" s="31"/>
      <c r="F8" s="31"/>
      <c r="G8" s="30"/>
      <c r="H8" s="31"/>
      <c r="I8" s="31"/>
    </row>
    <row r="9" spans="2:16" ht="12.75" x14ac:dyDescent="0.2">
      <c r="G9" s="12"/>
      <c r="H9" s="12"/>
    </row>
    <row r="10" spans="2:16" ht="40.5" x14ac:dyDescent="0.2">
      <c r="B10" s="49" t="s">
        <v>51</v>
      </c>
      <c r="C10" s="671" t="s">
        <v>52</v>
      </c>
      <c r="D10" s="672"/>
      <c r="E10" s="672"/>
      <c r="F10" s="673"/>
      <c r="G10" s="305" t="s">
        <v>623</v>
      </c>
      <c r="H10" s="671" t="s">
        <v>624</v>
      </c>
      <c r="I10" s="673"/>
      <c r="J10" s="305" t="s">
        <v>621</v>
      </c>
      <c r="K10" s="671" t="s">
        <v>625</v>
      </c>
      <c r="L10" s="672"/>
      <c r="M10" s="673"/>
      <c r="N10" s="306" t="s">
        <v>53</v>
      </c>
      <c r="O10" s="669" t="s">
        <v>59</v>
      </c>
      <c r="P10" s="664" t="s">
        <v>49</v>
      </c>
    </row>
    <row r="11" spans="2:16" ht="54" x14ac:dyDescent="0.2">
      <c r="B11" s="49" t="s">
        <v>51</v>
      </c>
      <c r="C11" s="305" t="s">
        <v>54</v>
      </c>
      <c r="D11" s="305" t="s">
        <v>55</v>
      </c>
      <c r="E11" s="305" t="s">
        <v>56</v>
      </c>
      <c r="F11" s="305" t="s">
        <v>57</v>
      </c>
      <c r="G11" s="305" t="s">
        <v>626</v>
      </c>
      <c r="H11" s="305" t="s">
        <v>627</v>
      </c>
      <c r="I11" s="305" t="s">
        <v>628</v>
      </c>
      <c r="J11" s="388" t="s">
        <v>622</v>
      </c>
      <c r="K11" s="764" t="s">
        <v>629</v>
      </c>
      <c r="L11" s="764" t="s">
        <v>630</v>
      </c>
      <c r="M11" s="764" t="s">
        <v>631</v>
      </c>
      <c r="N11" s="306" t="s">
        <v>58</v>
      </c>
      <c r="O11" s="670"/>
      <c r="P11" s="664"/>
    </row>
    <row r="12" spans="2:16" ht="12.75" x14ac:dyDescent="0.2">
      <c r="B12" s="23" t="s">
        <v>60</v>
      </c>
      <c r="C12" s="560">
        <v>11082</v>
      </c>
      <c r="D12" s="560">
        <v>13134</v>
      </c>
      <c r="E12" s="560">
        <v>6504</v>
      </c>
      <c r="F12" s="560">
        <v>33678</v>
      </c>
      <c r="G12" s="560">
        <v>12980</v>
      </c>
      <c r="H12" s="560">
        <v>11875</v>
      </c>
      <c r="I12" s="560">
        <v>1262</v>
      </c>
      <c r="J12" s="563">
        <v>13384</v>
      </c>
      <c r="K12" s="765">
        <v>14696</v>
      </c>
      <c r="L12" s="765">
        <v>10964</v>
      </c>
      <c r="M12" s="766">
        <v>701</v>
      </c>
      <c r="N12" s="560">
        <v>8831</v>
      </c>
      <c r="O12" s="58">
        <v>1126</v>
      </c>
      <c r="P12" s="50">
        <f t="shared" ref="P12:P18" si="0">+SUM(C12:O12)</f>
        <v>140217</v>
      </c>
    </row>
    <row r="13" spans="2:16" ht="12.75" x14ac:dyDescent="0.2">
      <c r="B13" s="23" t="s">
        <v>61</v>
      </c>
      <c r="C13" s="560">
        <v>1620</v>
      </c>
      <c r="D13" s="561">
        <v>30</v>
      </c>
      <c r="E13" s="561">
        <v>45</v>
      </c>
      <c r="F13" s="561">
        <v>791</v>
      </c>
      <c r="G13" s="561">
        <v>446</v>
      </c>
      <c r="H13" s="561">
        <v>420</v>
      </c>
      <c r="I13" s="561">
        <v>0</v>
      </c>
      <c r="J13" s="564">
        <v>504</v>
      </c>
      <c r="K13" s="766">
        <v>409</v>
      </c>
      <c r="L13" s="766">
        <v>444</v>
      </c>
      <c r="M13" s="766"/>
      <c r="N13" s="561">
        <v>120</v>
      </c>
      <c r="O13" s="562">
        <v>485</v>
      </c>
      <c r="P13" s="50">
        <f t="shared" si="0"/>
        <v>5314</v>
      </c>
    </row>
    <row r="14" spans="2:16" ht="12.75" x14ac:dyDescent="0.2">
      <c r="B14" s="23" t="s">
        <v>62</v>
      </c>
      <c r="C14" s="560">
        <v>19365</v>
      </c>
      <c r="D14" s="561">
        <v>16</v>
      </c>
      <c r="E14" s="561"/>
      <c r="F14" s="561"/>
      <c r="G14" s="560">
        <v>3820</v>
      </c>
      <c r="H14" s="560">
        <v>1219</v>
      </c>
      <c r="I14" s="561">
        <v>0</v>
      </c>
      <c r="J14" s="563">
        <v>1727</v>
      </c>
      <c r="K14" s="765">
        <v>6098</v>
      </c>
      <c r="L14" s="766">
        <v>0</v>
      </c>
      <c r="M14" s="766">
        <v>0</v>
      </c>
      <c r="N14" s="560">
        <v>2100</v>
      </c>
      <c r="O14" s="562"/>
      <c r="P14" s="50">
        <f t="shared" si="0"/>
        <v>34345</v>
      </c>
    </row>
    <row r="15" spans="2:16" ht="12.75" x14ac:dyDescent="0.2">
      <c r="B15" s="23" t="s">
        <v>64</v>
      </c>
      <c r="C15" s="560">
        <v>4584</v>
      </c>
      <c r="D15" s="561">
        <v>145</v>
      </c>
      <c r="E15" s="561"/>
      <c r="F15" s="561"/>
      <c r="G15" s="561"/>
      <c r="H15" s="560">
        <v>1339</v>
      </c>
      <c r="I15" s="561"/>
      <c r="J15" s="564"/>
      <c r="K15" s="766"/>
      <c r="L15" s="765">
        <v>21744</v>
      </c>
      <c r="M15" s="766"/>
      <c r="N15" s="561"/>
      <c r="O15" s="562"/>
      <c r="P15" s="50">
        <f t="shared" si="0"/>
        <v>27812</v>
      </c>
    </row>
    <row r="16" spans="2:16" ht="12.75" x14ac:dyDescent="0.2">
      <c r="B16" s="23" t="s">
        <v>65</v>
      </c>
      <c r="C16" s="560">
        <v>1234</v>
      </c>
      <c r="D16" s="561">
        <v>85</v>
      </c>
      <c r="E16" s="561">
        <v>325</v>
      </c>
      <c r="F16" s="561">
        <v>678</v>
      </c>
      <c r="G16" s="561">
        <v>279</v>
      </c>
      <c r="H16" s="561">
        <v>308</v>
      </c>
      <c r="I16" s="561"/>
      <c r="J16" s="564">
        <v>240</v>
      </c>
      <c r="K16" s="766">
        <v>774</v>
      </c>
      <c r="L16" s="766">
        <v>447</v>
      </c>
      <c r="M16" s="766">
        <v>12</v>
      </c>
      <c r="N16" s="561">
        <v>401</v>
      </c>
      <c r="O16" s="562"/>
      <c r="P16" s="50">
        <f t="shared" si="0"/>
        <v>4783</v>
      </c>
    </row>
    <row r="17" spans="1:16" ht="12.75" x14ac:dyDescent="0.2">
      <c r="B17" s="23" t="s">
        <v>30</v>
      </c>
      <c r="C17" s="561"/>
      <c r="D17" s="561"/>
      <c r="E17" s="561"/>
      <c r="F17" s="561"/>
      <c r="G17" s="561"/>
      <c r="H17" s="561"/>
      <c r="I17" s="560">
        <v>39573</v>
      </c>
      <c r="J17" s="564"/>
      <c r="K17" s="766"/>
      <c r="L17" s="766"/>
      <c r="M17" s="766"/>
      <c r="N17" s="561"/>
      <c r="O17" s="562"/>
      <c r="P17" s="50">
        <f t="shared" si="0"/>
        <v>39573</v>
      </c>
    </row>
    <row r="18" spans="1:16" ht="12.75" x14ac:dyDescent="0.2">
      <c r="B18" s="51" t="s">
        <v>49</v>
      </c>
      <c r="C18" s="52">
        <f t="shared" ref="C18:O18" si="1">+SUM(C12:C17)</f>
        <v>37885</v>
      </c>
      <c r="D18" s="52">
        <f t="shared" si="1"/>
        <v>13410</v>
      </c>
      <c r="E18" s="52">
        <f t="shared" si="1"/>
        <v>6874</v>
      </c>
      <c r="F18" s="52">
        <f t="shared" si="1"/>
        <v>35147</v>
      </c>
      <c r="G18" s="52">
        <f t="shared" si="1"/>
        <v>17525</v>
      </c>
      <c r="H18" s="52">
        <f t="shared" si="1"/>
        <v>15161</v>
      </c>
      <c r="I18" s="52">
        <f t="shared" si="1"/>
        <v>40835</v>
      </c>
      <c r="J18" s="389">
        <f t="shared" si="1"/>
        <v>15855</v>
      </c>
      <c r="K18" s="767">
        <f t="shared" si="1"/>
        <v>21977</v>
      </c>
      <c r="L18" s="767">
        <f t="shared" si="1"/>
        <v>33599</v>
      </c>
      <c r="M18" s="767">
        <f t="shared" si="1"/>
        <v>713</v>
      </c>
      <c r="N18" s="52">
        <f t="shared" si="1"/>
        <v>11452</v>
      </c>
      <c r="O18" s="52">
        <f t="shared" si="1"/>
        <v>1611</v>
      </c>
      <c r="P18" s="50">
        <f t="shared" si="0"/>
        <v>252044</v>
      </c>
    </row>
    <row r="19" spans="1:16" ht="12.75" x14ac:dyDescent="0.2">
      <c r="B19" s="53" t="s">
        <v>66</v>
      </c>
      <c r="C19" s="54">
        <f t="shared" ref="C19:P19" si="2">+C18/$P$18</f>
        <v>0.15031105679960641</v>
      </c>
      <c r="D19" s="54">
        <f t="shared" si="2"/>
        <v>5.3204995953087558E-2</v>
      </c>
      <c r="E19" s="54">
        <f t="shared" si="2"/>
        <v>2.7273015822634143E-2</v>
      </c>
      <c r="F19" s="54">
        <f t="shared" si="2"/>
        <v>0.13944787418069859</v>
      </c>
      <c r="G19" s="54">
        <f t="shared" si="2"/>
        <v>6.953151037120503E-2</v>
      </c>
      <c r="H19" s="54">
        <f t="shared" si="2"/>
        <v>6.0152195648378856E-2</v>
      </c>
      <c r="I19" s="54">
        <f t="shared" si="2"/>
        <v>0.16201536239704178</v>
      </c>
      <c r="J19" s="54">
        <f t="shared" si="2"/>
        <v>6.2905683134690762E-2</v>
      </c>
      <c r="K19" s="54">
        <f t="shared" si="2"/>
        <v>8.7195092920283754E-2</v>
      </c>
      <c r="L19" s="312">
        <f t="shared" si="2"/>
        <v>0.13330608941295966</v>
      </c>
      <c r="M19" s="54">
        <f t="shared" si="2"/>
        <v>2.8288711494818364E-3</v>
      </c>
      <c r="N19" s="54">
        <f t="shared" si="2"/>
        <v>4.5436511085366046E-2</v>
      </c>
      <c r="O19" s="54">
        <f t="shared" si="2"/>
        <v>6.3917411245655517E-3</v>
      </c>
      <c r="P19" s="54">
        <f t="shared" si="2"/>
        <v>1</v>
      </c>
    </row>
    <row r="20" spans="1:16" ht="33.75" customHeight="1" x14ac:dyDescent="0.2">
      <c r="B20" s="665" t="s">
        <v>789</v>
      </c>
      <c r="C20" s="666"/>
      <c r="D20" s="666"/>
      <c r="E20" s="666"/>
      <c r="F20" s="666"/>
      <c r="G20" s="666"/>
      <c r="H20" s="666"/>
      <c r="I20" s="666"/>
      <c r="J20" s="666"/>
      <c r="K20" s="666"/>
      <c r="L20" s="666"/>
      <c r="M20" s="666"/>
      <c r="N20" s="666"/>
      <c r="O20" s="666"/>
      <c r="P20" s="666"/>
    </row>
    <row r="21" spans="1:16" ht="47.25" customHeight="1" x14ac:dyDescent="0.2">
      <c r="B21" s="653"/>
      <c r="C21" s="653"/>
      <c r="D21" s="653"/>
      <c r="E21" s="653"/>
      <c r="F21" s="653"/>
      <c r="G21" s="653"/>
      <c r="H21" s="653"/>
      <c r="I21" s="653"/>
      <c r="J21" s="653"/>
      <c r="K21" s="653"/>
      <c r="L21" s="653"/>
      <c r="M21" s="653"/>
      <c r="N21" s="653"/>
      <c r="O21" s="653"/>
      <c r="P21" s="653"/>
    </row>
    <row r="22" spans="1:16" ht="12.75" x14ac:dyDescent="0.2">
      <c r="B22" s="652" t="s">
        <v>67</v>
      </c>
      <c r="C22" s="652"/>
      <c r="D22" s="652"/>
      <c r="E22" s="652"/>
      <c r="F22" s="652"/>
      <c r="G22" s="652"/>
      <c r="H22" s="652"/>
      <c r="I22" s="652"/>
      <c r="J22" s="652"/>
      <c r="K22" s="652"/>
      <c r="L22" s="652"/>
      <c r="M22" s="652"/>
      <c r="N22" s="652"/>
      <c r="O22" s="652"/>
      <c r="P22" s="652"/>
    </row>
    <row r="23" spans="1:16" ht="12.75" x14ac:dyDescent="0.2">
      <c r="G23" s="12"/>
      <c r="H23" s="12"/>
    </row>
    <row r="24" spans="1:16" ht="12.75" x14ac:dyDescent="0.2">
      <c r="G24" s="12"/>
      <c r="H24" s="12"/>
    </row>
    <row r="25" spans="1:16" ht="15.75" customHeight="1" x14ac:dyDescent="0.2"/>
    <row r="26" spans="1:16" ht="15.75" customHeight="1" x14ac:dyDescent="0.2"/>
    <row r="27" spans="1:16" ht="19.5" customHeight="1" x14ac:dyDescent="0.2">
      <c r="B27" s="667" t="s">
        <v>650</v>
      </c>
      <c r="C27" s="667"/>
      <c r="D27" s="667"/>
      <c r="E27" s="667"/>
      <c r="F27" s="667"/>
      <c r="G27" s="667"/>
      <c r="H27" s="667"/>
      <c r="I27" s="667"/>
      <c r="J27" s="667"/>
      <c r="K27" s="667"/>
    </row>
    <row r="28" spans="1:16" ht="15.75" customHeight="1" x14ac:dyDescent="0.2"/>
    <row r="29" spans="1:16" ht="15.75" customHeight="1" x14ac:dyDescent="0.2"/>
    <row r="30" spans="1:16" ht="15.75" customHeight="1" x14ac:dyDescent="0.2">
      <c r="A30" s="1" t="s">
        <v>98</v>
      </c>
      <c r="B30" s="771" t="s">
        <v>651</v>
      </c>
      <c r="C30" s="771"/>
      <c r="D30" s="771"/>
      <c r="E30" s="771"/>
      <c r="F30" s="771"/>
      <c r="G30" s="771"/>
      <c r="H30" s="771"/>
      <c r="I30" s="771"/>
      <c r="J30" s="771"/>
      <c r="K30" s="771"/>
    </row>
    <row r="31" spans="1:16" ht="15.75" customHeight="1" x14ac:dyDescent="0.2">
      <c r="B31" s="232" t="s">
        <v>512</v>
      </c>
      <c r="C31" s="233">
        <v>2018</v>
      </c>
      <c r="D31" s="234">
        <v>2019</v>
      </c>
      <c r="E31" s="234">
        <v>2020</v>
      </c>
      <c r="F31" s="234">
        <v>2021</v>
      </c>
      <c r="G31" s="234">
        <v>2022</v>
      </c>
      <c r="H31" s="234" t="s">
        <v>518</v>
      </c>
      <c r="I31" s="772">
        <v>2024</v>
      </c>
      <c r="J31" s="772">
        <v>2025</v>
      </c>
      <c r="K31" s="235" t="s">
        <v>49</v>
      </c>
    </row>
    <row r="32" spans="1:16" ht="15.75" customHeight="1" x14ac:dyDescent="0.2">
      <c r="B32" s="582" t="s">
        <v>796</v>
      </c>
      <c r="C32" s="773">
        <v>5739</v>
      </c>
      <c r="D32" s="773">
        <v>5682</v>
      </c>
      <c r="E32" s="774">
        <v>787</v>
      </c>
      <c r="F32" s="774">
        <v>57</v>
      </c>
      <c r="G32" s="775">
        <v>1890</v>
      </c>
      <c r="H32" s="775">
        <v>5751</v>
      </c>
      <c r="I32" s="775">
        <v>1420</v>
      </c>
      <c r="J32" s="776">
        <v>756</v>
      </c>
      <c r="K32" s="777">
        <f>+SUM(C32:J32)</f>
        <v>22082</v>
      </c>
    </row>
    <row r="33" spans="2:11" ht="15.75" customHeight="1" x14ac:dyDescent="0.2">
      <c r="B33" s="568" t="s">
        <v>797</v>
      </c>
      <c r="C33" s="565">
        <v>19</v>
      </c>
      <c r="D33" s="565">
        <v>9</v>
      </c>
      <c r="E33" s="565">
        <v>0</v>
      </c>
      <c r="F33" s="565">
        <v>0</v>
      </c>
      <c r="G33" s="565">
        <v>3</v>
      </c>
      <c r="H33" s="566">
        <v>16</v>
      </c>
      <c r="I33" s="567">
        <v>8</v>
      </c>
      <c r="J33" s="568">
        <v>7</v>
      </c>
      <c r="K33" s="777">
        <f t="shared" ref="K33:K37" si="3">+SUM(C33:J33)</f>
        <v>62</v>
      </c>
    </row>
    <row r="34" spans="2:11" ht="15.75" customHeight="1" x14ac:dyDescent="0.2">
      <c r="B34" s="568" t="s">
        <v>798</v>
      </c>
      <c r="C34" s="565">
        <v>4</v>
      </c>
      <c r="D34" s="565">
        <v>5</v>
      </c>
      <c r="E34" s="565">
        <v>0</v>
      </c>
      <c r="F34" s="565">
        <v>0</v>
      </c>
      <c r="G34" s="565">
        <v>2</v>
      </c>
      <c r="H34" s="566">
        <v>65</v>
      </c>
      <c r="I34" s="567">
        <v>16</v>
      </c>
      <c r="J34" s="568">
        <v>23</v>
      </c>
      <c r="K34" s="777">
        <f t="shared" si="3"/>
        <v>115</v>
      </c>
    </row>
    <row r="35" spans="2:11" ht="15.75" customHeight="1" x14ac:dyDescent="0.2">
      <c r="B35" s="568" t="s">
        <v>799</v>
      </c>
      <c r="C35" s="565">
        <v>0</v>
      </c>
      <c r="D35" s="565">
        <v>2</v>
      </c>
      <c r="E35" s="565">
        <v>0</v>
      </c>
      <c r="F35" s="565">
        <v>0</v>
      </c>
      <c r="G35" s="565">
        <v>0</v>
      </c>
      <c r="H35" s="566">
        <v>21</v>
      </c>
      <c r="I35" s="567">
        <v>3</v>
      </c>
      <c r="J35" s="568">
        <v>4</v>
      </c>
      <c r="K35" s="777">
        <f t="shared" si="3"/>
        <v>30</v>
      </c>
    </row>
    <row r="36" spans="2:11" ht="15.75" customHeight="1" x14ac:dyDescent="0.2">
      <c r="B36" s="568" t="s">
        <v>800</v>
      </c>
      <c r="C36" s="565">
        <v>5</v>
      </c>
      <c r="D36" s="565">
        <v>1</v>
      </c>
      <c r="E36" s="565">
        <v>0</v>
      </c>
      <c r="F36" s="565">
        <v>0</v>
      </c>
      <c r="G36" s="565">
        <v>0</v>
      </c>
      <c r="H36" s="566">
        <v>50</v>
      </c>
      <c r="I36" s="567">
        <v>14</v>
      </c>
      <c r="J36" s="568">
        <v>11</v>
      </c>
      <c r="K36" s="777">
        <f t="shared" si="3"/>
        <v>81</v>
      </c>
    </row>
    <row r="37" spans="2:11" ht="15.75" customHeight="1" x14ac:dyDescent="0.2">
      <c r="B37" s="568" t="s">
        <v>801</v>
      </c>
      <c r="C37" s="565"/>
      <c r="D37" s="565"/>
      <c r="E37" s="565"/>
      <c r="F37" s="565"/>
      <c r="G37" s="565"/>
      <c r="H37" s="566"/>
      <c r="I37" s="567">
        <v>0</v>
      </c>
      <c r="J37" s="568">
        <v>2</v>
      </c>
      <c r="K37" s="777">
        <f t="shared" si="3"/>
        <v>2</v>
      </c>
    </row>
    <row r="38" spans="2:11" ht="15.75" customHeight="1" x14ac:dyDescent="0.2"/>
    <row r="39" spans="2:11" ht="30" customHeight="1" x14ac:dyDescent="0.2">
      <c r="B39" s="778" t="s">
        <v>652</v>
      </c>
      <c r="C39" s="778"/>
      <c r="D39" s="778"/>
      <c r="E39" s="778"/>
      <c r="F39" s="778"/>
      <c r="G39" s="778"/>
      <c r="H39" s="778"/>
      <c r="I39" s="778"/>
      <c r="J39" s="778"/>
      <c r="K39" s="778"/>
    </row>
    <row r="40" spans="2:11" ht="15.75" customHeight="1" x14ac:dyDescent="0.2">
      <c r="B40" s="230" t="s">
        <v>512</v>
      </c>
      <c r="C40" s="231">
        <v>2018</v>
      </c>
      <c r="D40" s="231">
        <v>2019</v>
      </c>
      <c r="E40" s="231">
        <v>2020</v>
      </c>
      <c r="F40" s="231">
        <v>2021</v>
      </c>
      <c r="G40" s="231">
        <v>2022</v>
      </c>
      <c r="H40" s="231" t="s">
        <v>518</v>
      </c>
      <c r="I40" s="231">
        <v>2024</v>
      </c>
      <c r="J40" s="231">
        <v>2025</v>
      </c>
      <c r="K40" s="231" t="s">
        <v>49</v>
      </c>
    </row>
    <row r="41" spans="2:11" ht="15.75" customHeight="1" x14ac:dyDescent="0.2">
      <c r="B41" s="780" t="s">
        <v>796</v>
      </c>
      <c r="C41" s="781">
        <v>5588</v>
      </c>
      <c r="D41" s="781">
        <v>6936</v>
      </c>
      <c r="E41" s="781">
        <v>1313</v>
      </c>
      <c r="F41" s="782">
        <v>142</v>
      </c>
      <c r="G41" s="781">
        <v>5475</v>
      </c>
      <c r="H41" s="781">
        <v>5964</v>
      </c>
      <c r="I41" s="781">
        <v>3010</v>
      </c>
      <c r="J41" s="781">
        <v>1644</v>
      </c>
      <c r="K41" s="779">
        <f>+SUM(C41:J41)</f>
        <v>30072</v>
      </c>
    </row>
    <row r="42" spans="2:11" ht="15.75" customHeight="1" x14ac:dyDescent="0.2">
      <c r="B42" s="489" t="s">
        <v>797</v>
      </c>
      <c r="C42" s="489">
        <v>5</v>
      </c>
      <c r="D42" s="489">
        <v>3</v>
      </c>
      <c r="E42" s="489">
        <v>0</v>
      </c>
      <c r="F42" s="489">
        <v>0</v>
      </c>
      <c r="G42" s="489">
        <v>2</v>
      </c>
      <c r="H42" s="568">
        <v>16</v>
      </c>
      <c r="I42" s="568">
        <v>8</v>
      </c>
      <c r="J42" s="568">
        <v>7</v>
      </c>
      <c r="K42" s="236">
        <f t="shared" ref="K42:K46" si="4">+SUM(C42:J42)</f>
        <v>41</v>
      </c>
    </row>
    <row r="43" spans="2:11" ht="15.75" customHeight="1" x14ac:dyDescent="0.2">
      <c r="B43" s="489" t="s">
        <v>798</v>
      </c>
      <c r="C43" s="489">
        <v>6</v>
      </c>
      <c r="D43" s="489">
        <v>9</v>
      </c>
      <c r="E43" s="489">
        <v>0</v>
      </c>
      <c r="F43" s="489">
        <v>0</v>
      </c>
      <c r="G43" s="489">
        <v>6</v>
      </c>
      <c r="H43" s="568">
        <v>65</v>
      </c>
      <c r="I43" s="568">
        <v>16</v>
      </c>
      <c r="J43" s="568">
        <v>23</v>
      </c>
      <c r="K43" s="236">
        <f t="shared" si="4"/>
        <v>125</v>
      </c>
    </row>
    <row r="44" spans="2:11" ht="15.75" customHeight="1" x14ac:dyDescent="0.2">
      <c r="B44" s="489" t="s">
        <v>799</v>
      </c>
      <c r="C44" s="489">
        <v>0</v>
      </c>
      <c r="D44" s="489">
        <v>1</v>
      </c>
      <c r="E44" s="489">
        <v>0</v>
      </c>
      <c r="F44" s="489">
        <v>0</v>
      </c>
      <c r="G44" s="489">
        <v>0</v>
      </c>
      <c r="H44" s="568">
        <v>21</v>
      </c>
      <c r="I44" s="568">
        <v>3</v>
      </c>
      <c r="J44" s="568">
        <v>4</v>
      </c>
      <c r="K44" s="236">
        <f t="shared" si="4"/>
        <v>29</v>
      </c>
    </row>
    <row r="45" spans="2:11" ht="15.75" customHeight="1" x14ac:dyDescent="0.2">
      <c r="B45" s="489" t="s">
        <v>800</v>
      </c>
      <c r="C45" s="489">
        <v>7</v>
      </c>
      <c r="D45" s="489">
        <v>2</v>
      </c>
      <c r="E45" s="489">
        <v>0</v>
      </c>
      <c r="F45" s="489">
        <v>0</v>
      </c>
      <c r="G45" s="489">
        <v>0</v>
      </c>
      <c r="H45" s="568">
        <v>47</v>
      </c>
      <c r="I45" s="568">
        <v>14</v>
      </c>
      <c r="J45" s="568">
        <v>11</v>
      </c>
      <c r="K45" s="236">
        <f t="shared" si="4"/>
        <v>81</v>
      </c>
    </row>
    <row r="46" spans="2:11" s="12" customFormat="1" ht="15.75" customHeight="1" x14ac:dyDescent="0.2">
      <c r="B46" s="489" t="s">
        <v>801</v>
      </c>
      <c r="C46" s="489"/>
      <c r="D46" s="489"/>
      <c r="E46" s="489"/>
      <c r="F46" s="489"/>
      <c r="G46" s="489"/>
      <c r="H46" s="568"/>
      <c r="I46" s="568">
        <v>0</v>
      </c>
      <c r="J46" s="568">
        <v>2</v>
      </c>
      <c r="K46" s="236">
        <f t="shared" si="4"/>
        <v>2</v>
      </c>
    </row>
    <row r="47" spans="2:11" s="783" customFormat="1" ht="20.25" customHeight="1" x14ac:dyDescent="0.2">
      <c r="B47" s="784"/>
      <c r="C47" s="784"/>
      <c r="D47" s="784"/>
      <c r="E47" s="784"/>
      <c r="F47" s="784"/>
      <c r="G47" s="784"/>
      <c r="H47" s="785"/>
      <c r="I47" s="785"/>
      <c r="J47" s="785"/>
      <c r="K47" s="786">
        <f>+SUM(C47:J47)</f>
        <v>0</v>
      </c>
    </row>
    <row r="48" spans="2:11" ht="15.75" customHeight="1" x14ac:dyDescent="0.2"/>
    <row r="49" spans="2:11" ht="15.75" customHeight="1" x14ac:dyDescent="0.2">
      <c r="B49" s="768" t="s">
        <v>653</v>
      </c>
      <c r="C49" s="768"/>
      <c r="D49" s="768"/>
      <c r="E49" s="768"/>
      <c r="F49" s="768"/>
      <c r="G49" s="768"/>
      <c r="H49" s="768"/>
      <c r="I49" s="768"/>
      <c r="J49" s="768"/>
      <c r="K49" s="768"/>
    </row>
    <row r="50" spans="2:11" ht="15.75" customHeight="1" x14ac:dyDescent="0.2">
      <c r="B50" s="237" t="s">
        <v>512</v>
      </c>
      <c r="C50" s="237" t="s">
        <v>513</v>
      </c>
      <c r="D50" s="237" t="s">
        <v>514</v>
      </c>
      <c r="E50" s="237" t="s">
        <v>515</v>
      </c>
      <c r="F50" s="237" t="s">
        <v>516</v>
      </c>
      <c r="G50" s="237" t="s">
        <v>517</v>
      </c>
      <c r="H50" s="237" t="s">
        <v>518</v>
      </c>
      <c r="I50" s="237">
        <v>2024</v>
      </c>
      <c r="J50" s="237">
        <v>2025</v>
      </c>
      <c r="K50" s="237" t="s">
        <v>49</v>
      </c>
    </row>
    <row r="51" spans="2:11" ht="15.75" customHeight="1" x14ac:dyDescent="0.2">
      <c r="B51" s="488" t="s">
        <v>796</v>
      </c>
      <c r="C51" s="384">
        <v>6404</v>
      </c>
      <c r="D51" s="384">
        <v>6275</v>
      </c>
      <c r="E51" s="487">
        <v>120</v>
      </c>
      <c r="F51" s="487">
        <v>379</v>
      </c>
      <c r="G51" s="384">
        <v>2431</v>
      </c>
      <c r="H51" s="384">
        <v>17746</v>
      </c>
      <c r="I51" s="384">
        <v>6570</v>
      </c>
      <c r="J51" s="384">
        <v>5223</v>
      </c>
      <c r="K51" s="236">
        <f>+SUM(C51:J51)</f>
        <v>45148</v>
      </c>
    </row>
    <row r="52" spans="2:11" ht="15.75" customHeight="1" x14ac:dyDescent="0.25">
      <c r="B52" s="568" t="s">
        <v>797</v>
      </c>
      <c r="C52" s="569">
        <v>15</v>
      </c>
      <c r="D52" s="569">
        <v>10</v>
      </c>
      <c r="E52" s="569"/>
      <c r="F52" s="569"/>
      <c r="G52" s="569">
        <v>3</v>
      </c>
      <c r="H52" s="569">
        <v>122</v>
      </c>
      <c r="I52" s="569">
        <v>171</v>
      </c>
      <c r="J52" s="787">
        <v>54</v>
      </c>
      <c r="K52" s="236">
        <f t="shared" ref="K52:K56" si="5">+SUM(C52:J52)</f>
        <v>375</v>
      </c>
    </row>
    <row r="53" spans="2:11" ht="15.75" customHeight="1" x14ac:dyDescent="0.25">
      <c r="B53" s="568" t="s">
        <v>798</v>
      </c>
      <c r="C53" s="569">
        <v>4</v>
      </c>
      <c r="D53" s="569">
        <v>5</v>
      </c>
      <c r="E53" s="569"/>
      <c r="F53" s="569"/>
      <c r="G53" s="569">
        <v>2</v>
      </c>
      <c r="H53" s="569">
        <v>303</v>
      </c>
      <c r="I53" s="569">
        <v>354</v>
      </c>
      <c r="J53" s="787">
        <v>217</v>
      </c>
      <c r="K53" s="236">
        <f t="shared" si="5"/>
        <v>885</v>
      </c>
    </row>
    <row r="54" spans="2:11" ht="15.75" customHeight="1" x14ac:dyDescent="0.25">
      <c r="B54" s="568" t="s">
        <v>799</v>
      </c>
      <c r="C54" s="569"/>
      <c r="D54" s="569">
        <v>2</v>
      </c>
      <c r="E54" s="569"/>
      <c r="F54" s="569"/>
      <c r="G54" s="569"/>
      <c r="H54" s="569">
        <v>503</v>
      </c>
      <c r="I54" s="569">
        <v>29</v>
      </c>
      <c r="J54" s="787">
        <v>108</v>
      </c>
      <c r="K54" s="236">
        <f t="shared" si="5"/>
        <v>642</v>
      </c>
    </row>
    <row r="55" spans="2:11" ht="15.75" customHeight="1" x14ac:dyDescent="0.25">
      <c r="B55" s="568" t="s">
        <v>800</v>
      </c>
      <c r="C55" s="569">
        <v>5</v>
      </c>
      <c r="D55" s="569"/>
      <c r="E55" s="569">
        <v>1</v>
      </c>
      <c r="F55" s="569"/>
      <c r="G55" s="569"/>
      <c r="H55" s="569">
        <v>192</v>
      </c>
      <c r="I55" s="569">
        <v>163</v>
      </c>
      <c r="J55" s="787">
        <v>129</v>
      </c>
      <c r="K55" s="236">
        <f t="shared" si="5"/>
        <v>490</v>
      </c>
    </row>
    <row r="56" spans="2:11" ht="15.75" customHeight="1" x14ac:dyDescent="0.25">
      <c r="B56" s="568" t="s">
        <v>802</v>
      </c>
      <c r="C56" s="569"/>
      <c r="D56" s="569"/>
      <c r="E56" s="569"/>
      <c r="F56" s="569"/>
      <c r="G56" s="569"/>
      <c r="H56" s="569" t="s">
        <v>803</v>
      </c>
      <c r="I56" s="569" t="s">
        <v>299</v>
      </c>
      <c r="J56" s="787"/>
      <c r="K56" s="236">
        <f t="shared" si="5"/>
        <v>0</v>
      </c>
    </row>
    <row r="57" spans="2:11" ht="15.75" customHeight="1" x14ac:dyDescent="0.2"/>
    <row r="58" spans="2:11" ht="15.75" customHeight="1" x14ac:dyDescent="0.2">
      <c r="B58" s="668" t="s">
        <v>654</v>
      </c>
      <c r="C58" s="668"/>
      <c r="D58" s="668"/>
      <c r="E58" s="668"/>
      <c r="F58" s="668"/>
      <c r="G58" s="668"/>
      <c r="H58" s="668"/>
      <c r="I58" s="668"/>
      <c r="J58" s="668"/>
      <c r="K58" s="668"/>
    </row>
    <row r="59" spans="2:11" ht="15.75" customHeight="1" x14ac:dyDescent="0.2">
      <c r="B59" s="769" t="s">
        <v>512</v>
      </c>
      <c r="C59" s="770" t="s">
        <v>513</v>
      </c>
      <c r="D59" s="770" t="s">
        <v>514</v>
      </c>
      <c r="E59" s="770" t="s">
        <v>515</v>
      </c>
      <c r="F59" s="770" t="s">
        <v>516</v>
      </c>
      <c r="G59" s="770" t="s">
        <v>517</v>
      </c>
      <c r="H59" s="770" t="s">
        <v>518</v>
      </c>
      <c r="I59" s="770">
        <v>2024</v>
      </c>
      <c r="J59" s="770">
        <v>2025</v>
      </c>
      <c r="K59" s="770" t="s">
        <v>49</v>
      </c>
    </row>
    <row r="60" spans="2:11" ht="15.75" customHeight="1" x14ac:dyDescent="0.2">
      <c r="B60" s="488" t="s">
        <v>796</v>
      </c>
      <c r="C60" s="384">
        <v>15725</v>
      </c>
      <c r="D60" s="384">
        <v>21503</v>
      </c>
      <c r="E60" s="384">
        <v>2765</v>
      </c>
      <c r="F60" s="487">
        <v>0</v>
      </c>
      <c r="G60" s="384">
        <v>20966</v>
      </c>
      <c r="H60" s="384">
        <v>9767</v>
      </c>
      <c r="I60" s="384">
        <v>8671</v>
      </c>
      <c r="J60" s="384">
        <v>2440</v>
      </c>
      <c r="K60" s="300">
        <f>+SUM(C60:J60)</f>
        <v>81837</v>
      </c>
    </row>
    <row r="61" spans="2:11" ht="18" customHeight="1" x14ac:dyDescent="0.25">
      <c r="B61" s="568" t="s">
        <v>797</v>
      </c>
      <c r="C61" s="571"/>
      <c r="D61" s="572">
        <v>3</v>
      </c>
      <c r="E61" s="571"/>
      <c r="F61" s="568"/>
      <c r="G61" s="573"/>
      <c r="H61" s="574"/>
      <c r="I61" s="568"/>
      <c r="J61" s="570"/>
      <c r="K61" s="300">
        <f t="shared" ref="K61:K65" si="6">+SUM(C61:J61)</f>
        <v>3</v>
      </c>
    </row>
    <row r="62" spans="2:11" ht="15.75" customHeight="1" x14ac:dyDescent="0.2">
      <c r="B62" s="36" t="s">
        <v>798</v>
      </c>
      <c r="C62" s="36">
        <v>15</v>
      </c>
      <c r="D62" s="36">
        <v>6</v>
      </c>
      <c r="E62" s="36"/>
      <c r="F62" s="36"/>
      <c r="G62" s="36">
        <v>3</v>
      </c>
      <c r="H62" s="36"/>
      <c r="I62" s="36"/>
      <c r="J62" s="36"/>
      <c r="K62" s="300">
        <f t="shared" si="6"/>
        <v>24</v>
      </c>
    </row>
    <row r="63" spans="2:11" ht="15.75" customHeight="1" x14ac:dyDescent="0.2">
      <c r="B63" s="36" t="s">
        <v>799</v>
      </c>
      <c r="C63" s="36"/>
      <c r="D63" s="36"/>
      <c r="E63" s="36"/>
      <c r="F63" s="36"/>
      <c r="G63" s="36"/>
      <c r="H63" s="36"/>
      <c r="I63" s="36"/>
      <c r="J63" s="36"/>
      <c r="K63" s="300">
        <f t="shared" si="6"/>
        <v>0</v>
      </c>
    </row>
    <row r="64" spans="2:11" ht="15.75" customHeight="1" x14ac:dyDescent="0.2">
      <c r="B64" s="36" t="s">
        <v>800</v>
      </c>
      <c r="C64" s="36">
        <v>15</v>
      </c>
      <c r="D64" s="36">
        <v>3</v>
      </c>
      <c r="E64" s="36"/>
      <c r="F64" s="36"/>
      <c r="G64" s="36">
        <v>4</v>
      </c>
      <c r="H64" s="36">
        <v>4</v>
      </c>
      <c r="I64" s="36"/>
      <c r="J64" s="36"/>
      <c r="K64" s="300">
        <f t="shared" si="6"/>
        <v>26</v>
      </c>
    </row>
    <row r="65" spans="2:11" ht="15.75" customHeight="1" x14ac:dyDescent="0.2">
      <c r="B65" s="36" t="s">
        <v>801</v>
      </c>
      <c r="C65" s="36"/>
      <c r="D65" s="36"/>
      <c r="E65" s="36"/>
      <c r="F65" s="36"/>
      <c r="G65" s="36"/>
      <c r="H65" s="36"/>
      <c r="I65" s="36"/>
      <c r="J65" s="36"/>
      <c r="K65" s="300">
        <f t="shared" si="6"/>
        <v>0</v>
      </c>
    </row>
    <row r="66" spans="2:11" ht="15.75" customHeight="1" x14ac:dyDescent="0.2"/>
    <row r="67" spans="2:11" ht="15.75" customHeight="1" x14ac:dyDescent="0.2"/>
    <row r="68" spans="2:11" ht="15.75" customHeight="1" x14ac:dyDescent="0.2"/>
    <row r="69" spans="2:11" ht="15.75" customHeight="1" x14ac:dyDescent="0.2"/>
    <row r="70" spans="2:11" ht="15.75" customHeight="1" x14ac:dyDescent="0.2"/>
    <row r="71" spans="2:11" ht="15.75" customHeight="1" x14ac:dyDescent="0.2"/>
    <row r="72" spans="2:11" ht="15.75" customHeight="1" x14ac:dyDescent="0.2"/>
    <row r="73" spans="2:11" ht="15.75" customHeight="1" x14ac:dyDescent="0.2"/>
    <row r="74" spans="2:11" ht="15.75" customHeight="1" x14ac:dyDescent="0.2"/>
    <row r="75" spans="2:11" ht="15.75" customHeight="1" x14ac:dyDescent="0.2"/>
    <row r="76" spans="2:11" ht="15.75" customHeight="1" x14ac:dyDescent="0.2"/>
    <row r="77" spans="2:11" ht="15.75" customHeight="1" x14ac:dyDescent="0.2"/>
    <row r="78" spans="2:11" ht="15.75" customHeight="1" x14ac:dyDescent="0.2"/>
    <row r="79" spans="2:11" ht="15.75" customHeight="1" x14ac:dyDescent="0.2"/>
    <row r="80" spans="2:11"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sheetData>
  <mergeCells count="15">
    <mergeCell ref="B58:K58"/>
    <mergeCell ref="G2:L2"/>
    <mergeCell ref="G3:L3"/>
    <mergeCell ref="G4:L4"/>
    <mergeCell ref="O10:O11"/>
    <mergeCell ref="C10:F10"/>
    <mergeCell ref="H10:I10"/>
    <mergeCell ref="K10:M10"/>
    <mergeCell ref="P10:P11"/>
    <mergeCell ref="B20:P21"/>
    <mergeCell ref="B22:P22"/>
    <mergeCell ref="B39:K39"/>
    <mergeCell ref="B49:K49"/>
    <mergeCell ref="B27:K27"/>
    <mergeCell ref="B30:K30"/>
  </mergeCells>
  <hyperlinks>
    <hyperlink ref="C6" r:id="rId1"/>
    <hyperlink ref="C7" r:id="rId2"/>
  </hyperlinks>
  <pageMargins left="0.7" right="0.7" top="0.75" bottom="0.75" header="0" footer="0"/>
  <pageSetup orientation="landscape"/>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CW898"/>
  <sheetViews>
    <sheetView showGridLines="0" zoomScaleNormal="100" workbookViewId="0">
      <selection activeCell="B130" sqref="B130:CK131"/>
    </sheetView>
  </sheetViews>
  <sheetFormatPr baseColWidth="10" defaultColWidth="14.42578125" defaultRowHeight="23.25" customHeight="1" x14ac:dyDescent="0.25"/>
  <cols>
    <col min="1" max="1" width="11.42578125" style="60" customWidth="1"/>
    <col min="2" max="2" width="43" style="63" customWidth="1"/>
    <col min="3" max="3" width="44.28515625" style="63" customWidth="1"/>
    <col min="4" max="4" width="51.140625" style="63" customWidth="1"/>
    <col min="5" max="5" width="33.7109375" style="63" customWidth="1"/>
    <col min="6" max="6" width="36.28515625" style="63" customWidth="1"/>
    <col min="7" max="7" width="32.85546875" style="63" customWidth="1"/>
    <col min="8" max="15" width="11.42578125" style="60" customWidth="1"/>
    <col min="16" max="16" width="10" style="60" customWidth="1"/>
    <col min="17" max="17" width="12.7109375" style="60" customWidth="1"/>
    <col min="18" max="18" width="10" style="60" customWidth="1"/>
    <col min="19" max="19" width="13.85546875" style="60" customWidth="1"/>
    <col min="20" max="26" width="10" style="60" customWidth="1"/>
    <col min="27" max="16384" width="14.42578125" style="60"/>
  </cols>
  <sheetData>
    <row r="1" spans="1:26" ht="15.75" customHeight="1" x14ac:dyDescent="0.25">
      <c r="B1" s="61"/>
      <c r="C1" s="61"/>
      <c r="D1" s="61"/>
      <c r="E1" s="61"/>
      <c r="F1" s="62"/>
      <c r="G1" s="61"/>
    </row>
    <row r="2" spans="1:26" ht="13.5" customHeight="1" x14ac:dyDescent="0.25">
      <c r="D2" s="703" t="s">
        <v>0</v>
      </c>
      <c r="E2" s="703"/>
      <c r="F2" s="703"/>
      <c r="G2" s="703"/>
      <c r="H2" s="64"/>
      <c r="I2" s="64"/>
      <c r="J2" s="64"/>
      <c r="K2" s="64"/>
      <c r="L2" s="64"/>
      <c r="M2" s="64"/>
      <c r="N2" s="64"/>
      <c r="O2" s="64"/>
    </row>
    <row r="3" spans="1:26" ht="12.75" customHeight="1" x14ac:dyDescent="0.25">
      <c r="D3" s="704" t="s">
        <v>102</v>
      </c>
      <c r="E3" s="704"/>
      <c r="F3" s="704"/>
      <c r="G3" s="704"/>
      <c r="H3" s="65"/>
      <c r="I3" s="65"/>
      <c r="J3" s="65"/>
      <c r="K3" s="65"/>
      <c r="L3" s="65"/>
      <c r="M3" s="65"/>
      <c r="N3" s="65"/>
      <c r="O3" s="65"/>
    </row>
    <row r="4" spans="1:26" ht="12" customHeight="1" x14ac:dyDescent="0.25">
      <c r="D4" s="711" t="s">
        <v>707</v>
      </c>
      <c r="E4" s="711"/>
      <c r="F4" s="711"/>
      <c r="G4" s="711"/>
      <c r="H4" s="711"/>
      <c r="I4" s="711"/>
      <c r="J4" s="711"/>
      <c r="K4" s="711"/>
    </row>
    <row r="5" spans="1:26" ht="18.75" customHeight="1" x14ac:dyDescent="0.25">
      <c r="B5" s="66" t="s">
        <v>105</v>
      </c>
      <c r="C5" s="67" t="s">
        <v>74</v>
      </c>
      <c r="D5" s="68"/>
      <c r="E5" s="68"/>
      <c r="F5" s="68"/>
      <c r="G5" s="68"/>
    </row>
    <row r="6" spans="1:26" ht="15.75" customHeight="1" x14ac:dyDescent="0.25">
      <c r="B6" s="69" t="s">
        <v>110</v>
      </c>
      <c r="C6" s="67" t="s">
        <v>80</v>
      </c>
      <c r="D6" s="70"/>
      <c r="F6" s="71"/>
    </row>
    <row r="7" spans="1:26" ht="15.75" customHeight="1" x14ac:dyDescent="0.25">
      <c r="B7" s="69"/>
      <c r="C7" s="67"/>
      <c r="D7" s="70"/>
      <c r="F7" s="71"/>
    </row>
    <row r="8" spans="1:26" ht="10.5" customHeight="1" x14ac:dyDescent="0.25">
      <c r="B8" s="708"/>
      <c r="C8" s="709"/>
      <c r="D8" s="709"/>
      <c r="F8" s="71"/>
    </row>
    <row r="9" spans="1:26" ht="16.5" customHeight="1" x14ac:dyDescent="0.25">
      <c r="A9" s="72"/>
      <c r="B9" s="59" t="s">
        <v>68</v>
      </c>
      <c r="C9" s="59" t="s">
        <v>69</v>
      </c>
      <c r="D9" s="59" t="s">
        <v>70</v>
      </c>
      <c r="E9" s="59" t="s">
        <v>71</v>
      </c>
      <c r="F9" s="24"/>
      <c r="G9" s="73"/>
      <c r="H9" s="72"/>
      <c r="I9" s="72"/>
      <c r="J9" s="72"/>
      <c r="K9" s="72"/>
      <c r="L9" s="72"/>
      <c r="M9" s="72"/>
      <c r="N9" s="72"/>
      <c r="O9" s="72"/>
      <c r="P9" s="72"/>
      <c r="Q9" s="72"/>
      <c r="R9" s="72"/>
      <c r="S9" s="72"/>
      <c r="T9" s="72"/>
      <c r="U9" s="72"/>
      <c r="V9" s="72"/>
      <c r="W9" s="72"/>
      <c r="X9" s="72"/>
      <c r="Y9" s="72"/>
      <c r="Z9" s="72"/>
    </row>
    <row r="10" spans="1:26" ht="23.25" customHeight="1" x14ac:dyDescent="0.25">
      <c r="A10" s="72"/>
      <c r="B10" s="90">
        <v>18</v>
      </c>
      <c r="C10" s="82">
        <v>87</v>
      </c>
      <c r="D10" s="82">
        <v>87</v>
      </c>
      <c r="E10" s="82" t="str">
        <f>+C14</f>
        <v>Biblioteca Digital - BDIGITAL</v>
      </c>
      <c r="F10" s="24"/>
      <c r="G10" s="73"/>
      <c r="H10" s="72"/>
      <c r="I10" s="72"/>
      <c r="J10" s="72"/>
      <c r="K10" s="72"/>
      <c r="L10" s="72"/>
      <c r="M10" s="72"/>
      <c r="N10" s="72"/>
      <c r="O10" s="72"/>
      <c r="P10" s="72"/>
      <c r="Q10" s="72"/>
      <c r="R10" s="72"/>
      <c r="S10" s="72"/>
      <c r="T10" s="72"/>
      <c r="U10" s="72"/>
      <c r="V10" s="72"/>
      <c r="W10" s="72"/>
      <c r="X10" s="72"/>
      <c r="Y10" s="72"/>
      <c r="Z10" s="72"/>
    </row>
    <row r="11" spans="1:26" ht="16.5" customHeight="1" x14ac:dyDescent="0.25">
      <c r="A11" s="72"/>
      <c r="B11" s="701" t="s">
        <v>5</v>
      </c>
      <c r="C11" s="701" t="s">
        <v>115</v>
      </c>
      <c r="D11" s="701" t="s">
        <v>6</v>
      </c>
      <c r="E11" s="701" t="s">
        <v>72</v>
      </c>
      <c r="F11" s="701" t="s">
        <v>8</v>
      </c>
      <c r="G11" s="701" t="s">
        <v>111</v>
      </c>
      <c r="H11" s="702">
        <v>2020</v>
      </c>
      <c r="I11" s="702"/>
      <c r="J11" s="702">
        <v>2021</v>
      </c>
      <c r="K11" s="702"/>
      <c r="L11" s="702">
        <v>2022</v>
      </c>
      <c r="M11" s="702"/>
      <c r="N11" s="702">
        <v>2023</v>
      </c>
      <c r="O11" s="702"/>
      <c r="P11" s="702">
        <v>2024</v>
      </c>
      <c r="Q11" s="702"/>
      <c r="R11" s="702">
        <v>2025</v>
      </c>
      <c r="S11" s="702"/>
      <c r="T11" s="700"/>
      <c r="U11" s="700"/>
      <c r="V11" s="700"/>
      <c r="W11" s="700"/>
      <c r="X11" s="340"/>
      <c r="Y11" s="72"/>
      <c r="Z11" s="72"/>
    </row>
    <row r="12" spans="1:26" ht="16.5" customHeight="1" x14ac:dyDescent="0.25">
      <c r="B12" s="701"/>
      <c r="C12" s="701"/>
      <c r="D12" s="701"/>
      <c r="E12" s="701"/>
      <c r="F12" s="701"/>
      <c r="G12" s="701"/>
      <c r="H12" s="79" t="s">
        <v>112</v>
      </c>
      <c r="I12" s="79" t="s">
        <v>113</v>
      </c>
      <c r="J12" s="79" t="s">
        <v>112</v>
      </c>
      <c r="K12" s="79" t="s">
        <v>113</v>
      </c>
      <c r="L12" s="79" t="s">
        <v>112</v>
      </c>
      <c r="M12" s="79" t="s">
        <v>113</v>
      </c>
      <c r="N12" s="79" t="s">
        <v>112</v>
      </c>
      <c r="O12" s="79" t="s">
        <v>113</v>
      </c>
      <c r="P12" s="79" t="s">
        <v>112</v>
      </c>
      <c r="Q12" s="79" t="s">
        <v>113</v>
      </c>
      <c r="R12" s="79" t="s">
        <v>112</v>
      </c>
      <c r="S12" s="79" t="s">
        <v>113</v>
      </c>
      <c r="T12" s="80"/>
      <c r="U12" s="80"/>
      <c r="V12" s="80"/>
      <c r="W12" s="80"/>
      <c r="X12" s="341"/>
    </row>
    <row r="13" spans="1:26" ht="55.5" customHeight="1" x14ac:dyDescent="0.25">
      <c r="B13" s="91" t="s">
        <v>37</v>
      </c>
      <c r="C13" s="92" t="s">
        <v>114</v>
      </c>
      <c r="D13" s="93" t="s">
        <v>709</v>
      </c>
      <c r="E13" s="94" t="s">
        <v>73</v>
      </c>
      <c r="F13" s="94" t="s">
        <v>73</v>
      </c>
      <c r="G13" s="95" t="s">
        <v>74</v>
      </c>
      <c r="H13" s="333">
        <v>22</v>
      </c>
      <c r="I13" s="333"/>
      <c r="J13" s="333">
        <v>18</v>
      </c>
      <c r="K13" s="333"/>
      <c r="L13" s="333">
        <v>23</v>
      </c>
      <c r="M13" s="333"/>
      <c r="N13" s="333">
        <v>207</v>
      </c>
      <c r="O13" s="333"/>
      <c r="P13" s="333">
        <v>212</v>
      </c>
      <c r="Q13" s="334"/>
      <c r="R13" s="335">
        <v>47</v>
      </c>
      <c r="S13" s="335"/>
      <c r="T13" s="341"/>
      <c r="U13" s="341"/>
      <c r="V13" s="341"/>
      <c r="W13" s="341"/>
      <c r="X13" s="341"/>
    </row>
    <row r="14" spans="1:26" ht="81" customHeight="1" x14ac:dyDescent="0.25">
      <c r="B14" s="74" t="s">
        <v>39</v>
      </c>
      <c r="C14" s="25" t="s">
        <v>82</v>
      </c>
      <c r="D14" s="88" t="s">
        <v>710</v>
      </c>
      <c r="E14" s="87" t="s">
        <v>73</v>
      </c>
      <c r="F14" s="87" t="s">
        <v>73</v>
      </c>
      <c r="G14" s="84" t="s">
        <v>74</v>
      </c>
      <c r="H14" s="336"/>
      <c r="I14" s="333">
        <v>52</v>
      </c>
      <c r="J14" s="333"/>
      <c r="K14" s="333">
        <v>50</v>
      </c>
      <c r="L14" s="333"/>
      <c r="M14" s="333">
        <v>33</v>
      </c>
      <c r="N14" s="333"/>
      <c r="O14" s="333">
        <v>34</v>
      </c>
      <c r="P14" s="333"/>
      <c r="Q14" s="334">
        <v>35</v>
      </c>
      <c r="R14" s="335">
        <v>38</v>
      </c>
      <c r="S14" s="335"/>
    </row>
    <row r="15" spans="1:26" ht="55.5" customHeight="1" x14ac:dyDescent="0.25">
      <c r="A15" s="75"/>
      <c r="B15" s="705" t="s">
        <v>75</v>
      </c>
      <c r="C15" s="26" t="s">
        <v>76</v>
      </c>
      <c r="D15" s="81" t="s">
        <v>77</v>
      </c>
      <c r="E15" s="83" t="s">
        <v>78</v>
      </c>
      <c r="F15" s="83" t="s">
        <v>79</v>
      </c>
      <c r="G15" s="84" t="s">
        <v>80</v>
      </c>
      <c r="H15" s="337" t="s">
        <v>98</v>
      </c>
      <c r="I15" s="337" t="s">
        <v>98</v>
      </c>
      <c r="J15" s="337" t="s">
        <v>98</v>
      </c>
      <c r="K15" s="337" t="s">
        <v>98</v>
      </c>
      <c r="L15" s="337" t="s">
        <v>98</v>
      </c>
      <c r="M15" s="337" t="s">
        <v>98</v>
      </c>
      <c r="N15" s="337"/>
      <c r="O15" s="337" t="s">
        <v>98</v>
      </c>
      <c r="P15" s="337"/>
      <c r="Q15" s="338" t="s">
        <v>98</v>
      </c>
      <c r="R15" s="335"/>
      <c r="S15" s="339" t="s">
        <v>98</v>
      </c>
    </row>
    <row r="16" spans="1:26" ht="72.75" customHeight="1" x14ac:dyDescent="0.25">
      <c r="A16" s="75"/>
      <c r="B16" s="706"/>
      <c r="C16" s="26" t="s">
        <v>655</v>
      </c>
      <c r="D16" s="81" t="s">
        <v>77</v>
      </c>
      <c r="E16" s="83" t="s">
        <v>659</v>
      </c>
      <c r="F16" s="85" t="s">
        <v>662</v>
      </c>
      <c r="G16" s="84" t="s">
        <v>74</v>
      </c>
      <c r="H16" s="337" t="s">
        <v>98</v>
      </c>
      <c r="I16" s="337"/>
      <c r="J16" s="337" t="s">
        <v>98</v>
      </c>
      <c r="K16" s="337"/>
      <c r="L16" s="337" t="s">
        <v>98</v>
      </c>
      <c r="M16" s="337"/>
      <c r="N16" s="337" t="s">
        <v>98</v>
      </c>
      <c r="O16" s="337"/>
      <c r="P16" s="337" t="s">
        <v>98</v>
      </c>
      <c r="Q16" s="338"/>
      <c r="R16" s="339" t="s">
        <v>98</v>
      </c>
      <c r="S16" s="335"/>
    </row>
    <row r="17" spans="1:19" ht="55.5" customHeight="1" x14ac:dyDescent="0.25">
      <c r="A17" s="75"/>
      <c r="B17" s="706"/>
      <c r="C17" s="26" t="s">
        <v>656</v>
      </c>
      <c r="D17" s="81" t="s">
        <v>657</v>
      </c>
      <c r="E17" s="83" t="s">
        <v>660</v>
      </c>
      <c r="F17" s="85" t="s">
        <v>658</v>
      </c>
      <c r="G17" s="84" t="s">
        <v>661</v>
      </c>
      <c r="H17" s="337" t="s">
        <v>98</v>
      </c>
      <c r="I17" s="337" t="s">
        <v>98</v>
      </c>
      <c r="J17" s="337" t="s">
        <v>98</v>
      </c>
      <c r="K17" s="337" t="s">
        <v>98</v>
      </c>
      <c r="L17" s="337" t="s">
        <v>98</v>
      </c>
      <c r="M17" s="337" t="s">
        <v>98</v>
      </c>
      <c r="N17" s="337" t="s">
        <v>98</v>
      </c>
      <c r="O17" s="337" t="s">
        <v>98</v>
      </c>
      <c r="P17" s="337" t="s">
        <v>98</v>
      </c>
      <c r="Q17" s="338" t="s">
        <v>98</v>
      </c>
      <c r="R17" s="337" t="s">
        <v>98</v>
      </c>
      <c r="S17" s="339" t="s">
        <v>98</v>
      </c>
    </row>
    <row r="18" spans="1:19" ht="55.5" customHeight="1" x14ac:dyDescent="0.25">
      <c r="A18" s="75"/>
      <c r="B18" s="706"/>
      <c r="C18" s="26" t="s">
        <v>82</v>
      </c>
      <c r="D18" s="81" t="s">
        <v>83</v>
      </c>
      <c r="E18" s="83" t="s">
        <v>84</v>
      </c>
      <c r="F18" s="85" t="s">
        <v>73</v>
      </c>
      <c r="G18" s="84" t="s">
        <v>74</v>
      </c>
      <c r="H18" s="337" t="s">
        <v>98</v>
      </c>
      <c r="I18" s="337"/>
      <c r="J18" s="337" t="s">
        <v>98</v>
      </c>
      <c r="K18" s="337"/>
      <c r="L18" s="337" t="s">
        <v>98</v>
      </c>
      <c r="M18" s="337"/>
      <c r="N18" s="337" t="s">
        <v>98</v>
      </c>
      <c r="O18" s="337"/>
      <c r="P18" s="337" t="s">
        <v>98</v>
      </c>
      <c r="Q18" s="338"/>
      <c r="R18" s="337" t="s">
        <v>98</v>
      </c>
      <c r="S18" s="339"/>
    </row>
    <row r="19" spans="1:19" ht="55.5" customHeight="1" x14ac:dyDescent="0.25">
      <c r="A19" s="75"/>
      <c r="B19" s="706"/>
      <c r="C19" s="26" t="s">
        <v>85</v>
      </c>
      <c r="D19" s="81" t="s">
        <v>86</v>
      </c>
      <c r="E19" s="83" t="s">
        <v>87</v>
      </c>
      <c r="F19" s="85" t="s">
        <v>88</v>
      </c>
      <c r="G19" s="84" t="s">
        <v>89</v>
      </c>
      <c r="H19" s="337" t="s">
        <v>98</v>
      </c>
      <c r="I19" s="337" t="s">
        <v>98</v>
      </c>
      <c r="J19" s="337" t="s">
        <v>98</v>
      </c>
      <c r="K19" s="337" t="s">
        <v>98</v>
      </c>
      <c r="L19" s="337" t="s">
        <v>98</v>
      </c>
      <c r="M19" s="337" t="s">
        <v>98</v>
      </c>
      <c r="N19" s="337"/>
      <c r="O19" s="337" t="s">
        <v>98</v>
      </c>
      <c r="P19" s="337"/>
      <c r="Q19" s="338" t="s">
        <v>98</v>
      </c>
      <c r="R19" s="335"/>
      <c r="S19" s="339" t="s">
        <v>98</v>
      </c>
    </row>
    <row r="20" spans="1:19" ht="55.5" customHeight="1" x14ac:dyDescent="0.25">
      <c r="A20" s="75"/>
      <c r="B20" s="706"/>
      <c r="C20" s="26" t="s">
        <v>90</v>
      </c>
      <c r="D20" s="81" t="s">
        <v>86</v>
      </c>
      <c r="E20" s="83" t="s">
        <v>91</v>
      </c>
      <c r="F20" s="85" t="s">
        <v>92</v>
      </c>
      <c r="G20" s="84" t="s">
        <v>93</v>
      </c>
      <c r="H20" s="337" t="s">
        <v>98</v>
      </c>
      <c r="I20" s="337" t="s">
        <v>98</v>
      </c>
      <c r="J20" s="337" t="s">
        <v>98</v>
      </c>
      <c r="K20" s="337" t="s">
        <v>98</v>
      </c>
      <c r="L20" s="337" t="s">
        <v>98</v>
      </c>
      <c r="M20" s="337" t="s">
        <v>98</v>
      </c>
      <c r="N20" s="337"/>
      <c r="O20" s="337" t="s">
        <v>98</v>
      </c>
      <c r="P20" s="337"/>
      <c r="Q20" s="338" t="s">
        <v>98</v>
      </c>
      <c r="R20" s="335"/>
      <c r="S20" s="339" t="s">
        <v>98</v>
      </c>
    </row>
    <row r="21" spans="1:19" ht="55.5" customHeight="1" x14ac:dyDescent="0.25">
      <c r="A21" s="75"/>
      <c r="B21" s="707"/>
      <c r="C21" s="26" t="s">
        <v>94</v>
      </c>
      <c r="D21" s="81" t="s">
        <v>86</v>
      </c>
      <c r="E21" s="83" t="s">
        <v>95</v>
      </c>
      <c r="F21" s="83" t="s">
        <v>96</v>
      </c>
      <c r="G21" s="84" t="s">
        <v>97</v>
      </c>
      <c r="H21" s="337" t="s">
        <v>98</v>
      </c>
      <c r="I21" s="337" t="s">
        <v>98</v>
      </c>
      <c r="J21" s="337" t="s">
        <v>98</v>
      </c>
      <c r="K21" s="337" t="s">
        <v>98</v>
      </c>
      <c r="L21" s="337" t="s">
        <v>98</v>
      </c>
      <c r="M21" s="337" t="s">
        <v>98</v>
      </c>
      <c r="N21" s="337" t="s">
        <v>98</v>
      </c>
      <c r="O21" s="337" t="s">
        <v>98</v>
      </c>
      <c r="P21" s="337" t="s">
        <v>98</v>
      </c>
      <c r="Q21" s="338" t="s">
        <v>98</v>
      </c>
      <c r="R21" s="338" t="s">
        <v>98</v>
      </c>
      <c r="S21" s="339" t="s">
        <v>98</v>
      </c>
    </row>
    <row r="22" spans="1:19" ht="55.5" customHeight="1" x14ac:dyDescent="0.25">
      <c r="B22" s="76" t="s">
        <v>790</v>
      </c>
      <c r="C22" s="77"/>
      <c r="D22" s="77"/>
      <c r="E22" s="77"/>
      <c r="F22" s="78"/>
      <c r="G22" s="77"/>
    </row>
    <row r="23" spans="1:19" ht="15" customHeight="1" x14ac:dyDescent="0.25">
      <c r="B23" s="55" t="s">
        <v>105</v>
      </c>
      <c r="C23" s="56" t="s">
        <v>74</v>
      </c>
      <c r="D23" s="96"/>
      <c r="E23" s="96"/>
      <c r="F23" s="96"/>
      <c r="G23" s="96"/>
      <c r="H23" s="96"/>
      <c r="I23" s="96"/>
      <c r="J23" s="96"/>
    </row>
    <row r="24" spans="1:19" ht="15" customHeight="1" x14ac:dyDescent="0.25">
      <c r="B24" s="57" t="s">
        <v>106</v>
      </c>
      <c r="C24" s="56" t="s">
        <v>107</v>
      </c>
      <c r="D24" s="97"/>
      <c r="E24" s="97"/>
      <c r="F24" s="97"/>
      <c r="G24" s="98"/>
      <c r="H24" s="97"/>
      <c r="I24" s="99"/>
      <c r="J24" s="99"/>
    </row>
    <row r="25" spans="1:19" ht="23.25" customHeight="1" x14ac:dyDescent="0.25">
      <c r="B25" s="57"/>
      <c r="C25" s="56"/>
      <c r="D25" s="97"/>
      <c r="E25" s="97"/>
      <c r="F25" s="97"/>
      <c r="G25" s="98"/>
      <c r="H25" s="97"/>
      <c r="I25" s="99"/>
      <c r="J25" s="99"/>
    </row>
    <row r="26" spans="1:19" ht="55.5" customHeight="1" x14ac:dyDescent="0.25">
      <c r="B26" s="149" t="s">
        <v>116</v>
      </c>
      <c r="C26" s="150" t="s">
        <v>117</v>
      </c>
      <c r="D26" s="151" t="s">
        <v>663</v>
      </c>
      <c r="E26" s="151" t="s">
        <v>229</v>
      </c>
      <c r="F26" s="151" t="s">
        <v>230</v>
      </c>
      <c r="G26" s="151" t="s">
        <v>231</v>
      </c>
      <c r="H26" s="151" t="s">
        <v>232</v>
      </c>
      <c r="I26" s="151" t="s">
        <v>233</v>
      </c>
      <c r="J26" s="343" t="s">
        <v>664</v>
      </c>
      <c r="K26" s="344" t="s">
        <v>665</v>
      </c>
    </row>
    <row r="27" spans="1:19" ht="12.75" customHeight="1" x14ac:dyDescent="0.25">
      <c r="B27" s="694" t="s">
        <v>118</v>
      </c>
      <c r="C27" s="100" t="s">
        <v>119</v>
      </c>
      <c r="D27" s="117" t="s">
        <v>99</v>
      </c>
      <c r="E27" s="118" t="s">
        <v>99</v>
      </c>
      <c r="F27" s="119" t="s">
        <v>99</v>
      </c>
      <c r="G27" s="120" t="s">
        <v>99</v>
      </c>
      <c r="H27" s="121" t="s">
        <v>99</v>
      </c>
      <c r="I27" s="122" t="s">
        <v>99</v>
      </c>
      <c r="J27" s="148" t="s">
        <v>99</v>
      </c>
      <c r="K27" s="86" t="s">
        <v>98</v>
      </c>
    </row>
    <row r="28" spans="1:19" ht="12.75" customHeight="1" x14ac:dyDescent="0.25">
      <c r="B28" s="699"/>
      <c r="C28" s="100" t="s">
        <v>120</v>
      </c>
      <c r="D28" s="117" t="s">
        <v>99</v>
      </c>
      <c r="E28" s="118" t="s">
        <v>99</v>
      </c>
      <c r="F28" s="119" t="s">
        <v>99</v>
      </c>
      <c r="G28" s="120" t="s">
        <v>99</v>
      </c>
      <c r="H28" s="121" t="s">
        <v>99</v>
      </c>
      <c r="I28" s="48" t="s">
        <v>99</v>
      </c>
      <c r="J28" s="345" t="s">
        <v>99</v>
      </c>
      <c r="K28" s="86" t="s">
        <v>98</v>
      </c>
    </row>
    <row r="29" spans="1:19" ht="12.75" customHeight="1" x14ac:dyDescent="0.25">
      <c r="B29" s="699"/>
      <c r="C29" s="102" t="s">
        <v>121</v>
      </c>
      <c r="D29" s="123"/>
      <c r="E29" s="124" t="s">
        <v>99</v>
      </c>
      <c r="F29" s="119" t="s">
        <v>99</v>
      </c>
      <c r="G29" s="120" t="s">
        <v>99</v>
      </c>
      <c r="H29" s="121" t="s">
        <v>99</v>
      </c>
      <c r="I29" s="122" t="s">
        <v>99</v>
      </c>
      <c r="J29" s="148" t="s">
        <v>99</v>
      </c>
      <c r="K29" s="86" t="s">
        <v>98</v>
      </c>
    </row>
    <row r="30" spans="1:19" ht="12.75" customHeight="1" x14ac:dyDescent="0.25">
      <c r="B30" s="699"/>
      <c r="C30" s="102" t="s">
        <v>122</v>
      </c>
      <c r="D30" s="123"/>
      <c r="E30" s="124" t="s">
        <v>99</v>
      </c>
      <c r="F30" s="119" t="s">
        <v>99</v>
      </c>
      <c r="G30" s="120" t="s">
        <v>99</v>
      </c>
      <c r="H30" s="121" t="s">
        <v>99</v>
      </c>
      <c r="I30" s="122" t="s">
        <v>99</v>
      </c>
      <c r="J30" s="148" t="s">
        <v>99</v>
      </c>
      <c r="K30" s="86" t="s">
        <v>98</v>
      </c>
    </row>
    <row r="31" spans="1:19" ht="12.75" customHeight="1" x14ac:dyDescent="0.25">
      <c r="B31" s="699"/>
      <c r="C31" s="102" t="s">
        <v>123</v>
      </c>
      <c r="D31" s="123"/>
      <c r="E31" s="124" t="s">
        <v>99</v>
      </c>
      <c r="F31" s="119" t="s">
        <v>99</v>
      </c>
      <c r="G31" s="120" t="s">
        <v>99</v>
      </c>
      <c r="H31" s="121" t="s">
        <v>99</v>
      </c>
      <c r="I31" s="122" t="s">
        <v>99</v>
      </c>
      <c r="J31" s="148" t="s">
        <v>99</v>
      </c>
      <c r="K31" s="86" t="s">
        <v>98</v>
      </c>
    </row>
    <row r="32" spans="1:19" ht="12.75" customHeight="1" x14ac:dyDescent="0.25">
      <c r="B32" s="699"/>
      <c r="C32" s="102" t="s">
        <v>124</v>
      </c>
      <c r="D32" s="123"/>
      <c r="E32" s="124"/>
      <c r="F32" s="119"/>
      <c r="G32" s="120"/>
      <c r="H32" s="121" t="s">
        <v>99</v>
      </c>
      <c r="I32" s="122" t="s">
        <v>99</v>
      </c>
      <c r="J32" s="148" t="s">
        <v>99</v>
      </c>
      <c r="K32" s="86" t="s">
        <v>98</v>
      </c>
    </row>
    <row r="33" spans="2:11" ht="12.75" customHeight="1" x14ac:dyDescent="0.25">
      <c r="B33" s="699"/>
      <c r="C33" s="103" t="s">
        <v>125</v>
      </c>
      <c r="D33" s="125"/>
      <c r="E33" s="126" t="s">
        <v>99</v>
      </c>
      <c r="F33" s="119" t="s">
        <v>99</v>
      </c>
      <c r="G33" s="120" t="s">
        <v>99</v>
      </c>
      <c r="H33" s="121" t="s">
        <v>99</v>
      </c>
      <c r="I33" s="122" t="s">
        <v>99</v>
      </c>
      <c r="J33" s="148" t="s">
        <v>99</v>
      </c>
      <c r="K33" s="86" t="s">
        <v>98</v>
      </c>
    </row>
    <row r="34" spans="2:11" ht="12.75" customHeight="1" x14ac:dyDescent="0.25">
      <c r="B34" s="699"/>
      <c r="C34" s="102" t="s">
        <v>126</v>
      </c>
      <c r="D34" s="123"/>
      <c r="E34" s="124" t="s">
        <v>99</v>
      </c>
      <c r="F34" s="119" t="s">
        <v>99</v>
      </c>
      <c r="G34" s="120" t="s">
        <v>99</v>
      </c>
      <c r="H34" s="121" t="s">
        <v>99</v>
      </c>
      <c r="I34" s="122" t="s">
        <v>99</v>
      </c>
      <c r="J34" s="148" t="s">
        <v>99</v>
      </c>
      <c r="K34" s="86" t="s">
        <v>98</v>
      </c>
    </row>
    <row r="35" spans="2:11" ht="12.75" customHeight="1" x14ac:dyDescent="0.25">
      <c r="B35" s="699"/>
      <c r="C35" s="103" t="s">
        <v>127</v>
      </c>
      <c r="D35" s="125"/>
      <c r="E35" s="126"/>
      <c r="F35" s="119" t="s">
        <v>99</v>
      </c>
      <c r="G35" s="120" t="s">
        <v>99</v>
      </c>
      <c r="H35" s="121"/>
      <c r="I35" s="122"/>
      <c r="J35" s="148"/>
      <c r="K35" s="86" t="s">
        <v>98</v>
      </c>
    </row>
    <row r="36" spans="2:11" ht="12.75" customHeight="1" x14ac:dyDescent="0.25">
      <c r="B36" s="699"/>
      <c r="C36" s="104" t="s">
        <v>128</v>
      </c>
      <c r="D36" s="127"/>
      <c r="E36" s="128"/>
      <c r="F36" s="119"/>
      <c r="G36" s="120"/>
      <c r="H36" s="121" t="s">
        <v>99</v>
      </c>
      <c r="I36" s="122" t="s">
        <v>99</v>
      </c>
      <c r="J36" s="148" t="s">
        <v>99</v>
      </c>
      <c r="K36" s="86" t="s">
        <v>98</v>
      </c>
    </row>
    <row r="37" spans="2:11" ht="12.75" customHeight="1" x14ac:dyDescent="0.25">
      <c r="B37" s="699"/>
      <c r="C37" s="104" t="s">
        <v>129</v>
      </c>
      <c r="D37" s="129"/>
      <c r="E37" s="130"/>
      <c r="F37" s="119" t="s">
        <v>99</v>
      </c>
      <c r="G37" s="120" t="s">
        <v>99</v>
      </c>
      <c r="H37" s="121"/>
      <c r="I37" s="122"/>
      <c r="J37" s="148" t="s">
        <v>99</v>
      </c>
      <c r="K37" s="86" t="s">
        <v>98</v>
      </c>
    </row>
    <row r="38" spans="2:11" ht="12.75" customHeight="1" x14ac:dyDescent="0.25">
      <c r="B38" s="695"/>
      <c r="C38" s="105" t="s">
        <v>130</v>
      </c>
      <c r="D38" s="129"/>
      <c r="E38" s="131"/>
      <c r="F38" s="132" t="s">
        <v>99</v>
      </c>
      <c r="G38" s="120" t="s">
        <v>99</v>
      </c>
      <c r="H38" s="121"/>
      <c r="I38" s="122"/>
      <c r="J38" s="148" t="s">
        <v>63</v>
      </c>
      <c r="K38" s="86"/>
    </row>
    <row r="39" spans="2:11" ht="12.75" customHeight="1" x14ac:dyDescent="0.25">
      <c r="B39" s="696" t="s">
        <v>131</v>
      </c>
      <c r="C39" s="100" t="s">
        <v>132</v>
      </c>
      <c r="D39" s="117"/>
      <c r="E39" s="124"/>
      <c r="F39" s="133"/>
      <c r="G39" s="120"/>
      <c r="H39" s="121"/>
      <c r="I39" s="122"/>
      <c r="J39" s="148" t="s">
        <v>63</v>
      </c>
      <c r="K39" s="86"/>
    </row>
    <row r="40" spans="2:11" ht="12.75" customHeight="1" x14ac:dyDescent="0.25">
      <c r="B40" s="697"/>
      <c r="C40" s="100" t="s">
        <v>133</v>
      </c>
      <c r="D40" s="117" t="s">
        <v>99</v>
      </c>
      <c r="E40" s="124"/>
      <c r="F40" s="133"/>
      <c r="G40" s="120"/>
      <c r="H40" s="121"/>
      <c r="I40" s="122"/>
      <c r="J40" s="148" t="s">
        <v>63</v>
      </c>
      <c r="K40" s="86"/>
    </row>
    <row r="41" spans="2:11" ht="12.75" customHeight="1" x14ac:dyDescent="0.25">
      <c r="B41" s="698"/>
      <c r="C41" s="100" t="s">
        <v>134</v>
      </c>
      <c r="D41" s="134" t="s">
        <v>99</v>
      </c>
      <c r="E41" s="135"/>
      <c r="F41" s="136"/>
      <c r="G41" s="120"/>
      <c r="H41" s="121"/>
      <c r="I41" s="122"/>
      <c r="J41" s="148" t="s">
        <v>63</v>
      </c>
      <c r="K41" s="86"/>
    </row>
    <row r="42" spans="2:11" ht="12.75" customHeight="1" x14ac:dyDescent="0.25">
      <c r="B42" s="679" t="s">
        <v>135</v>
      </c>
      <c r="C42" s="100" t="s">
        <v>136</v>
      </c>
      <c r="D42" s="137" t="s">
        <v>99</v>
      </c>
      <c r="E42" s="130" t="s">
        <v>99</v>
      </c>
      <c r="F42" s="119" t="s">
        <v>99</v>
      </c>
      <c r="G42" s="138" t="s">
        <v>99</v>
      </c>
      <c r="H42" s="121" t="s">
        <v>99</v>
      </c>
      <c r="I42" s="122" t="s">
        <v>99</v>
      </c>
      <c r="J42" s="148" t="s">
        <v>99</v>
      </c>
      <c r="K42" s="86" t="s">
        <v>98</v>
      </c>
    </row>
    <row r="43" spans="2:11" ht="12.75" customHeight="1" x14ac:dyDescent="0.25">
      <c r="B43" s="680"/>
      <c r="C43" s="100" t="s">
        <v>137</v>
      </c>
      <c r="D43" s="117"/>
      <c r="E43" s="118"/>
      <c r="F43" s="119"/>
      <c r="G43" s="120"/>
      <c r="H43" s="121" t="s">
        <v>99</v>
      </c>
      <c r="I43" s="122"/>
      <c r="J43" s="148" t="s">
        <v>63</v>
      </c>
      <c r="K43" s="86" t="s">
        <v>98</v>
      </c>
    </row>
    <row r="44" spans="2:11" ht="12.75" customHeight="1" x14ac:dyDescent="0.25">
      <c r="B44" s="681"/>
      <c r="C44" s="100" t="s">
        <v>138</v>
      </c>
      <c r="D44" s="117"/>
      <c r="E44" s="118"/>
      <c r="F44" s="119"/>
      <c r="G44" s="120"/>
      <c r="H44" s="121" t="s">
        <v>99</v>
      </c>
      <c r="I44" s="122"/>
      <c r="J44" s="148" t="s">
        <v>63</v>
      </c>
      <c r="K44" s="86" t="s">
        <v>98</v>
      </c>
    </row>
    <row r="45" spans="2:11" ht="12.75" customHeight="1" x14ac:dyDescent="0.25">
      <c r="B45" s="106" t="s">
        <v>139</v>
      </c>
      <c r="C45" s="100" t="s">
        <v>140</v>
      </c>
      <c r="D45" s="117" t="s">
        <v>99</v>
      </c>
      <c r="E45" s="124" t="s">
        <v>99</v>
      </c>
      <c r="F45" s="133" t="s">
        <v>99</v>
      </c>
      <c r="G45" s="120" t="s">
        <v>99</v>
      </c>
      <c r="H45" s="121" t="s">
        <v>99</v>
      </c>
      <c r="I45" s="122" t="s">
        <v>99</v>
      </c>
      <c r="J45" s="148" t="s">
        <v>99</v>
      </c>
      <c r="K45" s="86" t="s">
        <v>98</v>
      </c>
    </row>
    <row r="46" spans="2:11" ht="10.5" customHeight="1" x14ac:dyDescent="0.25">
      <c r="B46" s="106" t="s">
        <v>141</v>
      </c>
      <c r="C46" s="107" t="s">
        <v>142</v>
      </c>
      <c r="D46" s="117" t="s">
        <v>99</v>
      </c>
      <c r="E46" s="124"/>
      <c r="F46" s="133"/>
      <c r="G46" s="120"/>
      <c r="H46" s="121"/>
      <c r="I46" s="122"/>
      <c r="J46" s="148" t="s">
        <v>99</v>
      </c>
      <c r="K46" s="86"/>
    </row>
    <row r="47" spans="2:11" ht="10.5" customHeight="1" x14ac:dyDescent="0.25">
      <c r="B47" s="696" t="s">
        <v>143</v>
      </c>
      <c r="C47" s="107" t="s">
        <v>144</v>
      </c>
      <c r="D47" s="117" t="s">
        <v>99</v>
      </c>
      <c r="E47" s="124"/>
      <c r="F47" s="133"/>
      <c r="G47" s="120" t="s">
        <v>99</v>
      </c>
      <c r="H47" s="121" t="s">
        <v>99</v>
      </c>
      <c r="I47" s="122"/>
      <c r="J47" s="148" t="s">
        <v>63</v>
      </c>
      <c r="K47" s="86"/>
    </row>
    <row r="48" spans="2:11" ht="10.5" customHeight="1" x14ac:dyDescent="0.25">
      <c r="B48" s="698"/>
      <c r="C48" s="107" t="s">
        <v>145</v>
      </c>
      <c r="D48" s="117"/>
      <c r="E48" s="124"/>
      <c r="F48" s="119" t="s">
        <v>99</v>
      </c>
      <c r="G48" s="120" t="s">
        <v>99</v>
      </c>
      <c r="H48" s="121" t="s">
        <v>99</v>
      </c>
      <c r="I48" s="122" t="s">
        <v>99</v>
      </c>
      <c r="J48" s="148" t="s">
        <v>99</v>
      </c>
      <c r="K48" s="86" t="s">
        <v>98</v>
      </c>
    </row>
    <row r="49" spans="2:11" ht="10.5" customHeight="1" x14ac:dyDescent="0.25">
      <c r="B49" s="694" t="s">
        <v>146</v>
      </c>
      <c r="C49" s="108" t="s">
        <v>147</v>
      </c>
      <c r="D49" s="117" t="s">
        <v>99</v>
      </c>
      <c r="E49" s="124"/>
      <c r="F49" s="133"/>
      <c r="G49" s="120"/>
      <c r="H49" s="121"/>
      <c r="I49" s="122"/>
      <c r="J49" s="148" t="s">
        <v>63</v>
      </c>
      <c r="K49" s="86"/>
    </row>
    <row r="50" spans="2:11" ht="10.5" customHeight="1" x14ac:dyDescent="0.25">
      <c r="B50" s="695"/>
      <c r="C50" s="108" t="s">
        <v>148</v>
      </c>
      <c r="D50" s="117" t="s">
        <v>99</v>
      </c>
      <c r="E50" s="124"/>
      <c r="F50" s="133"/>
      <c r="G50" s="120"/>
      <c r="H50" s="121"/>
      <c r="I50" s="122"/>
      <c r="J50" s="148" t="s">
        <v>63</v>
      </c>
      <c r="K50" s="86" t="s">
        <v>98</v>
      </c>
    </row>
    <row r="51" spans="2:11" ht="10.5" customHeight="1" x14ac:dyDescent="0.25">
      <c r="B51" s="106" t="s">
        <v>149</v>
      </c>
      <c r="C51" s="108" t="s">
        <v>150</v>
      </c>
      <c r="D51" s="117" t="s">
        <v>99</v>
      </c>
      <c r="E51" s="124"/>
      <c r="F51" s="133"/>
      <c r="G51" s="120"/>
      <c r="H51" s="121"/>
      <c r="I51" s="122"/>
      <c r="J51" s="148"/>
      <c r="K51" s="86"/>
    </row>
    <row r="52" spans="2:11" ht="10.5" customHeight="1" x14ac:dyDescent="0.25">
      <c r="B52" s="692" t="s">
        <v>151</v>
      </c>
      <c r="C52" s="109" t="s">
        <v>666</v>
      </c>
      <c r="D52" s="117" t="s">
        <v>99</v>
      </c>
      <c r="E52" s="124" t="s">
        <v>99</v>
      </c>
      <c r="F52" s="133"/>
      <c r="G52" s="120"/>
      <c r="H52" s="121" t="s">
        <v>99</v>
      </c>
      <c r="I52" s="122" t="s">
        <v>99</v>
      </c>
      <c r="J52" s="148" t="s">
        <v>99</v>
      </c>
      <c r="K52" s="86" t="s">
        <v>98</v>
      </c>
    </row>
    <row r="53" spans="2:11" ht="10.5" customHeight="1" x14ac:dyDescent="0.25">
      <c r="B53" s="693"/>
      <c r="C53" s="109" t="s">
        <v>667</v>
      </c>
      <c r="D53" s="117"/>
      <c r="E53" s="124"/>
      <c r="F53" s="133"/>
      <c r="G53" s="120"/>
      <c r="H53" s="121"/>
      <c r="I53" s="122"/>
      <c r="J53" s="148"/>
      <c r="K53" s="86" t="s">
        <v>99</v>
      </c>
    </row>
    <row r="54" spans="2:11" ht="10.5" customHeight="1" x14ac:dyDescent="0.25">
      <c r="B54" s="106" t="s">
        <v>153</v>
      </c>
      <c r="C54" s="108" t="s">
        <v>154</v>
      </c>
      <c r="D54" s="117" t="s">
        <v>99</v>
      </c>
      <c r="E54" s="124"/>
      <c r="F54" s="133"/>
      <c r="G54" s="120"/>
      <c r="H54" s="121"/>
      <c r="I54" s="122"/>
      <c r="J54" s="148"/>
      <c r="K54" s="86"/>
    </row>
    <row r="55" spans="2:11" ht="10.5" customHeight="1" x14ac:dyDescent="0.25">
      <c r="B55" s="106" t="s">
        <v>155</v>
      </c>
      <c r="C55" s="108" t="s">
        <v>156</v>
      </c>
      <c r="D55" s="117" t="s">
        <v>99</v>
      </c>
      <c r="E55" s="124" t="s">
        <v>99</v>
      </c>
      <c r="F55" s="119" t="s">
        <v>99</v>
      </c>
      <c r="G55" s="120"/>
      <c r="H55" s="121"/>
      <c r="I55" s="122"/>
      <c r="J55" s="148"/>
      <c r="K55" s="86"/>
    </row>
    <row r="56" spans="2:11" ht="10.5" customHeight="1" x14ac:dyDescent="0.25">
      <c r="B56" s="694" t="s">
        <v>157</v>
      </c>
      <c r="C56" s="108" t="s">
        <v>158</v>
      </c>
      <c r="D56" s="117" t="s">
        <v>99</v>
      </c>
      <c r="E56" s="124" t="s">
        <v>99</v>
      </c>
      <c r="F56" s="133"/>
      <c r="G56" s="120"/>
      <c r="H56" s="121"/>
      <c r="I56" s="122"/>
      <c r="J56" s="148"/>
      <c r="K56" s="86"/>
    </row>
    <row r="57" spans="2:11" ht="10.5" customHeight="1" x14ac:dyDescent="0.25">
      <c r="B57" s="695"/>
      <c r="C57" s="108" t="s">
        <v>159</v>
      </c>
      <c r="D57" s="117" t="s">
        <v>99</v>
      </c>
      <c r="E57" s="124"/>
      <c r="F57" s="133"/>
      <c r="G57" s="120"/>
      <c r="H57" s="121"/>
      <c r="I57" s="122"/>
      <c r="J57" s="148"/>
      <c r="K57" s="86"/>
    </row>
    <row r="58" spans="2:11" ht="10.5" customHeight="1" x14ac:dyDescent="0.25">
      <c r="B58" s="696" t="s">
        <v>160</v>
      </c>
      <c r="C58" s="108" t="s">
        <v>161</v>
      </c>
      <c r="D58" s="117" t="s">
        <v>99</v>
      </c>
      <c r="E58" s="124" t="s">
        <v>99</v>
      </c>
      <c r="F58" s="119" t="s">
        <v>99</v>
      </c>
      <c r="G58" s="120"/>
      <c r="H58" s="121"/>
      <c r="I58" s="122"/>
      <c r="J58" s="148"/>
      <c r="K58" s="86"/>
    </row>
    <row r="59" spans="2:11" ht="10.5" customHeight="1" x14ac:dyDescent="0.25">
      <c r="B59" s="697"/>
      <c r="C59" s="108" t="s">
        <v>162</v>
      </c>
      <c r="D59" s="117" t="s">
        <v>99</v>
      </c>
      <c r="E59" s="124" t="s">
        <v>99</v>
      </c>
      <c r="F59" s="132" t="s">
        <v>99</v>
      </c>
      <c r="G59" s="120"/>
      <c r="H59" s="121"/>
      <c r="I59" s="122"/>
      <c r="J59" s="148"/>
      <c r="K59" s="86"/>
    </row>
    <row r="60" spans="2:11" ht="10.5" customHeight="1" x14ac:dyDescent="0.25">
      <c r="B60" s="698"/>
      <c r="C60" s="108" t="s">
        <v>163</v>
      </c>
      <c r="D60" s="117" t="s">
        <v>99</v>
      </c>
      <c r="E60" s="124" t="s">
        <v>99</v>
      </c>
      <c r="F60" s="132" t="s">
        <v>99</v>
      </c>
      <c r="G60" s="120"/>
      <c r="H60" s="121"/>
      <c r="I60" s="122"/>
      <c r="J60" s="148"/>
      <c r="K60" s="86"/>
    </row>
    <row r="61" spans="2:11" ht="10.5" customHeight="1" x14ac:dyDescent="0.25">
      <c r="B61" s="307" t="s">
        <v>164</v>
      </c>
      <c r="C61" s="108" t="s">
        <v>165</v>
      </c>
      <c r="D61" s="139" t="s">
        <v>99</v>
      </c>
      <c r="E61" s="140"/>
      <c r="F61" s="119" t="s">
        <v>99</v>
      </c>
      <c r="G61" s="141" t="s">
        <v>99</v>
      </c>
      <c r="H61" s="121" t="s">
        <v>99</v>
      </c>
      <c r="I61" s="122"/>
      <c r="J61" s="148"/>
      <c r="K61" s="86"/>
    </row>
    <row r="62" spans="2:11" ht="10.5" customHeight="1" x14ac:dyDescent="0.25">
      <c r="B62" s="692" t="s">
        <v>166</v>
      </c>
      <c r="C62" s="108" t="s">
        <v>167</v>
      </c>
      <c r="D62" s="134" t="s">
        <v>99</v>
      </c>
      <c r="E62" s="124" t="s">
        <v>99</v>
      </c>
      <c r="F62" s="142" t="s">
        <v>99</v>
      </c>
      <c r="G62" s="120"/>
      <c r="H62" s="121" t="s">
        <v>99</v>
      </c>
      <c r="I62" s="122"/>
      <c r="J62" s="148"/>
      <c r="K62" s="86"/>
    </row>
    <row r="63" spans="2:11" ht="10.5" customHeight="1" x14ac:dyDescent="0.25">
      <c r="B63" s="693"/>
      <c r="C63" s="108" t="s">
        <v>668</v>
      </c>
      <c r="D63" s="143"/>
      <c r="E63" s="346"/>
      <c r="F63" s="142"/>
      <c r="G63" s="120"/>
      <c r="H63" s="121"/>
      <c r="I63" s="122"/>
      <c r="J63" s="148"/>
      <c r="K63" s="86"/>
    </row>
    <row r="64" spans="2:11" ht="10.5" customHeight="1" x14ac:dyDescent="0.25">
      <c r="B64" s="307" t="s">
        <v>612</v>
      </c>
      <c r="C64" s="108" t="s">
        <v>168</v>
      </c>
      <c r="D64" s="143"/>
      <c r="E64" s="346"/>
      <c r="F64" s="142"/>
      <c r="G64" s="120"/>
      <c r="H64" s="121"/>
      <c r="I64" s="122"/>
      <c r="J64" s="148"/>
      <c r="K64" s="86" t="s">
        <v>98</v>
      </c>
    </row>
    <row r="65" spans="2:11" ht="10.5" customHeight="1" x14ac:dyDescent="0.25">
      <c r="B65" s="694" t="s">
        <v>669</v>
      </c>
      <c r="C65" s="108" t="s">
        <v>169</v>
      </c>
      <c r="D65" s="347"/>
      <c r="E65" s="677"/>
      <c r="F65" s="677"/>
      <c r="G65" s="677"/>
      <c r="H65" s="677"/>
      <c r="I65" s="677"/>
      <c r="J65" s="677" t="s">
        <v>98</v>
      </c>
      <c r="K65" s="677" t="s">
        <v>98</v>
      </c>
    </row>
    <row r="66" spans="2:11" ht="10.5" customHeight="1" x14ac:dyDescent="0.25">
      <c r="B66" s="699"/>
      <c r="C66" s="108" t="s">
        <v>170</v>
      </c>
      <c r="D66" s="348"/>
      <c r="E66" s="678"/>
      <c r="F66" s="678"/>
      <c r="G66" s="678"/>
      <c r="H66" s="678"/>
      <c r="I66" s="678"/>
      <c r="J66" s="678"/>
      <c r="K66" s="678"/>
    </row>
    <row r="67" spans="2:11" ht="10.5" customHeight="1" x14ac:dyDescent="0.25">
      <c r="B67" s="699"/>
      <c r="C67" s="108" t="s">
        <v>171</v>
      </c>
      <c r="D67" s="348"/>
      <c r="E67" s="678"/>
      <c r="F67" s="678"/>
      <c r="G67" s="678"/>
      <c r="H67" s="678"/>
      <c r="I67" s="678"/>
      <c r="J67" s="678"/>
      <c r="K67" s="678"/>
    </row>
    <row r="68" spans="2:11" ht="10.5" customHeight="1" x14ac:dyDescent="0.25">
      <c r="B68" s="699"/>
      <c r="C68" s="108" t="s">
        <v>172</v>
      </c>
      <c r="D68" s="348"/>
      <c r="E68" s="678"/>
      <c r="F68" s="678"/>
      <c r="G68" s="678"/>
      <c r="H68" s="678"/>
      <c r="I68" s="678"/>
      <c r="J68" s="678"/>
      <c r="K68" s="678"/>
    </row>
    <row r="69" spans="2:11" ht="10.5" customHeight="1" x14ac:dyDescent="0.25">
      <c r="B69" s="699"/>
      <c r="C69" s="108" t="s">
        <v>173</v>
      </c>
      <c r="D69" s="348"/>
      <c r="E69" s="678"/>
      <c r="F69" s="678"/>
      <c r="G69" s="678"/>
      <c r="H69" s="678"/>
      <c r="I69" s="678"/>
      <c r="J69" s="678"/>
      <c r="K69" s="678"/>
    </row>
    <row r="70" spans="2:11" ht="10.5" customHeight="1" x14ac:dyDescent="0.25">
      <c r="B70" s="699"/>
      <c r="C70" s="108" t="s">
        <v>174</v>
      </c>
      <c r="D70" s="348"/>
      <c r="E70" s="678"/>
      <c r="F70" s="678"/>
      <c r="G70" s="678"/>
      <c r="H70" s="678"/>
      <c r="I70" s="678"/>
      <c r="J70" s="678"/>
      <c r="K70" s="678"/>
    </row>
    <row r="71" spans="2:11" ht="10.5" customHeight="1" x14ac:dyDescent="0.25">
      <c r="B71" s="699"/>
      <c r="C71" s="108" t="s">
        <v>175</v>
      </c>
      <c r="D71" s="348"/>
      <c r="E71" s="678"/>
      <c r="F71" s="678"/>
      <c r="G71" s="678"/>
      <c r="H71" s="678"/>
      <c r="I71" s="678"/>
      <c r="J71" s="678"/>
      <c r="K71" s="678"/>
    </row>
    <row r="72" spans="2:11" ht="10.5" customHeight="1" x14ac:dyDescent="0.25">
      <c r="B72" s="699"/>
      <c r="C72" s="108" t="s">
        <v>176</v>
      </c>
      <c r="D72" s="348"/>
      <c r="E72" s="678"/>
      <c r="F72" s="678"/>
      <c r="G72" s="678"/>
      <c r="H72" s="678"/>
      <c r="I72" s="678"/>
      <c r="J72" s="678"/>
      <c r="K72" s="678"/>
    </row>
    <row r="73" spans="2:11" ht="10.5" customHeight="1" x14ac:dyDescent="0.25">
      <c r="B73" s="699"/>
      <c r="C73" s="108" t="s">
        <v>177</v>
      </c>
      <c r="D73" s="348"/>
      <c r="E73" s="678"/>
      <c r="F73" s="678"/>
      <c r="G73" s="678"/>
      <c r="H73" s="678"/>
      <c r="I73" s="678"/>
      <c r="J73" s="678"/>
      <c r="K73" s="678"/>
    </row>
    <row r="74" spans="2:11" ht="10.5" customHeight="1" x14ac:dyDescent="0.25">
      <c r="B74" s="699"/>
      <c r="C74" s="108" t="s">
        <v>178</v>
      </c>
      <c r="D74" s="348"/>
      <c r="E74" s="678"/>
      <c r="F74" s="678"/>
      <c r="G74" s="678"/>
      <c r="H74" s="678"/>
      <c r="I74" s="678"/>
      <c r="J74" s="678"/>
      <c r="K74" s="678"/>
    </row>
    <row r="75" spans="2:11" ht="10.5" customHeight="1" x14ac:dyDescent="0.25">
      <c r="B75" s="699"/>
      <c r="C75" s="108" t="s">
        <v>179</v>
      </c>
      <c r="D75" s="348"/>
      <c r="E75" s="678"/>
      <c r="F75" s="678"/>
      <c r="G75" s="678"/>
      <c r="H75" s="678"/>
      <c r="I75" s="678"/>
      <c r="J75" s="678"/>
      <c r="K75" s="678"/>
    </row>
    <row r="76" spans="2:11" ht="10.5" customHeight="1" x14ac:dyDescent="0.25">
      <c r="B76" s="699"/>
      <c r="C76" s="108" t="s">
        <v>180</v>
      </c>
      <c r="D76" s="348"/>
      <c r="E76" s="678"/>
      <c r="F76" s="678"/>
      <c r="G76" s="678"/>
      <c r="H76" s="678"/>
      <c r="I76" s="678"/>
      <c r="J76" s="678"/>
      <c r="K76" s="678"/>
    </row>
    <row r="77" spans="2:11" ht="10.5" customHeight="1" x14ac:dyDescent="0.25">
      <c r="B77" s="699"/>
      <c r="C77" s="108" t="s">
        <v>181</v>
      </c>
      <c r="D77" s="348"/>
      <c r="E77" s="678"/>
      <c r="F77" s="678"/>
      <c r="G77" s="678"/>
      <c r="H77" s="678"/>
      <c r="I77" s="678"/>
      <c r="J77" s="678"/>
      <c r="K77" s="678"/>
    </row>
    <row r="78" spans="2:11" ht="10.5" customHeight="1" x14ac:dyDescent="0.25">
      <c r="B78" s="699"/>
      <c r="C78" s="108" t="s">
        <v>182</v>
      </c>
      <c r="D78" s="348"/>
      <c r="E78" s="678"/>
      <c r="F78" s="678"/>
      <c r="G78" s="678"/>
      <c r="H78" s="678"/>
      <c r="I78" s="678"/>
      <c r="J78" s="678"/>
      <c r="K78" s="678"/>
    </row>
    <row r="79" spans="2:11" ht="10.5" customHeight="1" x14ac:dyDescent="0.25">
      <c r="B79" s="699"/>
      <c r="C79" s="108" t="s">
        <v>183</v>
      </c>
      <c r="D79" s="348"/>
      <c r="E79" s="678"/>
      <c r="F79" s="678"/>
      <c r="G79" s="678"/>
      <c r="H79" s="678"/>
      <c r="I79" s="678"/>
      <c r="J79" s="678"/>
      <c r="K79" s="678"/>
    </row>
    <row r="80" spans="2:11" ht="10.5" customHeight="1" x14ac:dyDescent="0.25">
      <c r="B80" s="699"/>
      <c r="C80" s="108" t="s">
        <v>184</v>
      </c>
      <c r="D80" s="348"/>
      <c r="E80" s="678"/>
      <c r="F80" s="678"/>
      <c r="G80" s="678"/>
      <c r="H80" s="678"/>
      <c r="I80" s="678"/>
      <c r="J80" s="678"/>
      <c r="K80" s="678"/>
    </row>
    <row r="81" spans="2:11" ht="10.5" customHeight="1" x14ac:dyDescent="0.25">
      <c r="B81" s="699"/>
      <c r="C81" s="108" t="s">
        <v>185</v>
      </c>
      <c r="D81" s="348"/>
      <c r="E81" s="678"/>
      <c r="F81" s="678"/>
      <c r="G81" s="678"/>
      <c r="H81" s="678"/>
      <c r="I81" s="678"/>
      <c r="J81" s="678"/>
      <c r="K81" s="678"/>
    </row>
    <row r="82" spans="2:11" ht="10.5" customHeight="1" x14ac:dyDescent="0.25">
      <c r="B82" s="699"/>
      <c r="C82" s="108" t="s">
        <v>186</v>
      </c>
      <c r="D82" s="348"/>
      <c r="E82" s="678"/>
      <c r="F82" s="678"/>
      <c r="G82" s="678"/>
      <c r="H82" s="678"/>
      <c r="I82" s="678"/>
      <c r="J82" s="678"/>
      <c r="K82" s="678"/>
    </row>
    <row r="83" spans="2:11" ht="10.5" customHeight="1" x14ac:dyDescent="0.25">
      <c r="B83" s="699"/>
      <c r="C83" s="108" t="s">
        <v>187</v>
      </c>
      <c r="D83" s="348"/>
      <c r="E83" s="678"/>
      <c r="F83" s="678"/>
      <c r="G83" s="678"/>
      <c r="H83" s="678"/>
      <c r="I83" s="678"/>
      <c r="J83" s="678"/>
      <c r="K83" s="678"/>
    </row>
    <row r="84" spans="2:11" ht="10.5" customHeight="1" x14ac:dyDescent="0.25">
      <c r="B84" s="699"/>
      <c r="C84" s="108" t="s">
        <v>188</v>
      </c>
      <c r="D84" s="348"/>
      <c r="E84" s="678"/>
      <c r="F84" s="678"/>
      <c r="G84" s="678"/>
      <c r="H84" s="678"/>
      <c r="I84" s="678"/>
      <c r="J84" s="678"/>
      <c r="K84" s="678"/>
    </row>
    <row r="85" spans="2:11" ht="10.5" customHeight="1" x14ac:dyDescent="0.25">
      <c r="B85" s="699"/>
      <c r="C85" s="349" t="s">
        <v>189</v>
      </c>
      <c r="D85" s="348"/>
      <c r="E85" s="678"/>
      <c r="F85" s="678"/>
      <c r="G85" s="678"/>
      <c r="H85" s="678"/>
      <c r="I85" s="678"/>
      <c r="J85" s="678"/>
      <c r="K85" s="678"/>
    </row>
    <row r="86" spans="2:11" ht="10.5" customHeight="1" x14ac:dyDescent="0.25">
      <c r="B86" s="350" t="s">
        <v>612</v>
      </c>
      <c r="C86" s="351" t="s">
        <v>670</v>
      </c>
      <c r="D86" s="352"/>
      <c r="E86" s="352"/>
      <c r="F86" s="352"/>
      <c r="G86" s="352"/>
      <c r="H86" s="353"/>
      <c r="I86" s="342"/>
      <c r="J86" s="342"/>
      <c r="K86" s="86" t="s">
        <v>98</v>
      </c>
    </row>
    <row r="87" spans="2:11" ht="10.5" customHeight="1" x14ac:dyDescent="0.25">
      <c r="B87" s="354" t="s">
        <v>190</v>
      </c>
      <c r="C87" s="111" t="s">
        <v>191</v>
      </c>
      <c r="D87" s="129"/>
      <c r="E87" s="131"/>
      <c r="F87" s="355" t="s">
        <v>99</v>
      </c>
      <c r="G87" s="356" t="s">
        <v>99</v>
      </c>
      <c r="H87" s="357" t="s">
        <v>99</v>
      </c>
      <c r="I87" s="358"/>
      <c r="J87" s="359" t="s">
        <v>99</v>
      </c>
      <c r="K87" s="89" t="s">
        <v>98</v>
      </c>
    </row>
    <row r="88" spans="2:11" ht="10.5" customHeight="1" x14ac:dyDescent="0.25">
      <c r="B88" s="110" t="s">
        <v>192</v>
      </c>
      <c r="C88" s="101" t="s">
        <v>193</v>
      </c>
      <c r="D88" s="122"/>
      <c r="E88" s="122"/>
      <c r="F88" s="122"/>
      <c r="G88" s="122" t="s">
        <v>99</v>
      </c>
      <c r="H88" s="122" t="s">
        <v>99</v>
      </c>
      <c r="I88" s="122"/>
      <c r="J88" s="148"/>
      <c r="K88" s="86"/>
    </row>
    <row r="89" spans="2:11" ht="10.5" customHeight="1" x14ac:dyDescent="0.25">
      <c r="B89" s="112" t="s">
        <v>194</v>
      </c>
      <c r="C89" s="101" t="s">
        <v>195</v>
      </c>
      <c r="D89" s="122"/>
      <c r="E89" s="122"/>
      <c r="F89" s="122"/>
      <c r="G89" s="122"/>
      <c r="H89" s="122" t="s">
        <v>99</v>
      </c>
      <c r="I89" s="122"/>
      <c r="J89" s="148"/>
      <c r="K89" s="86" t="s">
        <v>98</v>
      </c>
    </row>
    <row r="90" spans="2:11" ht="10.5" customHeight="1" x14ac:dyDescent="0.25">
      <c r="B90" s="679" t="s">
        <v>196</v>
      </c>
      <c r="C90" s="101" t="s">
        <v>197</v>
      </c>
      <c r="D90" s="122"/>
      <c r="E90" s="122"/>
      <c r="F90" s="122"/>
      <c r="G90" s="122" t="s">
        <v>99</v>
      </c>
      <c r="H90" s="122"/>
      <c r="I90" s="122" t="s">
        <v>99</v>
      </c>
      <c r="J90" s="148"/>
      <c r="K90" s="86"/>
    </row>
    <row r="91" spans="2:11" ht="10.5" customHeight="1" x14ac:dyDescent="0.25">
      <c r="B91" s="680"/>
      <c r="C91" s="101" t="s">
        <v>198</v>
      </c>
      <c r="D91" s="122"/>
      <c r="E91" s="122"/>
      <c r="F91" s="122"/>
      <c r="G91" s="122" t="s">
        <v>99</v>
      </c>
      <c r="H91" s="122" t="s">
        <v>99</v>
      </c>
      <c r="I91" s="122" t="s">
        <v>99</v>
      </c>
      <c r="J91" s="148"/>
      <c r="K91" s="86"/>
    </row>
    <row r="92" spans="2:11" ht="10.5" customHeight="1" x14ac:dyDescent="0.25">
      <c r="B92" s="680"/>
      <c r="C92" s="101" t="s">
        <v>199</v>
      </c>
      <c r="D92" s="122"/>
      <c r="E92" s="122"/>
      <c r="F92" s="122"/>
      <c r="G92" s="122" t="s">
        <v>99</v>
      </c>
      <c r="H92" s="122" t="s">
        <v>99</v>
      </c>
      <c r="I92" s="122" t="s">
        <v>99</v>
      </c>
      <c r="J92" s="148" t="s">
        <v>63</v>
      </c>
      <c r="K92" s="86"/>
    </row>
    <row r="93" spans="2:11" ht="10.5" customHeight="1" x14ac:dyDescent="0.25">
      <c r="B93" s="680"/>
      <c r="C93" s="101" t="s">
        <v>200</v>
      </c>
      <c r="D93" s="122"/>
      <c r="E93" s="122"/>
      <c r="F93" s="122"/>
      <c r="G93" s="122" t="s">
        <v>99</v>
      </c>
      <c r="H93" s="122" t="s">
        <v>99</v>
      </c>
      <c r="I93" s="122" t="s">
        <v>99</v>
      </c>
      <c r="J93" s="148"/>
      <c r="K93" s="86"/>
    </row>
    <row r="94" spans="2:11" ht="10.5" customHeight="1" x14ac:dyDescent="0.25">
      <c r="B94" s="680"/>
      <c r="C94" s="101" t="s">
        <v>201</v>
      </c>
      <c r="D94" s="122"/>
      <c r="E94" s="122"/>
      <c r="F94" s="122"/>
      <c r="G94" s="122" t="s">
        <v>99</v>
      </c>
      <c r="H94" s="122" t="s">
        <v>99</v>
      </c>
      <c r="I94" s="122" t="s">
        <v>99</v>
      </c>
      <c r="J94" s="148"/>
      <c r="K94" s="86"/>
    </row>
    <row r="95" spans="2:11" ht="10.5" customHeight="1" x14ac:dyDescent="0.25">
      <c r="B95" s="680"/>
      <c r="C95" s="101" t="s">
        <v>202</v>
      </c>
      <c r="D95" s="122"/>
      <c r="E95" s="122"/>
      <c r="F95" s="122"/>
      <c r="G95" s="122"/>
      <c r="H95" s="122" t="s">
        <v>99</v>
      </c>
      <c r="I95" s="122" t="s">
        <v>99</v>
      </c>
      <c r="J95" s="148"/>
      <c r="K95" s="86"/>
    </row>
    <row r="96" spans="2:11" ht="10.5" customHeight="1" x14ac:dyDescent="0.25">
      <c r="B96" s="681"/>
      <c r="C96" s="101" t="s">
        <v>203</v>
      </c>
      <c r="D96" s="122"/>
      <c r="E96" s="122"/>
      <c r="F96" s="122"/>
      <c r="G96" s="122" t="s">
        <v>99</v>
      </c>
      <c r="H96" s="122" t="s">
        <v>99</v>
      </c>
      <c r="I96" s="122"/>
      <c r="J96" s="148"/>
      <c r="K96" s="86"/>
    </row>
    <row r="97" spans="2:11" ht="10.5" customHeight="1" x14ac:dyDescent="0.25">
      <c r="B97" s="682" t="s">
        <v>204</v>
      </c>
      <c r="C97" s="101" t="s">
        <v>205</v>
      </c>
      <c r="D97" s="122"/>
      <c r="E97" s="122"/>
      <c r="F97" s="122"/>
      <c r="G97" s="122" t="s">
        <v>99</v>
      </c>
      <c r="H97" s="122" t="s">
        <v>99</v>
      </c>
      <c r="I97" s="122" t="s">
        <v>99</v>
      </c>
      <c r="J97" s="148" t="s">
        <v>63</v>
      </c>
      <c r="K97" s="86"/>
    </row>
    <row r="98" spans="2:11" ht="10.5" customHeight="1" x14ac:dyDescent="0.25">
      <c r="B98" s="683"/>
      <c r="C98" s="101" t="s">
        <v>206</v>
      </c>
      <c r="D98" s="122"/>
      <c r="E98" s="122"/>
      <c r="F98" s="122"/>
      <c r="G98" s="122" t="s">
        <v>99</v>
      </c>
      <c r="H98" s="122" t="s">
        <v>99</v>
      </c>
      <c r="I98" s="122" t="s">
        <v>99</v>
      </c>
      <c r="J98" s="148" t="s">
        <v>99</v>
      </c>
      <c r="K98" s="86"/>
    </row>
    <row r="99" spans="2:11" ht="10.5" customHeight="1" x14ac:dyDescent="0.25">
      <c r="B99" s="683"/>
      <c r="C99" s="101" t="s">
        <v>207</v>
      </c>
      <c r="D99" s="122"/>
      <c r="E99" s="122"/>
      <c r="F99" s="122"/>
      <c r="G99" s="122" t="s">
        <v>99</v>
      </c>
      <c r="H99" s="122" t="s">
        <v>99</v>
      </c>
      <c r="I99" s="122" t="s">
        <v>99</v>
      </c>
      <c r="J99" s="148" t="s">
        <v>99</v>
      </c>
      <c r="K99" s="86" t="s">
        <v>98</v>
      </c>
    </row>
    <row r="100" spans="2:11" ht="10.5" customHeight="1" x14ac:dyDescent="0.25">
      <c r="B100" s="683"/>
      <c r="C100" s="101" t="s">
        <v>208</v>
      </c>
      <c r="D100" s="122"/>
      <c r="E100" s="122"/>
      <c r="F100" s="122"/>
      <c r="G100" s="122" t="s">
        <v>99</v>
      </c>
      <c r="H100" s="122" t="s">
        <v>99</v>
      </c>
      <c r="I100" s="122" t="s">
        <v>99</v>
      </c>
      <c r="J100" s="148"/>
      <c r="K100" s="86" t="s">
        <v>98</v>
      </c>
    </row>
    <row r="101" spans="2:11" ht="10.5" customHeight="1" x14ac:dyDescent="0.25">
      <c r="B101" s="683"/>
      <c r="C101" s="101" t="s">
        <v>209</v>
      </c>
      <c r="D101" s="122"/>
      <c r="E101" s="122"/>
      <c r="F101" s="122"/>
      <c r="G101" s="122" t="s">
        <v>99</v>
      </c>
      <c r="H101" s="122" t="s">
        <v>99</v>
      </c>
      <c r="I101" s="122" t="s">
        <v>99</v>
      </c>
      <c r="J101" s="148" t="s">
        <v>99</v>
      </c>
      <c r="K101" s="86" t="s">
        <v>98</v>
      </c>
    </row>
    <row r="102" spans="2:11" ht="10.5" customHeight="1" x14ac:dyDescent="0.25">
      <c r="B102" s="683"/>
      <c r="C102" s="101" t="s">
        <v>210</v>
      </c>
      <c r="D102" s="122"/>
      <c r="E102" s="122"/>
      <c r="F102" s="122"/>
      <c r="G102" s="122"/>
      <c r="H102" s="122" t="s">
        <v>99</v>
      </c>
      <c r="I102" s="122" t="s">
        <v>99</v>
      </c>
      <c r="J102" s="148" t="s">
        <v>63</v>
      </c>
      <c r="K102" s="86"/>
    </row>
    <row r="103" spans="2:11" ht="10.5" customHeight="1" x14ac:dyDescent="0.25">
      <c r="B103" s="683"/>
      <c r="C103" s="101" t="s">
        <v>211</v>
      </c>
      <c r="D103" s="122"/>
      <c r="E103" s="122"/>
      <c r="F103" s="122"/>
      <c r="G103" s="122"/>
      <c r="H103" s="122" t="s">
        <v>99</v>
      </c>
      <c r="I103" s="122" t="s">
        <v>99</v>
      </c>
      <c r="J103" s="148" t="s">
        <v>63</v>
      </c>
      <c r="K103" s="86"/>
    </row>
    <row r="104" spans="2:11" ht="10.5" customHeight="1" x14ac:dyDescent="0.25">
      <c r="B104" s="683"/>
      <c r="C104" s="101" t="s">
        <v>212</v>
      </c>
      <c r="D104" s="122"/>
      <c r="E104" s="122"/>
      <c r="F104" s="122"/>
      <c r="G104" s="122"/>
      <c r="H104" s="122" t="s">
        <v>99</v>
      </c>
      <c r="I104" s="122" t="s">
        <v>99</v>
      </c>
      <c r="J104" s="148" t="s">
        <v>63</v>
      </c>
      <c r="K104" s="86"/>
    </row>
    <row r="105" spans="2:11" ht="10.5" customHeight="1" x14ac:dyDescent="0.25">
      <c r="B105" s="683"/>
      <c r="C105" s="101" t="s">
        <v>213</v>
      </c>
      <c r="D105" s="122"/>
      <c r="E105" s="122"/>
      <c r="F105" s="122"/>
      <c r="G105" s="122"/>
      <c r="H105" s="122"/>
      <c r="I105" s="122"/>
      <c r="J105" s="148" t="s">
        <v>99</v>
      </c>
      <c r="K105" s="86"/>
    </row>
    <row r="106" spans="2:11" ht="10.5" customHeight="1" x14ac:dyDescent="0.25">
      <c r="B106" s="683"/>
      <c r="C106" s="101" t="s">
        <v>214</v>
      </c>
      <c r="D106" s="122"/>
      <c r="E106" s="122"/>
      <c r="F106" s="122"/>
      <c r="G106" s="122"/>
      <c r="H106" s="122"/>
      <c r="I106" s="122"/>
      <c r="J106" s="148" t="s">
        <v>99</v>
      </c>
      <c r="K106" s="86" t="s">
        <v>98</v>
      </c>
    </row>
    <row r="107" spans="2:11" ht="10.5" customHeight="1" x14ac:dyDescent="0.25">
      <c r="B107" s="683"/>
      <c r="C107" s="113" t="s">
        <v>215</v>
      </c>
      <c r="D107" s="126"/>
      <c r="E107" s="126"/>
      <c r="F107" s="126"/>
      <c r="G107" s="120" t="s">
        <v>99</v>
      </c>
      <c r="H107" s="121" t="s">
        <v>99</v>
      </c>
      <c r="I107" s="122" t="s">
        <v>99</v>
      </c>
      <c r="J107" s="148" t="s">
        <v>63</v>
      </c>
      <c r="K107" s="86"/>
    </row>
    <row r="108" spans="2:11" ht="10.5" customHeight="1" x14ac:dyDescent="0.25">
      <c r="B108" s="114" t="s">
        <v>216</v>
      </c>
      <c r="C108" s="115" t="s">
        <v>217</v>
      </c>
      <c r="D108" s="144"/>
      <c r="E108" s="144"/>
      <c r="F108" s="144"/>
      <c r="G108" s="145"/>
      <c r="H108" s="146" t="s">
        <v>99</v>
      </c>
      <c r="I108" s="147"/>
      <c r="J108" s="147"/>
      <c r="K108" s="86"/>
    </row>
    <row r="109" spans="2:11" ht="10.5" customHeight="1" x14ac:dyDescent="0.25">
      <c r="B109" s="116" t="s">
        <v>218</v>
      </c>
      <c r="C109" s="113" t="s">
        <v>219</v>
      </c>
      <c r="D109" s="126"/>
      <c r="E109" s="126"/>
      <c r="F109" s="126"/>
      <c r="G109" s="120"/>
      <c r="H109" s="121"/>
      <c r="I109" s="148"/>
      <c r="J109" s="148" t="s">
        <v>99</v>
      </c>
      <c r="K109" s="86" t="s">
        <v>98</v>
      </c>
    </row>
    <row r="110" spans="2:11" ht="10.5" customHeight="1" x14ac:dyDescent="0.25">
      <c r="B110" s="684" t="s">
        <v>220</v>
      </c>
      <c r="C110" s="113" t="s">
        <v>221</v>
      </c>
      <c r="D110" s="126"/>
      <c r="E110" s="126"/>
      <c r="F110" s="126"/>
      <c r="G110" s="120"/>
      <c r="H110" s="121"/>
      <c r="I110" s="148"/>
      <c r="J110" s="148" t="s">
        <v>99</v>
      </c>
      <c r="K110" s="86" t="s">
        <v>98</v>
      </c>
    </row>
    <row r="111" spans="2:11" ht="10.5" customHeight="1" x14ac:dyDescent="0.25">
      <c r="B111" s="685"/>
      <c r="C111" s="113" t="s">
        <v>222</v>
      </c>
      <c r="D111" s="126"/>
      <c r="E111" s="126"/>
      <c r="F111" s="126"/>
      <c r="G111" s="120"/>
      <c r="H111" s="121"/>
      <c r="I111" s="148"/>
      <c r="J111" s="148" t="s">
        <v>99</v>
      </c>
      <c r="K111" s="86" t="s">
        <v>98</v>
      </c>
    </row>
    <row r="112" spans="2:11" ht="10.5" customHeight="1" x14ac:dyDescent="0.25">
      <c r="B112" s="685"/>
      <c r="C112" s="113" t="s">
        <v>223</v>
      </c>
      <c r="D112" s="126"/>
      <c r="E112" s="126"/>
      <c r="F112" s="126"/>
      <c r="G112" s="120"/>
      <c r="H112" s="121"/>
      <c r="I112" s="148"/>
      <c r="J112" s="148" t="s">
        <v>99</v>
      </c>
      <c r="K112" s="86" t="s">
        <v>98</v>
      </c>
    </row>
    <row r="113" spans="2:101" ht="10.5" customHeight="1" x14ac:dyDescent="0.25">
      <c r="B113" s="685"/>
      <c r="C113" s="113" t="s">
        <v>224</v>
      </c>
      <c r="D113" s="126"/>
      <c r="E113" s="126"/>
      <c r="F113" s="126"/>
      <c r="G113" s="120"/>
      <c r="H113" s="121"/>
      <c r="I113" s="148"/>
      <c r="J113" s="148" t="s">
        <v>99</v>
      </c>
      <c r="K113" s="86" t="s">
        <v>98</v>
      </c>
    </row>
    <row r="114" spans="2:101" ht="10.5" customHeight="1" x14ac:dyDescent="0.25">
      <c r="B114" s="685"/>
      <c r="C114" s="113" t="s">
        <v>201</v>
      </c>
      <c r="D114" s="126"/>
      <c r="E114" s="126"/>
      <c r="F114" s="126"/>
      <c r="G114" s="120"/>
      <c r="H114" s="121"/>
      <c r="I114" s="148"/>
      <c r="J114" s="148" t="s">
        <v>99</v>
      </c>
      <c r="K114" s="86" t="s">
        <v>98</v>
      </c>
    </row>
    <row r="115" spans="2:101" ht="10.5" customHeight="1" x14ac:dyDescent="0.25">
      <c r="B115" s="685"/>
      <c r="C115" s="113" t="s">
        <v>225</v>
      </c>
      <c r="D115" s="126"/>
      <c r="E115" s="126"/>
      <c r="F115" s="126"/>
      <c r="G115" s="120"/>
      <c r="H115" s="121"/>
      <c r="I115" s="148"/>
      <c r="J115" s="148" t="s">
        <v>99</v>
      </c>
      <c r="K115" s="86" t="s">
        <v>98</v>
      </c>
    </row>
    <row r="116" spans="2:101" ht="10.5" customHeight="1" x14ac:dyDescent="0.25">
      <c r="B116" s="685"/>
      <c r="C116" s="113" t="s">
        <v>226</v>
      </c>
      <c r="D116" s="126"/>
      <c r="E116" s="126"/>
      <c r="F116" s="126"/>
      <c r="G116" s="120"/>
      <c r="H116" s="121"/>
      <c r="I116" s="148"/>
      <c r="J116" s="148" t="s">
        <v>99</v>
      </c>
      <c r="K116" s="86" t="s">
        <v>98</v>
      </c>
    </row>
    <row r="117" spans="2:101" ht="10.5" customHeight="1" x14ac:dyDescent="0.25">
      <c r="B117" s="685"/>
      <c r="C117" s="113" t="s">
        <v>227</v>
      </c>
      <c r="D117" s="126"/>
      <c r="E117" s="126"/>
      <c r="F117" s="126"/>
      <c r="G117" s="120"/>
      <c r="H117" s="121"/>
      <c r="I117" s="148"/>
      <c r="J117" s="148" t="s">
        <v>99</v>
      </c>
      <c r="K117" s="86" t="s">
        <v>98</v>
      </c>
    </row>
    <row r="118" spans="2:101" ht="10.5" customHeight="1" x14ac:dyDescent="0.25">
      <c r="B118" s="685"/>
      <c r="C118" s="115" t="s">
        <v>228</v>
      </c>
      <c r="D118" s="144"/>
      <c r="E118" s="144"/>
      <c r="F118" s="144"/>
      <c r="G118" s="145"/>
      <c r="H118" s="146"/>
      <c r="I118" s="147"/>
      <c r="J118" s="147" t="s">
        <v>99</v>
      </c>
      <c r="K118" s="360" t="s">
        <v>98</v>
      </c>
    </row>
    <row r="119" spans="2:101" ht="10.5" customHeight="1" x14ac:dyDescent="0.25">
      <c r="B119" s="313" t="s">
        <v>671</v>
      </c>
      <c r="C119" s="313" t="s">
        <v>671</v>
      </c>
      <c r="D119" s="313"/>
      <c r="E119" s="313"/>
      <c r="F119" s="314"/>
      <c r="G119" s="313"/>
      <c r="H119" s="315"/>
      <c r="I119" s="315"/>
      <c r="J119" s="315"/>
      <c r="K119" s="86" t="s">
        <v>98</v>
      </c>
    </row>
    <row r="120" spans="2:101" ht="10.5" customHeight="1" x14ac:dyDescent="0.25">
      <c r="B120" s="351" t="s">
        <v>672</v>
      </c>
      <c r="C120" s="351" t="s">
        <v>633</v>
      </c>
      <c r="D120" s="313"/>
      <c r="E120" s="313"/>
      <c r="F120" s="314"/>
      <c r="G120" s="313"/>
      <c r="H120" s="315"/>
      <c r="I120" s="315"/>
      <c r="J120" s="315"/>
      <c r="K120" s="86" t="s">
        <v>98</v>
      </c>
    </row>
    <row r="121" spans="2:101" ht="10.5" customHeight="1" x14ac:dyDescent="0.25">
      <c r="B121" s="313" t="s">
        <v>673</v>
      </c>
      <c r="C121" s="313" t="s">
        <v>673</v>
      </c>
      <c r="D121" s="313"/>
      <c r="E121" s="313"/>
      <c r="F121" s="314"/>
      <c r="G121" s="313"/>
      <c r="H121" s="315"/>
      <c r="I121" s="315"/>
      <c r="J121" s="315"/>
      <c r="K121" s="86" t="s">
        <v>98</v>
      </c>
    </row>
    <row r="122" spans="2:101" ht="10.5" customHeight="1" x14ac:dyDescent="0.25">
      <c r="B122" s="313" t="s">
        <v>674</v>
      </c>
      <c r="C122" s="313" t="s">
        <v>674</v>
      </c>
      <c r="D122" s="313"/>
      <c r="E122" s="313"/>
      <c r="F122" s="314"/>
      <c r="G122" s="313"/>
      <c r="H122" s="315"/>
      <c r="I122" s="315"/>
      <c r="J122" s="315"/>
      <c r="K122" s="86" t="s">
        <v>98</v>
      </c>
    </row>
    <row r="123" spans="2:101" ht="10.5" customHeight="1" x14ac:dyDescent="0.25">
      <c r="B123" s="313" t="s">
        <v>675</v>
      </c>
      <c r="C123" s="313" t="s">
        <v>675</v>
      </c>
      <c r="D123" s="313"/>
      <c r="E123" s="313"/>
      <c r="F123" s="314"/>
      <c r="G123" s="313"/>
      <c r="H123" s="315"/>
      <c r="I123" s="315"/>
      <c r="J123" s="315"/>
      <c r="K123" s="86" t="s">
        <v>98</v>
      </c>
    </row>
    <row r="124" spans="2:101" ht="23.25" customHeight="1" x14ac:dyDescent="0.25">
      <c r="B124" s="57"/>
      <c r="C124" s="56"/>
      <c r="D124" s="97"/>
      <c r="E124" s="97"/>
      <c r="F124" s="97"/>
      <c r="G124" s="98"/>
      <c r="H124" s="97"/>
      <c r="I124" s="99"/>
      <c r="J124" s="99"/>
    </row>
    <row r="125" spans="2:101" ht="23.25" customHeight="1" x14ac:dyDescent="0.25">
      <c r="B125" s="676" t="s">
        <v>704</v>
      </c>
      <c r="C125" s="676"/>
      <c r="D125" s="676"/>
      <c r="E125" s="676"/>
      <c r="F125" s="676"/>
      <c r="G125" s="676"/>
      <c r="H125" s="676"/>
      <c r="I125" s="676"/>
      <c r="J125" s="676"/>
      <c r="K125" s="676"/>
      <c r="L125" s="676"/>
      <c r="M125" s="676"/>
    </row>
    <row r="126" spans="2:101" ht="23.25" customHeight="1" x14ac:dyDescent="0.25">
      <c r="B126" s="817" t="s">
        <v>705</v>
      </c>
      <c r="C126" s="818" t="s">
        <v>711</v>
      </c>
      <c r="D126" s="819" t="s">
        <v>794</v>
      </c>
      <c r="E126" s="818" t="s">
        <v>610</v>
      </c>
      <c r="F126" s="818" t="s">
        <v>712</v>
      </c>
      <c r="G126" s="818" t="s">
        <v>837</v>
      </c>
      <c r="H126" s="819" t="s">
        <v>838</v>
      </c>
      <c r="I126" s="819" t="s">
        <v>713</v>
      </c>
      <c r="J126" s="819" t="s">
        <v>714</v>
      </c>
      <c r="K126" s="819" t="s">
        <v>839</v>
      </c>
      <c r="L126" s="818" t="s">
        <v>715</v>
      </c>
      <c r="M126" s="818" t="s">
        <v>840</v>
      </c>
      <c r="N126" s="818" t="s">
        <v>841</v>
      </c>
      <c r="O126" s="819" t="s">
        <v>716</v>
      </c>
      <c r="P126" s="819" t="s">
        <v>717</v>
      </c>
      <c r="Q126" s="819" t="s">
        <v>718</v>
      </c>
      <c r="R126" s="819" t="s">
        <v>719</v>
      </c>
      <c r="S126" s="818" t="s">
        <v>720</v>
      </c>
      <c r="T126" s="818" t="s">
        <v>721</v>
      </c>
      <c r="U126" s="819" t="s">
        <v>722</v>
      </c>
      <c r="V126" s="818" t="s">
        <v>723</v>
      </c>
      <c r="W126" s="818" t="s">
        <v>724</v>
      </c>
      <c r="X126" s="819" t="s">
        <v>725</v>
      </c>
      <c r="Y126" s="818" t="s">
        <v>726</v>
      </c>
      <c r="Z126" s="818" t="s">
        <v>842</v>
      </c>
      <c r="AA126" s="819" t="s">
        <v>843</v>
      </c>
      <c r="AB126" s="819" t="s">
        <v>727</v>
      </c>
      <c r="AC126" s="819" t="s">
        <v>728</v>
      </c>
      <c r="AD126" s="818" t="s">
        <v>729</v>
      </c>
      <c r="AE126" s="819" t="s">
        <v>844</v>
      </c>
      <c r="AF126" s="819" t="s">
        <v>730</v>
      </c>
      <c r="AG126" s="818" t="s">
        <v>845</v>
      </c>
      <c r="AH126" s="819" t="s">
        <v>731</v>
      </c>
      <c r="AI126" s="819" t="s">
        <v>732</v>
      </c>
      <c r="AJ126" s="819" t="s">
        <v>846</v>
      </c>
      <c r="AK126" s="818" t="s">
        <v>733</v>
      </c>
      <c r="AL126" s="818" t="s">
        <v>847</v>
      </c>
      <c r="AM126" s="819" t="s">
        <v>848</v>
      </c>
      <c r="AN126" s="819" t="s">
        <v>734</v>
      </c>
      <c r="AO126" s="818" t="s">
        <v>849</v>
      </c>
      <c r="AP126" s="818" t="s">
        <v>168</v>
      </c>
      <c r="AQ126" s="818" t="s">
        <v>850</v>
      </c>
      <c r="AR126" s="818" t="s">
        <v>851</v>
      </c>
      <c r="AS126" s="819" t="s">
        <v>852</v>
      </c>
      <c r="AT126" s="818" t="s">
        <v>853</v>
      </c>
      <c r="AU126" s="819" t="s">
        <v>735</v>
      </c>
      <c r="AV126" s="818" t="s">
        <v>854</v>
      </c>
      <c r="AW126" s="818" t="s">
        <v>736</v>
      </c>
      <c r="AX126" s="818" t="s">
        <v>737</v>
      </c>
      <c r="AY126" s="818" t="s">
        <v>633</v>
      </c>
      <c r="AZ126" s="819" t="s">
        <v>738</v>
      </c>
      <c r="BA126" s="819" t="s">
        <v>739</v>
      </c>
      <c r="BB126" s="818" t="s">
        <v>740</v>
      </c>
      <c r="BC126" s="818" t="s">
        <v>855</v>
      </c>
      <c r="BD126" s="818" t="s">
        <v>137</v>
      </c>
      <c r="BE126" s="818" t="s">
        <v>138</v>
      </c>
      <c r="BF126" s="818" t="s">
        <v>741</v>
      </c>
      <c r="BG126" s="818" t="s">
        <v>856</v>
      </c>
      <c r="BH126" s="819" t="s">
        <v>742</v>
      </c>
      <c r="BI126" s="818" t="s">
        <v>743</v>
      </c>
      <c r="BJ126" s="818" t="s">
        <v>744</v>
      </c>
      <c r="BK126" s="819" t="s">
        <v>745</v>
      </c>
      <c r="BL126" s="819" t="s">
        <v>746</v>
      </c>
      <c r="BM126" s="819" t="s">
        <v>747</v>
      </c>
      <c r="BN126" s="819" t="s">
        <v>748</v>
      </c>
      <c r="BO126" s="818" t="s">
        <v>749</v>
      </c>
      <c r="BP126" s="819" t="s">
        <v>750</v>
      </c>
      <c r="BQ126" s="819" t="s">
        <v>751</v>
      </c>
      <c r="BR126" s="818" t="s">
        <v>752</v>
      </c>
      <c r="BS126" s="819" t="s">
        <v>753</v>
      </c>
      <c r="BT126" s="819" t="s">
        <v>754</v>
      </c>
      <c r="BU126" s="818" t="s">
        <v>755</v>
      </c>
      <c r="BV126" s="818" t="s">
        <v>756</v>
      </c>
      <c r="BW126" s="819" t="s">
        <v>757</v>
      </c>
      <c r="BX126" s="818" t="s">
        <v>614</v>
      </c>
      <c r="BY126" s="819" t="s">
        <v>758</v>
      </c>
      <c r="BZ126" s="818" t="s">
        <v>615</v>
      </c>
      <c r="CA126" s="819" t="s">
        <v>759</v>
      </c>
      <c r="CB126" s="819" t="s">
        <v>760</v>
      </c>
      <c r="CC126" s="818" t="s">
        <v>857</v>
      </c>
      <c r="CD126" s="818" t="s">
        <v>761</v>
      </c>
      <c r="CE126" s="818" t="s">
        <v>616</v>
      </c>
      <c r="CF126" s="818" t="s">
        <v>762</v>
      </c>
      <c r="CG126" s="819" t="s">
        <v>858</v>
      </c>
      <c r="CH126" s="818" t="s">
        <v>763</v>
      </c>
      <c r="CI126" s="818" t="s">
        <v>764</v>
      </c>
      <c r="CJ126" s="819" t="s">
        <v>217</v>
      </c>
      <c r="CK126" s="819" t="s">
        <v>765</v>
      </c>
    </row>
    <row r="127" spans="2:101" ht="34.5" customHeight="1" x14ac:dyDescent="0.25">
      <c r="B127" s="820" t="s">
        <v>861</v>
      </c>
      <c r="C127" s="396"/>
      <c r="D127" s="396"/>
      <c r="E127" s="396"/>
      <c r="F127" s="396"/>
      <c r="G127" s="396"/>
      <c r="H127" s="396"/>
      <c r="I127" s="396"/>
      <c r="J127" s="396"/>
      <c r="K127" s="396"/>
      <c r="L127" s="396"/>
      <c r="M127" s="396"/>
      <c r="N127" s="396"/>
      <c r="O127" s="396"/>
      <c r="P127" s="396"/>
      <c r="Q127" s="396"/>
      <c r="R127" s="396"/>
      <c r="S127" s="396"/>
      <c r="T127" s="396"/>
      <c r="U127" s="396"/>
      <c r="V127" s="396"/>
      <c r="W127" s="396"/>
      <c r="X127" s="396"/>
      <c r="Y127" s="396"/>
      <c r="Z127" s="396"/>
      <c r="AA127" s="396"/>
      <c r="AB127" s="396"/>
      <c r="AC127" s="396"/>
      <c r="AD127" s="396"/>
      <c r="AE127" s="396"/>
      <c r="AF127" s="396"/>
      <c r="AG127" s="396"/>
      <c r="AH127" s="396"/>
      <c r="AI127" s="396"/>
      <c r="AJ127" s="396"/>
      <c r="AK127" s="396"/>
      <c r="AL127" s="396"/>
      <c r="AM127" s="396"/>
      <c r="AN127" s="396"/>
      <c r="AO127" s="396"/>
      <c r="AP127" s="396"/>
      <c r="AQ127" s="396"/>
      <c r="AR127" s="396"/>
      <c r="AS127" s="396"/>
      <c r="AT127" s="396"/>
      <c r="AU127" s="396"/>
      <c r="AV127" s="396"/>
      <c r="AW127" s="396"/>
      <c r="AX127" s="396"/>
      <c r="AY127" s="396"/>
      <c r="AZ127" s="396"/>
      <c r="BA127" s="396"/>
      <c r="BB127" s="396"/>
      <c r="BC127" s="396"/>
      <c r="BD127" s="396"/>
      <c r="BE127" s="396"/>
      <c r="BF127" s="396"/>
      <c r="BG127" s="396"/>
      <c r="BH127" s="396"/>
      <c r="BI127" s="396"/>
      <c r="BJ127" s="396"/>
      <c r="BK127" s="396"/>
      <c r="BL127" s="391"/>
      <c r="BM127" s="391"/>
      <c r="BN127" s="391"/>
      <c r="BO127" s="391"/>
      <c r="BP127" s="391"/>
      <c r="BQ127" s="391"/>
      <c r="BR127" s="391"/>
      <c r="BS127" s="390"/>
      <c r="BT127" s="390"/>
      <c r="BU127" s="390"/>
      <c r="BV127" s="390"/>
      <c r="BW127" s="390"/>
      <c r="BX127" s="390"/>
      <c r="BY127" s="390"/>
      <c r="BZ127" s="390"/>
    </row>
    <row r="128" spans="2:101" ht="30.75" customHeight="1" x14ac:dyDescent="0.25">
      <c r="B128" s="823" t="s">
        <v>859</v>
      </c>
      <c r="C128" s="821" t="s">
        <v>99</v>
      </c>
      <c r="D128" s="821"/>
      <c r="E128" s="821"/>
      <c r="F128" s="821"/>
      <c r="G128" s="821"/>
      <c r="H128" s="821"/>
      <c r="I128" s="822" t="s">
        <v>99</v>
      </c>
      <c r="J128" s="822" t="s">
        <v>99</v>
      </c>
      <c r="K128" s="821"/>
      <c r="L128" s="821"/>
      <c r="M128" s="822"/>
      <c r="N128" s="822"/>
      <c r="O128" s="822" t="s">
        <v>99</v>
      </c>
      <c r="P128" s="822" t="s">
        <v>99</v>
      </c>
      <c r="Q128" s="822" t="s">
        <v>99</v>
      </c>
      <c r="R128" s="822" t="s">
        <v>99</v>
      </c>
      <c r="S128" s="822" t="s">
        <v>99</v>
      </c>
      <c r="T128" s="822" t="s">
        <v>99</v>
      </c>
      <c r="U128" s="822" t="s">
        <v>99</v>
      </c>
      <c r="V128" s="822" t="s">
        <v>99</v>
      </c>
      <c r="W128" s="822" t="s">
        <v>99</v>
      </c>
      <c r="X128" s="822" t="s">
        <v>99</v>
      </c>
      <c r="Y128" s="822" t="s">
        <v>99</v>
      </c>
      <c r="Z128" s="822" t="s">
        <v>99</v>
      </c>
      <c r="AA128" s="822"/>
      <c r="AB128" s="822" t="s">
        <v>99</v>
      </c>
      <c r="AC128" s="822" t="s">
        <v>99</v>
      </c>
      <c r="AD128" s="822"/>
      <c r="AE128" s="822"/>
      <c r="AF128" s="822" t="s">
        <v>99</v>
      </c>
      <c r="AG128" s="822"/>
      <c r="AH128" s="822" t="s">
        <v>99</v>
      </c>
      <c r="AI128" s="822"/>
      <c r="AJ128" s="822"/>
      <c r="AK128" s="822" t="s">
        <v>99</v>
      </c>
      <c r="AL128" s="822"/>
      <c r="AM128" s="822"/>
      <c r="AN128" s="822" t="s">
        <v>99</v>
      </c>
      <c r="AO128" s="822"/>
      <c r="AP128" s="822"/>
      <c r="AQ128" s="822"/>
      <c r="AR128" s="822"/>
      <c r="AS128" s="822"/>
      <c r="AT128" s="822"/>
      <c r="AU128" s="822" t="s">
        <v>99</v>
      </c>
      <c r="AV128" s="822"/>
      <c r="AW128" s="822" t="s">
        <v>99</v>
      </c>
      <c r="AX128" s="822" t="s">
        <v>99</v>
      </c>
      <c r="AY128" s="822"/>
      <c r="AZ128" s="822" t="s">
        <v>99</v>
      </c>
      <c r="BA128" s="822" t="s">
        <v>99</v>
      </c>
      <c r="BB128" s="822" t="s">
        <v>99</v>
      </c>
      <c r="BC128" s="822"/>
      <c r="BD128" s="822"/>
      <c r="BE128" s="822"/>
      <c r="BF128" s="822" t="s">
        <v>99</v>
      </c>
      <c r="BG128" s="822"/>
      <c r="BH128" s="822" t="s">
        <v>99</v>
      </c>
      <c r="BI128" s="822" t="s">
        <v>99</v>
      </c>
      <c r="BJ128" s="822" t="s">
        <v>99</v>
      </c>
      <c r="BK128" s="822"/>
      <c r="BL128" s="822"/>
      <c r="BM128" s="822" t="s">
        <v>99</v>
      </c>
      <c r="BN128" s="822" t="s">
        <v>99</v>
      </c>
      <c r="BO128" s="822"/>
      <c r="BP128" s="822" t="s">
        <v>99</v>
      </c>
      <c r="BQ128" s="822" t="s">
        <v>99</v>
      </c>
      <c r="BR128" s="822" t="s">
        <v>99</v>
      </c>
      <c r="BS128" s="822" t="s">
        <v>99</v>
      </c>
      <c r="BT128" s="822" t="s">
        <v>99</v>
      </c>
      <c r="BU128" s="822" t="s">
        <v>99</v>
      </c>
      <c r="BV128" s="822" t="s">
        <v>99</v>
      </c>
      <c r="BW128" s="822" t="s">
        <v>99</v>
      </c>
      <c r="BX128" s="822" t="s">
        <v>99</v>
      </c>
      <c r="BY128" s="822" t="s">
        <v>99</v>
      </c>
      <c r="BZ128" s="822" t="s">
        <v>99</v>
      </c>
      <c r="CA128" s="822"/>
      <c r="CB128" s="822" t="s">
        <v>99</v>
      </c>
      <c r="CC128" s="822"/>
      <c r="CD128" s="822" t="s">
        <v>99</v>
      </c>
      <c r="CE128" s="822" t="s">
        <v>99</v>
      </c>
      <c r="CF128" s="822" t="s">
        <v>99</v>
      </c>
      <c r="CG128" s="822"/>
      <c r="CH128" s="822"/>
      <c r="CI128" s="822" t="s">
        <v>99</v>
      </c>
      <c r="CJ128" s="822"/>
      <c r="CK128" s="822" t="s">
        <v>99</v>
      </c>
      <c r="CL128"/>
      <c r="CM128"/>
      <c r="CN128"/>
      <c r="CO128"/>
      <c r="CP128"/>
      <c r="CQ128"/>
      <c r="CR128"/>
      <c r="CS128"/>
      <c r="CT128"/>
      <c r="CU128"/>
      <c r="CV128"/>
      <c r="CW128"/>
    </row>
    <row r="129" spans="2:101" ht="23.25" customHeight="1" x14ac:dyDescent="0.25">
      <c r="B129" s="823" t="s">
        <v>860</v>
      </c>
      <c r="C129" s="821" t="s">
        <v>99</v>
      </c>
      <c r="D129" s="821"/>
      <c r="E129" s="821"/>
      <c r="F129" s="821"/>
      <c r="G129" s="821"/>
      <c r="H129" s="821"/>
      <c r="I129" s="822" t="s">
        <v>99</v>
      </c>
      <c r="J129" s="822" t="s">
        <v>99</v>
      </c>
      <c r="K129" s="821"/>
      <c r="L129" s="821"/>
      <c r="M129" s="822"/>
      <c r="N129" s="822"/>
      <c r="O129" s="822" t="s">
        <v>99</v>
      </c>
      <c r="P129" s="822" t="s">
        <v>99</v>
      </c>
      <c r="Q129" s="822" t="s">
        <v>99</v>
      </c>
      <c r="R129" s="822" t="s">
        <v>99</v>
      </c>
      <c r="S129" s="822" t="s">
        <v>99</v>
      </c>
      <c r="T129" s="822" t="s">
        <v>99</v>
      </c>
      <c r="U129" s="822" t="s">
        <v>99</v>
      </c>
      <c r="V129" s="822" t="s">
        <v>99</v>
      </c>
      <c r="W129" s="822" t="s">
        <v>99</v>
      </c>
      <c r="X129" s="822" t="s">
        <v>99</v>
      </c>
      <c r="Y129" s="822" t="s">
        <v>99</v>
      </c>
      <c r="Z129" s="822" t="s">
        <v>99</v>
      </c>
      <c r="AA129" s="822"/>
      <c r="AB129" s="822" t="s">
        <v>99</v>
      </c>
      <c r="AC129" s="822" t="s">
        <v>99</v>
      </c>
      <c r="AD129" s="822"/>
      <c r="AE129" s="822"/>
      <c r="AF129" s="822" t="s">
        <v>99</v>
      </c>
      <c r="AG129" s="822"/>
      <c r="AH129" s="822" t="s">
        <v>99</v>
      </c>
      <c r="AI129" s="822"/>
      <c r="AJ129" s="822"/>
      <c r="AK129" s="822" t="s">
        <v>99</v>
      </c>
      <c r="AL129" s="822"/>
      <c r="AM129" s="822"/>
      <c r="AN129" s="822" t="s">
        <v>99</v>
      </c>
      <c r="AO129" s="822"/>
      <c r="AP129" s="822"/>
      <c r="AQ129" s="822"/>
      <c r="AR129" s="822"/>
      <c r="AS129" s="822"/>
      <c r="AT129" s="822"/>
      <c r="AU129" s="822" t="s">
        <v>99</v>
      </c>
      <c r="AV129" s="822"/>
      <c r="AW129" s="822" t="s">
        <v>99</v>
      </c>
      <c r="AX129" s="822" t="s">
        <v>99</v>
      </c>
      <c r="AY129" s="822"/>
      <c r="AZ129" s="822" t="s">
        <v>99</v>
      </c>
      <c r="BA129" s="822" t="s">
        <v>99</v>
      </c>
      <c r="BB129" s="822" t="s">
        <v>99</v>
      </c>
      <c r="BC129" s="822"/>
      <c r="BD129" s="822"/>
      <c r="BE129" s="822"/>
      <c r="BF129" s="822" t="s">
        <v>99</v>
      </c>
      <c r="BG129" s="822"/>
      <c r="BH129" s="822" t="s">
        <v>99</v>
      </c>
      <c r="BI129" s="822" t="s">
        <v>99</v>
      </c>
      <c r="BJ129" s="822" t="s">
        <v>99</v>
      </c>
      <c r="BK129" s="822"/>
      <c r="BL129" s="822"/>
      <c r="BM129" s="822" t="s">
        <v>99</v>
      </c>
      <c r="BN129" s="822" t="s">
        <v>99</v>
      </c>
      <c r="BO129" s="822"/>
      <c r="BP129" s="822" t="s">
        <v>99</v>
      </c>
      <c r="BQ129" s="822" t="s">
        <v>99</v>
      </c>
      <c r="BR129" s="822" t="s">
        <v>99</v>
      </c>
      <c r="BS129" s="822" t="s">
        <v>99</v>
      </c>
      <c r="BT129" s="822" t="s">
        <v>99</v>
      </c>
      <c r="BU129" s="822" t="s">
        <v>99</v>
      </c>
      <c r="BV129" s="822" t="s">
        <v>99</v>
      </c>
      <c r="BW129" s="822" t="s">
        <v>99</v>
      </c>
      <c r="BX129" s="822" t="s">
        <v>99</v>
      </c>
      <c r="BY129" s="822" t="s">
        <v>99</v>
      </c>
      <c r="BZ129" s="822" t="s">
        <v>99</v>
      </c>
      <c r="CA129" s="822"/>
      <c r="CB129" s="822" t="s">
        <v>99</v>
      </c>
      <c r="CC129" s="822"/>
      <c r="CD129" s="822" t="s">
        <v>99</v>
      </c>
      <c r="CE129" s="822" t="s">
        <v>99</v>
      </c>
      <c r="CF129" s="822" t="s">
        <v>99</v>
      </c>
      <c r="CG129" s="822"/>
      <c r="CH129" s="822"/>
      <c r="CI129" s="822" t="s">
        <v>99</v>
      </c>
      <c r="CJ129" s="822"/>
      <c r="CK129" s="822" t="s">
        <v>99</v>
      </c>
      <c r="CL129"/>
      <c r="CM129"/>
      <c r="CN129"/>
      <c r="CO129"/>
      <c r="CP129"/>
      <c r="CQ129"/>
      <c r="CR129"/>
      <c r="CS129"/>
      <c r="CT129"/>
      <c r="CU129"/>
      <c r="CV129"/>
      <c r="CW129"/>
    </row>
    <row r="130" spans="2:101" ht="23.25" customHeight="1" x14ac:dyDescent="0.25">
      <c r="B130" s="823" t="s">
        <v>859</v>
      </c>
      <c r="C130" s="821" t="s">
        <v>99</v>
      </c>
      <c r="D130" s="821"/>
      <c r="E130" s="821"/>
      <c r="F130" s="821" t="s">
        <v>99</v>
      </c>
      <c r="G130" s="821"/>
      <c r="H130" s="821"/>
      <c r="I130" s="822" t="s">
        <v>99</v>
      </c>
      <c r="J130" s="822" t="s">
        <v>99</v>
      </c>
      <c r="K130" s="821" t="s">
        <v>99</v>
      </c>
      <c r="L130" s="821"/>
      <c r="M130" s="822"/>
      <c r="N130" s="822" t="s">
        <v>99</v>
      </c>
      <c r="O130" s="822" t="s">
        <v>99</v>
      </c>
      <c r="P130" s="822" t="s">
        <v>99</v>
      </c>
      <c r="Q130" s="822" t="s">
        <v>99</v>
      </c>
      <c r="R130" s="822" t="s">
        <v>99</v>
      </c>
      <c r="S130" s="822" t="s">
        <v>99</v>
      </c>
      <c r="T130" s="822" t="s">
        <v>99</v>
      </c>
      <c r="U130" s="822" t="s">
        <v>99</v>
      </c>
      <c r="V130" s="822" t="s">
        <v>99</v>
      </c>
      <c r="W130" s="822" t="s">
        <v>99</v>
      </c>
      <c r="X130" s="822" t="s">
        <v>99</v>
      </c>
      <c r="Y130" s="822" t="s">
        <v>99</v>
      </c>
      <c r="Z130" s="822"/>
      <c r="AA130" s="822"/>
      <c r="AB130" s="822" t="s">
        <v>99</v>
      </c>
      <c r="AC130" s="822" t="s">
        <v>99</v>
      </c>
      <c r="AD130" s="822"/>
      <c r="AE130" s="822"/>
      <c r="AF130" s="822" t="s">
        <v>99</v>
      </c>
      <c r="AG130" s="822"/>
      <c r="AH130" s="822" t="s">
        <v>99</v>
      </c>
      <c r="AI130" s="822"/>
      <c r="AJ130" s="822"/>
      <c r="AK130" s="822" t="s">
        <v>99</v>
      </c>
      <c r="AL130" s="822"/>
      <c r="AM130" s="822"/>
      <c r="AN130" s="822" t="s">
        <v>99</v>
      </c>
      <c r="AO130" s="822" t="s">
        <v>99</v>
      </c>
      <c r="AP130" s="822" t="s">
        <v>99</v>
      </c>
      <c r="AQ130" s="822"/>
      <c r="AR130" s="822"/>
      <c r="AS130" s="822"/>
      <c r="AT130" s="822"/>
      <c r="AU130" s="822" t="s">
        <v>99</v>
      </c>
      <c r="AV130" s="822"/>
      <c r="AW130" s="822" t="s">
        <v>99</v>
      </c>
      <c r="AX130" s="822" t="s">
        <v>99</v>
      </c>
      <c r="AY130" s="822" t="s">
        <v>99</v>
      </c>
      <c r="AZ130" s="822" t="s">
        <v>99</v>
      </c>
      <c r="BA130" s="822" t="s">
        <v>766</v>
      </c>
      <c r="BB130" s="822" t="s">
        <v>99</v>
      </c>
      <c r="BC130" s="822"/>
      <c r="BD130" s="822"/>
      <c r="BE130" s="822"/>
      <c r="BF130" s="822" t="s">
        <v>99</v>
      </c>
      <c r="BG130" s="822" t="s">
        <v>99</v>
      </c>
      <c r="BH130" s="822" t="s">
        <v>99</v>
      </c>
      <c r="BI130" s="822" t="s">
        <v>99</v>
      </c>
      <c r="BJ130" s="822" t="s">
        <v>99</v>
      </c>
      <c r="BK130" s="822"/>
      <c r="BL130" s="822"/>
      <c r="BM130" s="822" t="s">
        <v>99</v>
      </c>
      <c r="BN130" s="822" t="s">
        <v>99</v>
      </c>
      <c r="BO130" s="822"/>
      <c r="BP130" s="822" t="s">
        <v>99</v>
      </c>
      <c r="BQ130" s="822" t="s">
        <v>99</v>
      </c>
      <c r="BR130" s="822" t="s">
        <v>99</v>
      </c>
      <c r="BS130" s="822" t="s">
        <v>99</v>
      </c>
      <c r="BT130" s="822" t="s">
        <v>99</v>
      </c>
      <c r="BU130" s="822" t="s">
        <v>99</v>
      </c>
      <c r="BV130" s="822" t="s">
        <v>99</v>
      </c>
      <c r="BW130" s="822" t="s">
        <v>99</v>
      </c>
      <c r="BX130" s="822" t="s">
        <v>99</v>
      </c>
      <c r="BY130" s="822" t="s">
        <v>99</v>
      </c>
      <c r="BZ130" s="822" t="s">
        <v>99</v>
      </c>
      <c r="CA130" s="822"/>
      <c r="CB130" s="822" t="s">
        <v>99</v>
      </c>
      <c r="CC130" s="822"/>
      <c r="CD130" s="822" t="s">
        <v>99</v>
      </c>
      <c r="CE130" s="822" t="s">
        <v>99</v>
      </c>
      <c r="CF130" s="822" t="s">
        <v>99</v>
      </c>
      <c r="CG130" s="822"/>
      <c r="CH130" s="822" t="s">
        <v>99</v>
      </c>
      <c r="CI130" s="822" t="s">
        <v>99</v>
      </c>
      <c r="CJ130" s="822" t="s">
        <v>99</v>
      </c>
      <c r="CK130" s="822" t="s">
        <v>99</v>
      </c>
      <c r="CL130"/>
      <c r="CM130"/>
      <c r="CN130"/>
      <c r="CO130"/>
      <c r="CP130"/>
      <c r="CQ130"/>
      <c r="CR130"/>
      <c r="CS130"/>
      <c r="CT130"/>
      <c r="CU130"/>
      <c r="CV130"/>
      <c r="CW130"/>
    </row>
    <row r="131" spans="2:101" ht="23.25" customHeight="1" x14ac:dyDescent="0.25">
      <c r="B131" s="823" t="s">
        <v>862</v>
      </c>
      <c r="C131" s="821" t="s">
        <v>99</v>
      </c>
      <c r="D131" s="821"/>
      <c r="E131" s="821"/>
      <c r="F131" s="821" t="s">
        <v>99</v>
      </c>
      <c r="G131" s="821"/>
      <c r="H131" s="821"/>
      <c r="I131" s="822" t="s">
        <v>99</v>
      </c>
      <c r="J131" s="822" t="s">
        <v>99</v>
      </c>
      <c r="K131" s="821" t="s">
        <v>99</v>
      </c>
      <c r="L131" s="821"/>
      <c r="M131" s="822"/>
      <c r="N131" s="822" t="s">
        <v>99</v>
      </c>
      <c r="O131" s="822" t="s">
        <v>99</v>
      </c>
      <c r="P131" s="822" t="s">
        <v>99</v>
      </c>
      <c r="Q131" s="822" t="s">
        <v>99</v>
      </c>
      <c r="R131" s="822" t="s">
        <v>99</v>
      </c>
      <c r="S131" s="822" t="s">
        <v>99</v>
      </c>
      <c r="T131" s="822" t="s">
        <v>99</v>
      </c>
      <c r="U131" s="822" t="s">
        <v>99</v>
      </c>
      <c r="V131" s="822" t="s">
        <v>99</v>
      </c>
      <c r="W131" s="822" t="s">
        <v>99</v>
      </c>
      <c r="X131" s="822" t="s">
        <v>99</v>
      </c>
      <c r="Y131" s="822" t="s">
        <v>99</v>
      </c>
      <c r="Z131" s="822"/>
      <c r="AA131" s="822"/>
      <c r="AB131" s="822" t="s">
        <v>99</v>
      </c>
      <c r="AC131" s="822" t="s">
        <v>99</v>
      </c>
      <c r="AD131" s="822"/>
      <c r="AE131" s="822"/>
      <c r="AF131" s="822" t="s">
        <v>99</v>
      </c>
      <c r="AG131" s="822"/>
      <c r="AH131" s="822" t="s">
        <v>99</v>
      </c>
      <c r="AI131" s="822"/>
      <c r="AJ131" s="822"/>
      <c r="AK131" s="822" t="s">
        <v>99</v>
      </c>
      <c r="AL131" s="822"/>
      <c r="AM131" s="822"/>
      <c r="AN131" s="822" t="s">
        <v>99</v>
      </c>
      <c r="AO131" s="822" t="s">
        <v>99</v>
      </c>
      <c r="AP131" s="822" t="s">
        <v>99</v>
      </c>
      <c r="AQ131" s="822"/>
      <c r="AR131" s="822"/>
      <c r="AS131" s="822"/>
      <c r="AT131" s="822"/>
      <c r="AU131" s="822" t="s">
        <v>99</v>
      </c>
      <c r="AV131" s="822"/>
      <c r="AW131" s="822" t="s">
        <v>99</v>
      </c>
      <c r="AX131" s="822" t="s">
        <v>99</v>
      </c>
      <c r="AY131" s="822" t="s">
        <v>99</v>
      </c>
      <c r="AZ131" s="822" t="s">
        <v>99</v>
      </c>
      <c r="BA131" s="822" t="s">
        <v>766</v>
      </c>
      <c r="BB131" s="822" t="s">
        <v>99</v>
      </c>
      <c r="BC131" s="822"/>
      <c r="BD131" s="822"/>
      <c r="BE131" s="822"/>
      <c r="BF131" s="822" t="s">
        <v>99</v>
      </c>
      <c r="BG131" s="822" t="s">
        <v>99</v>
      </c>
      <c r="BH131" s="822" t="s">
        <v>99</v>
      </c>
      <c r="BI131" s="822" t="s">
        <v>99</v>
      </c>
      <c r="BJ131" s="822" t="s">
        <v>99</v>
      </c>
      <c r="BK131" s="822"/>
      <c r="BL131" s="822"/>
      <c r="BM131" s="822" t="s">
        <v>99</v>
      </c>
      <c r="BN131" s="822" t="s">
        <v>99</v>
      </c>
      <c r="BO131" s="822"/>
      <c r="BP131" s="822" t="s">
        <v>99</v>
      </c>
      <c r="BQ131" s="822" t="s">
        <v>99</v>
      </c>
      <c r="BR131" s="822" t="s">
        <v>99</v>
      </c>
      <c r="BS131" s="822" t="s">
        <v>99</v>
      </c>
      <c r="BT131" s="822" t="s">
        <v>99</v>
      </c>
      <c r="BU131" s="822" t="s">
        <v>99</v>
      </c>
      <c r="BV131" s="822" t="s">
        <v>99</v>
      </c>
      <c r="BW131" s="822" t="s">
        <v>99</v>
      </c>
      <c r="BX131" s="822" t="s">
        <v>99</v>
      </c>
      <c r="BY131" s="822" t="s">
        <v>99</v>
      </c>
      <c r="BZ131" s="822" t="s">
        <v>99</v>
      </c>
      <c r="CA131" s="822"/>
      <c r="CB131" s="822" t="s">
        <v>99</v>
      </c>
      <c r="CC131" s="822"/>
      <c r="CD131" s="822" t="s">
        <v>99</v>
      </c>
      <c r="CE131" s="822" t="s">
        <v>99</v>
      </c>
      <c r="CF131" s="822" t="s">
        <v>99</v>
      </c>
      <c r="CG131" s="822"/>
      <c r="CH131" s="822" t="s">
        <v>99</v>
      </c>
      <c r="CI131" s="822" t="s">
        <v>99</v>
      </c>
      <c r="CJ131" s="822" t="s">
        <v>99</v>
      </c>
      <c r="CK131" s="822" t="s">
        <v>99</v>
      </c>
      <c r="CL131"/>
      <c r="CM131"/>
      <c r="CN131"/>
      <c r="CO131"/>
      <c r="CP131"/>
      <c r="CQ131"/>
      <c r="CR131"/>
      <c r="CS131"/>
      <c r="CT131"/>
      <c r="CU131"/>
      <c r="CV131"/>
      <c r="CW131"/>
    </row>
    <row r="132" spans="2:101" ht="23.25" customHeight="1" x14ac:dyDescent="0.25">
      <c r="B132" s="833"/>
      <c r="C132" s="834"/>
      <c r="D132" s="834"/>
      <c r="E132" s="834"/>
      <c r="F132" s="834"/>
      <c r="G132" s="834"/>
      <c r="H132" s="834"/>
      <c r="I132" s="835"/>
      <c r="J132" s="835"/>
      <c r="K132" s="834"/>
      <c r="L132" s="834"/>
      <c r="M132" s="835"/>
      <c r="N132" s="835"/>
      <c r="O132" s="835"/>
      <c r="P132" s="835"/>
      <c r="Q132" s="835"/>
      <c r="R132" s="835"/>
      <c r="S132" s="835"/>
      <c r="T132" s="835"/>
      <c r="U132" s="835"/>
      <c r="V132" s="835"/>
      <c r="W132" s="835"/>
      <c r="X132" s="835"/>
      <c r="Y132" s="835"/>
      <c r="Z132" s="835"/>
      <c r="AA132" s="835"/>
      <c r="AB132" s="835"/>
      <c r="AC132" s="835"/>
      <c r="AD132" s="835"/>
      <c r="AE132" s="835"/>
      <c r="AF132" s="835"/>
      <c r="AG132" s="835"/>
      <c r="AH132" s="835"/>
      <c r="AI132" s="835"/>
      <c r="AJ132" s="835"/>
      <c r="AK132" s="835"/>
      <c r="AL132" s="835"/>
      <c r="AM132" s="835"/>
      <c r="AN132" s="835"/>
      <c r="AO132" s="835"/>
      <c r="AP132" s="835"/>
      <c r="AQ132" s="835"/>
      <c r="AR132" s="835"/>
      <c r="AS132" s="835"/>
      <c r="AT132" s="835"/>
      <c r="AU132" s="835"/>
      <c r="AV132" s="835"/>
      <c r="AW132" s="835"/>
      <c r="AX132" s="835"/>
      <c r="AY132" s="835"/>
      <c r="AZ132" s="835"/>
      <c r="BA132" s="835"/>
      <c r="BB132" s="835"/>
      <c r="BC132" s="835"/>
      <c r="BD132" s="835"/>
      <c r="BE132" s="835"/>
      <c r="BF132" s="835"/>
      <c r="BG132" s="835"/>
      <c r="BH132" s="835"/>
      <c r="BI132" s="835"/>
      <c r="BJ132" s="835"/>
      <c r="BK132" s="835"/>
      <c r="BL132" s="835"/>
      <c r="BM132" s="835"/>
      <c r="BN132" s="835"/>
      <c r="BO132" s="835"/>
      <c r="BP132" s="835"/>
      <c r="BQ132" s="835"/>
      <c r="BR132" s="835"/>
      <c r="BS132" s="835"/>
      <c r="BT132" s="835"/>
      <c r="BU132" s="835"/>
      <c r="BV132" s="835"/>
      <c r="BW132" s="835"/>
      <c r="BX132" s="835"/>
      <c r="BY132" s="835"/>
      <c r="BZ132" s="835"/>
      <c r="CA132" s="835"/>
      <c r="CB132" s="835"/>
      <c r="CC132" s="835"/>
      <c r="CD132" s="835"/>
      <c r="CE132" s="835"/>
      <c r="CF132" s="835"/>
      <c r="CG132" s="835"/>
      <c r="CH132" s="835"/>
      <c r="CI132" s="835"/>
      <c r="CJ132" s="835"/>
      <c r="CK132" s="835"/>
      <c r="CL132"/>
      <c r="CM132"/>
      <c r="CN132"/>
      <c r="CO132"/>
      <c r="CP132"/>
      <c r="CQ132"/>
      <c r="CR132"/>
      <c r="CS132"/>
      <c r="CT132"/>
      <c r="CU132"/>
      <c r="CV132"/>
      <c r="CW132"/>
    </row>
    <row r="133" spans="2:101" ht="12" customHeight="1" x14ac:dyDescent="0.25">
      <c r="B133" s="158"/>
      <c r="C133" s="157"/>
      <c r="D133" s="158"/>
      <c r="E133" s="158"/>
      <c r="F133" s="158"/>
      <c r="G133" s="188"/>
      <c r="H133" s="158"/>
      <c r="I133" s="157"/>
      <c r="J133" s="157"/>
      <c r="K133" s="157"/>
    </row>
    <row r="134" spans="2:101" ht="12" customHeight="1" x14ac:dyDescent="0.25">
      <c r="B134" s="161"/>
      <c r="C134" s="181"/>
      <c r="D134" s="691" t="s">
        <v>0</v>
      </c>
      <c r="E134" s="691"/>
      <c r="F134" s="691"/>
      <c r="G134" s="691"/>
      <c r="H134" s="691"/>
      <c r="I134" s="691"/>
      <c r="J134" s="691"/>
      <c r="K134" s="691"/>
    </row>
    <row r="135" spans="2:101" ht="12" customHeight="1" x14ac:dyDescent="0.25">
      <c r="B135" s="161"/>
      <c r="C135" s="181"/>
      <c r="D135" s="691" t="s">
        <v>373</v>
      </c>
      <c r="E135" s="691"/>
      <c r="F135" s="691"/>
      <c r="G135" s="691"/>
      <c r="H135" s="691"/>
      <c r="I135" s="691"/>
      <c r="J135" s="691"/>
      <c r="K135" s="691"/>
    </row>
    <row r="136" spans="2:101" ht="12" customHeight="1" x14ac:dyDescent="0.25">
      <c r="B136" s="161"/>
      <c r="C136" s="181"/>
      <c r="D136" s="691" t="s">
        <v>464</v>
      </c>
      <c r="E136" s="691"/>
      <c r="F136" s="691"/>
      <c r="G136" s="691"/>
      <c r="H136" s="691"/>
      <c r="I136" s="691"/>
      <c r="J136" s="691"/>
      <c r="K136" s="691"/>
    </row>
    <row r="137" spans="2:101" ht="12" customHeight="1" x14ac:dyDescent="0.25">
      <c r="B137" s="161"/>
      <c r="C137" s="181"/>
      <c r="D137" s="583"/>
      <c r="E137" s="583"/>
      <c r="F137" s="583"/>
      <c r="G137" s="583"/>
      <c r="H137" s="583"/>
      <c r="I137" s="583"/>
      <c r="J137" s="583"/>
      <c r="K137" s="583"/>
    </row>
    <row r="138" spans="2:101" ht="12" customHeight="1" x14ac:dyDescent="0.25">
      <c r="B138" s="164" t="s">
        <v>105</v>
      </c>
      <c r="C138" s="56" t="s">
        <v>74</v>
      </c>
      <c r="D138" s="583"/>
      <c r="E138" s="583"/>
      <c r="F138" s="583"/>
      <c r="G138" s="583"/>
      <c r="H138" s="583"/>
      <c r="I138" s="583"/>
      <c r="J138" s="583"/>
      <c r="K138" s="585"/>
    </row>
    <row r="139" spans="2:101" ht="12" customHeight="1" x14ac:dyDescent="0.25">
      <c r="B139" s="184" t="s">
        <v>106</v>
      </c>
      <c r="C139" s="56" t="s">
        <v>107</v>
      </c>
      <c r="D139" s="189"/>
      <c r="E139" s="189"/>
      <c r="F139" s="189"/>
      <c r="G139" s="190"/>
      <c r="H139" s="189"/>
      <c r="I139" s="181"/>
      <c r="J139" s="181"/>
      <c r="K139" s="181"/>
    </row>
    <row r="140" spans="2:101" ht="12" customHeight="1" x14ac:dyDescent="0.25">
      <c r="B140" s="184"/>
      <c r="C140" s="56"/>
      <c r="D140" s="189"/>
      <c r="E140" s="189"/>
      <c r="F140" s="189"/>
      <c r="G140" s="190"/>
      <c r="H140" s="189"/>
      <c r="I140" s="181"/>
      <c r="J140" s="181"/>
      <c r="K140" s="181"/>
    </row>
    <row r="141" spans="2:101" ht="12" customHeight="1" x14ac:dyDescent="0.25">
      <c r="B141" s="411" t="s">
        <v>116</v>
      </c>
      <c r="C141" s="412" t="s">
        <v>117</v>
      </c>
      <c r="D141" s="413">
        <v>2018</v>
      </c>
      <c r="E141" s="413">
        <v>2019</v>
      </c>
      <c r="F141" s="413">
        <v>2020</v>
      </c>
      <c r="G141" s="414">
        <v>2021</v>
      </c>
      <c r="H141" s="415">
        <v>2022</v>
      </c>
      <c r="I141" s="415">
        <v>2023</v>
      </c>
      <c r="J141" s="415">
        <v>2024</v>
      </c>
      <c r="K141" s="415" t="s">
        <v>676</v>
      </c>
      <c r="L141" s="416" t="s">
        <v>49</v>
      </c>
    </row>
    <row r="142" spans="2:101" ht="17.25" customHeight="1" x14ac:dyDescent="0.25">
      <c r="B142" s="827" t="s">
        <v>118</v>
      </c>
      <c r="C142" s="417" t="s">
        <v>119</v>
      </c>
      <c r="D142" s="418">
        <v>60560</v>
      </c>
      <c r="E142" s="419">
        <v>14230</v>
      </c>
      <c r="F142" s="420">
        <v>34543</v>
      </c>
      <c r="G142" s="421">
        <v>46792</v>
      </c>
      <c r="H142" s="422">
        <v>62793</v>
      </c>
      <c r="I142" s="423">
        <v>38626</v>
      </c>
      <c r="J142" s="424">
        <v>57024</v>
      </c>
      <c r="K142" s="425">
        <v>10803</v>
      </c>
      <c r="L142" s="426">
        <f>+SUM(D142:K142)</f>
        <v>325371</v>
      </c>
    </row>
    <row r="143" spans="2:101" ht="17.25" customHeight="1" x14ac:dyDescent="0.25">
      <c r="B143" s="828"/>
      <c r="C143" s="417" t="s">
        <v>120</v>
      </c>
      <c r="D143" s="418">
        <v>6704</v>
      </c>
      <c r="E143" s="419">
        <v>32893</v>
      </c>
      <c r="F143" s="420">
        <v>182315</v>
      </c>
      <c r="G143" s="421">
        <v>64351</v>
      </c>
      <c r="H143" s="422">
        <v>124842</v>
      </c>
      <c r="I143" s="427">
        <v>102573</v>
      </c>
      <c r="J143" s="428">
        <v>2942788</v>
      </c>
      <c r="K143" s="425">
        <v>9220</v>
      </c>
      <c r="L143" s="426">
        <f t="shared" ref="L143:L206" si="0">+SUM(D143:K143)</f>
        <v>3465686</v>
      </c>
    </row>
    <row r="144" spans="2:101" ht="17.25" customHeight="1" x14ac:dyDescent="0.25">
      <c r="B144" s="828"/>
      <c r="C144" s="429" t="s">
        <v>121</v>
      </c>
      <c r="D144" s="584"/>
      <c r="E144" s="430">
        <v>31862</v>
      </c>
      <c r="F144" s="420">
        <v>2052</v>
      </c>
      <c r="G144" s="421">
        <v>6503</v>
      </c>
      <c r="H144" s="422">
        <v>9112</v>
      </c>
      <c r="I144" s="423">
        <v>1026</v>
      </c>
      <c r="J144" s="424">
        <v>396</v>
      </c>
      <c r="K144" s="425">
        <v>113</v>
      </c>
      <c r="L144" s="426">
        <f t="shared" si="0"/>
        <v>51064</v>
      </c>
    </row>
    <row r="145" spans="2:12" ht="17.25" customHeight="1" x14ac:dyDescent="0.25">
      <c r="B145" s="828"/>
      <c r="C145" s="429" t="s">
        <v>122</v>
      </c>
      <c r="D145" s="584"/>
      <c r="E145" s="430">
        <v>15978</v>
      </c>
      <c r="F145" s="420">
        <v>9362</v>
      </c>
      <c r="G145" s="421">
        <v>13558</v>
      </c>
      <c r="H145" s="422">
        <v>21192</v>
      </c>
      <c r="I145" s="423">
        <v>8405</v>
      </c>
      <c r="J145" s="424">
        <v>5176</v>
      </c>
      <c r="K145" s="425">
        <v>954</v>
      </c>
      <c r="L145" s="426">
        <f t="shared" si="0"/>
        <v>74625</v>
      </c>
    </row>
    <row r="146" spans="2:12" ht="17.25" customHeight="1" x14ac:dyDescent="0.25">
      <c r="B146" s="828"/>
      <c r="C146" s="429" t="s">
        <v>123</v>
      </c>
      <c r="D146" s="584"/>
      <c r="E146" s="430">
        <v>49442</v>
      </c>
      <c r="F146" s="420">
        <v>47597</v>
      </c>
      <c r="G146" s="421">
        <v>5234</v>
      </c>
      <c r="H146" s="422">
        <v>3911</v>
      </c>
      <c r="I146" s="423">
        <v>2491</v>
      </c>
      <c r="J146" s="424">
        <v>7052</v>
      </c>
      <c r="K146" s="425">
        <v>507</v>
      </c>
      <c r="L146" s="426">
        <f t="shared" si="0"/>
        <v>116234</v>
      </c>
    </row>
    <row r="147" spans="2:12" ht="17.25" customHeight="1" x14ac:dyDescent="0.25">
      <c r="B147" s="828"/>
      <c r="C147" s="429" t="s">
        <v>124</v>
      </c>
      <c r="D147" s="584"/>
      <c r="E147" s="430"/>
      <c r="F147" s="420"/>
      <c r="G147" s="421"/>
      <c r="H147" s="422">
        <v>6603</v>
      </c>
      <c r="I147" s="423">
        <v>945</v>
      </c>
      <c r="J147" s="424">
        <v>1424</v>
      </c>
      <c r="K147" s="425">
        <v>100</v>
      </c>
      <c r="L147" s="426">
        <f t="shared" si="0"/>
        <v>9072</v>
      </c>
    </row>
    <row r="148" spans="2:12" ht="17.25" customHeight="1" x14ac:dyDescent="0.25">
      <c r="B148" s="828"/>
      <c r="C148" s="431" t="s">
        <v>125</v>
      </c>
      <c r="D148" s="432"/>
      <c r="E148" s="433">
        <v>2854</v>
      </c>
      <c r="F148" s="420">
        <v>922</v>
      </c>
      <c r="G148" s="421">
        <v>2474</v>
      </c>
      <c r="H148" s="422">
        <v>9</v>
      </c>
      <c r="I148" s="423">
        <v>4621</v>
      </c>
      <c r="J148" s="424">
        <v>588</v>
      </c>
      <c r="K148" s="425"/>
      <c r="L148" s="426">
        <f t="shared" si="0"/>
        <v>11468</v>
      </c>
    </row>
    <row r="149" spans="2:12" ht="17.25" customHeight="1" x14ac:dyDescent="0.25">
      <c r="B149" s="828"/>
      <c r="C149" s="429" t="s">
        <v>126</v>
      </c>
      <c r="D149" s="584"/>
      <c r="E149" s="430">
        <v>1735</v>
      </c>
      <c r="F149" s="420">
        <v>482</v>
      </c>
      <c r="G149" s="421">
        <v>3669</v>
      </c>
      <c r="H149" s="422">
        <v>8931</v>
      </c>
      <c r="I149" s="423">
        <v>1216</v>
      </c>
      <c r="J149" s="424">
        <v>522</v>
      </c>
      <c r="K149" s="425"/>
      <c r="L149" s="426">
        <f t="shared" si="0"/>
        <v>16555</v>
      </c>
    </row>
    <row r="150" spans="2:12" ht="17.25" customHeight="1" x14ac:dyDescent="0.25">
      <c r="B150" s="828"/>
      <c r="C150" s="431" t="s">
        <v>127</v>
      </c>
      <c r="D150" s="432"/>
      <c r="E150" s="433"/>
      <c r="F150" s="420">
        <v>106</v>
      </c>
      <c r="G150" s="421">
        <v>1598</v>
      </c>
      <c r="H150" s="422"/>
      <c r="I150" s="423"/>
      <c r="J150" s="424"/>
      <c r="K150" s="425"/>
      <c r="L150" s="426">
        <f t="shared" si="0"/>
        <v>1704</v>
      </c>
    </row>
    <row r="151" spans="2:12" ht="17.25" customHeight="1" x14ac:dyDescent="0.25">
      <c r="B151" s="828"/>
      <c r="C151" s="434" t="s">
        <v>128</v>
      </c>
      <c r="D151" s="435"/>
      <c r="E151" s="436"/>
      <c r="F151" s="420"/>
      <c r="G151" s="421"/>
      <c r="H151" s="422">
        <v>2213</v>
      </c>
      <c r="I151" s="423">
        <v>309</v>
      </c>
      <c r="J151" s="424">
        <v>316</v>
      </c>
      <c r="K151" s="425"/>
      <c r="L151" s="426">
        <f t="shared" si="0"/>
        <v>2838</v>
      </c>
    </row>
    <row r="152" spans="2:12" ht="17.25" customHeight="1" x14ac:dyDescent="0.25">
      <c r="B152" s="828"/>
      <c r="C152" s="434" t="s">
        <v>677</v>
      </c>
      <c r="D152" s="437"/>
      <c r="E152" s="438"/>
      <c r="F152" s="420">
        <v>5123</v>
      </c>
      <c r="G152" s="421">
        <v>424</v>
      </c>
      <c r="H152" s="422"/>
      <c r="I152" s="423"/>
      <c r="J152" s="424">
        <v>80</v>
      </c>
      <c r="K152" s="425">
        <v>237</v>
      </c>
      <c r="L152" s="426">
        <f t="shared" si="0"/>
        <v>5864</v>
      </c>
    </row>
    <row r="153" spans="2:12" ht="17.25" customHeight="1" x14ac:dyDescent="0.25">
      <c r="B153" s="829"/>
      <c r="C153" s="439" t="s">
        <v>130</v>
      </c>
      <c r="D153" s="437"/>
      <c r="E153" s="440"/>
      <c r="F153" s="441">
        <v>4924</v>
      </c>
      <c r="G153" s="421">
        <v>373</v>
      </c>
      <c r="H153" s="422"/>
      <c r="I153" s="423"/>
      <c r="J153" s="424" t="s">
        <v>63</v>
      </c>
      <c r="K153" s="425"/>
      <c r="L153" s="426">
        <f t="shared" si="0"/>
        <v>5297</v>
      </c>
    </row>
    <row r="154" spans="2:12" ht="17.25" customHeight="1" x14ac:dyDescent="0.25">
      <c r="B154" s="824" t="s">
        <v>131</v>
      </c>
      <c r="C154" s="417" t="s">
        <v>132</v>
      </c>
      <c r="D154" s="418"/>
      <c r="E154" s="430"/>
      <c r="F154" s="442"/>
      <c r="G154" s="421"/>
      <c r="H154" s="422"/>
      <c r="I154" s="423"/>
      <c r="J154" s="424" t="s">
        <v>63</v>
      </c>
      <c r="K154" s="425"/>
      <c r="L154" s="426">
        <f t="shared" si="0"/>
        <v>0</v>
      </c>
    </row>
    <row r="155" spans="2:12" ht="17.25" customHeight="1" x14ac:dyDescent="0.25">
      <c r="B155" s="825"/>
      <c r="C155" s="417" t="s">
        <v>133</v>
      </c>
      <c r="D155" s="418">
        <v>292</v>
      </c>
      <c r="E155" s="430"/>
      <c r="F155" s="442"/>
      <c r="G155" s="421"/>
      <c r="H155" s="422"/>
      <c r="I155" s="423"/>
      <c r="J155" s="424" t="s">
        <v>63</v>
      </c>
      <c r="K155" s="425"/>
      <c r="L155" s="426">
        <f t="shared" si="0"/>
        <v>292</v>
      </c>
    </row>
    <row r="156" spans="2:12" ht="17.25" customHeight="1" x14ac:dyDescent="0.25">
      <c r="B156" s="826"/>
      <c r="C156" s="417" t="s">
        <v>134</v>
      </c>
      <c r="D156" s="443">
        <v>282</v>
      </c>
      <c r="E156" s="444"/>
      <c r="F156" s="445"/>
      <c r="G156" s="421"/>
      <c r="H156" s="422"/>
      <c r="I156" s="423"/>
      <c r="J156" s="424" t="s">
        <v>63</v>
      </c>
      <c r="K156" s="425"/>
      <c r="L156" s="426">
        <f t="shared" si="0"/>
        <v>282</v>
      </c>
    </row>
    <row r="157" spans="2:12" ht="17.25" customHeight="1" x14ac:dyDescent="0.25">
      <c r="B157" s="830" t="s">
        <v>135</v>
      </c>
      <c r="C157" s="417" t="s">
        <v>136</v>
      </c>
      <c r="D157" s="446">
        <v>16814</v>
      </c>
      <c r="E157" s="438">
        <v>2296</v>
      </c>
      <c r="F157" s="420">
        <v>5596</v>
      </c>
      <c r="G157" s="447">
        <v>6215</v>
      </c>
      <c r="H157" s="422">
        <v>1008</v>
      </c>
      <c r="I157" s="423">
        <v>4841</v>
      </c>
      <c r="J157" s="424">
        <v>36277</v>
      </c>
      <c r="K157" s="425">
        <v>10464</v>
      </c>
      <c r="L157" s="426">
        <f t="shared" si="0"/>
        <v>83511</v>
      </c>
    </row>
    <row r="158" spans="2:12" ht="17.25" customHeight="1" x14ac:dyDescent="0.25">
      <c r="B158" s="831"/>
      <c r="C158" s="417" t="s">
        <v>137</v>
      </c>
      <c r="D158" s="418"/>
      <c r="E158" s="419"/>
      <c r="F158" s="420"/>
      <c r="G158" s="421"/>
      <c r="H158" s="422">
        <v>291</v>
      </c>
      <c r="I158" s="423"/>
      <c r="J158" s="424" t="s">
        <v>63</v>
      </c>
      <c r="K158" s="425">
        <v>2</v>
      </c>
      <c r="L158" s="426">
        <f t="shared" si="0"/>
        <v>293</v>
      </c>
    </row>
    <row r="159" spans="2:12" ht="17.25" customHeight="1" x14ac:dyDescent="0.25">
      <c r="B159" s="832"/>
      <c r="C159" s="417" t="s">
        <v>138</v>
      </c>
      <c r="D159" s="418"/>
      <c r="E159" s="419"/>
      <c r="F159" s="420"/>
      <c r="G159" s="421"/>
      <c r="H159" s="422">
        <v>135</v>
      </c>
      <c r="I159" s="423"/>
      <c r="J159" s="424" t="s">
        <v>63</v>
      </c>
      <c r="K159" s="425"/>
      <c r="L159" s="426">
        <f t="shared" si="0"/>
        <v>135</v>
      </c>
    </row>
    <row r="160" spans="2:12" ht="17.25" customHeight="1" x14ac:dyDescent="0.25">
      <c r="B160" s="448" t="s">
        <v>139</v>
      </c>
      <c r="C160" s="417" t="s">
        <v>140</v>
      </c>
      <c r="D160" s="418">
        <v>40066</v>
      </c>
      <c r="E160" s="430">
        <v>8564</v>
      </c>
      <c r="F160" s="442">
        <v>1168</v>
      </c>
      <c r="G160" s="421">
        <v>3783</v>
      </c>
      <c r="H160" s="422">
        <v>5187</v>
      </c>
      <c r="I160" s="423">
        <v>1702</v>
      </c>
      <c r="J160" s="424">
        <v>5601</v>
      </c>
      <c r="K160" s="425">
        <v>3554</v>
      </c>
      <c r="L160" s="426">
        <f t="shared" si="0"/>
        <v>69625</v>
      </c>
    </row>
    <row r="161" spans="2:12" ht="17.25" customHeight="1" x14ac:dyDescent="0.25">
      <c r="B161" s="448" t="s">
        <v>141</v>
      </c>
      <c r="C161" s="449" t="s">
        <v>142</v>
      </c>
      <c r="D161" s="418">
        <v>1430</v>
      </c>
      <c r="E161" s="430"/>
      <c r="F161" s="442"/>
      <c r="G161" s="421"/>
      <c r="H161" s="422"/>
      <c r="I161" s="423"/>
      <c r="J161" s="424">
        <v>612</v>
      </c>
      <c r="K161" s="425"/>
      <c r="L161" s="426">
        <f t="shared" si="0"/>
        <v>2042</v>
      </c>
    </row>
    <row r="162" spans="2:12" ht="17.25" customHeight="1" x14ac:dyDescent="0.25">
      <c r="B162" s="824" t="s">
        <v>143</v>
      </c>
      <c r="C162" s="449" t="s">
        <v>144</v>
      </c>
      <c r="D162" s="418">
        <v>8615</v>
      </c>
      <c r="E162" s="430"/>
      <c r="F162" s="442"/>
      <c r="G162" s="421">
        <v>8604</v>
      </c>
      <c r="H162" s="422">
        <v>0</v>
      </c>
      <c r="I162" s="423"/>
      <c r="J162" s="424" t="s">
        <v>63</v>
      </c>
      <c r="K162" s="425"/>
      <c r="L162" s="426">
        <f t="shared" si="0"/>
        <v>17219</v>
      </c>
    </row>
    <row r="163" spans="2:12" ht="17.25" customHeight="1" x14ac:dyDescent="0.25">
      <c r="B163" s="826"/>
      <c r="C163" s="449" t="s">
        <v>145</v>
      </c>
      <c r="D163" s="418"/>
      <c r="E163" s="430"/>
      <c r="F163" s="420">
        <v>44363</v>
      </c>
      <c r="G163" s="421">
        <v>28826</v>
      </c>
      <c r="H163" s="422">
        <v>21806</v>
      </c>
      <c r="I163" s="423">
        <v>1227</v>
      </c>
      <c r="J163" s="424">
        <v>154</v>
      </c>
      <c r="K163" s="425">
        <v>320</v>
      </c>
      <c r="L163" s="426">
        <f t="shared" si="0"/>
        <v>96696</v>
      </c>
    </row>
    <row r="164" spans="2:12" ht="17.25" customHeight="1" x14ac:dyDescent="0.25">
      <c r="B164" s="827" t="s">
        <v>146</v>
      </c>
      <c r="C164" s="450" t="s">
        <v>147</v>
      </c>
      <c r="D164" s="418">
        <v>6755</v>
      </c>
      <c r="E164" s="430"/>
      <c r="F164" s="442"/>
      <c r="G164" s="421"/>
      <c r="H164" s="422"/>
      <c r="I164" s="423"/>
      <c r="J164" s="424" t="s">
        <v>63</v>
      </c>
      <c r="K164" s="425"/>
      <c r="L164" s="426">
        <f t="shared" si="0"/>
        <v>6755</v>
      </c>
    </row>
    <row r="165" spans="2:12" ht="17.25" customHeight="1" x14ac:dyDescent="0.25">
      <c r="B165" s="829"/>
      <c r="C165" s="450" t="s">
        <v>148</v>
      </c>
      <c r="D165" s="418">
        <v>12910</v>
      </c>
      <c r="E165" s="430"/>
      <c r="F165" s="442"/>
      <c r="G165" s="421"/>
      <c r="H165" s="422"/>
      <c r="I165" s="423"/>
      <c r="J165" s="424" t="s">
        <v>63</v>
      </c>
      <c r="K165" s="425"/>
      <c r="L165" s="426">
        <f t="shared" si="0"/>
        <v>12910</v>
      </c>
    </row>
    <row r="166" spans="2:12" ht="17.25" customHeight="1" x14ac:dyDescent="0.25">
      <c r="B166" s="448" t="s">
        <v>149</v>
      </c>
      <c r="C166" s="450" t="s">
        <v>150</v>
      </c>
      <c r="D166" s="418">
        <v>234</v>
      </c>
      <c r="E166" s="430"/>
      <c r="F166" s="442"/>
      <c r="G166" s="421"/>
      <c r="H166" s="422"/>
      <c r="I166" s="423"/>
      <c r="J166" s="424"/>
      <c r="K166" s="425"/>
      <c r="L166" s="426">
        <f t="shared" si="0"/>
        <v>234</v>
      </c>
    </row>
    <row r="167" spans="2:12" ht="17.25" customHeight="1" x14ac:dyDescent="0.25">
      <c r="B167" s="448" t="s">
        <v>151</v>
      </c>
      <c r="C167" s="451" t="s">
        <v>152</v>
      </c>
      <c r="D167" s="418">
        <v>949</v>
      </c>
      <c r="E167" s="430">
        <v>803</v>
      </c>
      <c r="F167" s="442"/>
      <c r="G167" s="421"/>
      <c r="H167" s="422">
        <v>984</v>
      </c>
      <c r="I167" s="423">
        <v>225</v>
      </c>
      <c r="J167" s="424">
        <v>158</v>
      </c>
      <c r="K167" s="425">
        <v>53</v>
      </c>
      <c r="L167" s="426">
        <f t="shared" si="0"/>
        <v>3172</v>
      </c>
    </row>
    <row r="168" spans="2:12" ht="17.25" customHeight="1" x14ac:dyDescent="0.25">
      <c r="B168" s="448" t="s">
        <v>153</v>
      </c>
      <c r="C168" s="450" t="s">
        <v>154</v>
      </c>
      <c r="D168" s="418">
        <v>2241</v>
      </c>
      <c r="E168" s="430"/>
      <c r="F168" s="442"/>
      <c r="G168" s="421"/>
      <c r="H168" s="422"/>
      <c r="I168" s="423"/>
      <c r="J168" s="424"/>
      <c r="K168" s="425"/>
      <c r="L168" s="426">
        <f t="shared" si="0"/>
        <v>2241</v>
      </c>
    </row>
    <row r="169" spans="2:12" ht="17.25" customHeight="1" x14ac:dyDescent="0.25">
      <c r="B169" s="448" t="s">
        <v>155</v>
      </c>
      <c r="C169" s="450" t="s">
        <v>156</v>
      </c>
      <c r="D169" s="418">
        <v>6423</v>
      </c>
      <c r="E169" s="430">
        <v>429</v>
      </c>
      <c r="F169" s="420">
        <v>389</v>
      </c>
      <c r="G169" s="421"/>
      <c r="H169" s="422"/>
      <c r="I169" s="423"/>
      <c r="J169" s="424"/>
      <c r="K169" s="425"/>
      <c r="L169" s="426">
        <f t="shared" si="0"/>
        <v>7241</v>
      </c>
    </row>
    <row r="170" spans="2:12" ht="17.25" customHeight="1" x14ac:dyDescent="0.25">
      <c r="B170" s="686" t="s">
        <v>157</v>
      </c>
      <c r="C170" s="450" t="s">
        <v>158</v>
      </c>
      <c r="D170" s="418">
        <v>239929</v>
      </c>
      <c r="E170" s="430">
        <v>2694</v>
      </c>
      <c r="F170" s="442"/>
      <c r="G170" s="421"/>
      <c r="H170" s="422"/>
      <c r="I170" s="423"/>
      <c r="J170" s="424"/>
      <c r="K170" s="425"/>
      <c r="L170" s="426">
        <f t="shared" si="0"/>
        <v>242623</v>
      </c>
    </row>
    <row r="171" spans="2:12" ht="17.25" customHeight="1" x14ac:dyDescent="0.25">
      <c r="B171" s="687"/>
      <c r="C171" s="450" t="s">
        <v>159</v>
      </c>
      <c r="D171" s="418">
        <v>1758</v>
      </c>
      <c r="E171" s="430"/>
      <c r="F171" s="442"/>
      <c r="G171" s="421"/>
      <c r="H171" s="422"/>
      <c r="I171" s="423"/>
      <c r="J171" s="424"/>
      <c r="K171" s="425"/>
      <c r="L171" s="426">
        <f t="shared" si="0"/>
        <v>1758</v>
      </c>
    </row>
    <row r="172" spans="2:12" ht="17.25" customHeight="1" x14ac:dyDescent="0.25">
      <c r="B172" s="688" t="s">
        <v>160</v>
      </c>
      <c r="C172" s="450" t="s">
        <v>161</v>
      </c>
      <c r="D172" s="418">
        <v>22819</v>
      </c>
      <c r="E172" s="430">
        <v>15955</v>
      </c>
      <c r="F172" s="420">
        <v>6988</v>
      </c>
      <c r="G172" s="421"/>
      <c r="H172" s="422"/>
      <c r="I172" s="423"/>
      <c r="J172" s="424"/>
      <c r="K172" s="425"/>
      <c r="L172" s="426">
        <f t="shared" si="0"/>
        <v>45762</v>
      </c>
    </row>
    <row r="173" spans="2:12" ht="17.25" customHeight="1" x14ac:dyDescent="0.25">
      <c r="B173" s="689"/>
      <c r="C173" s="450" t="s">
        <v>162</v>
      </c>
      <c r="D173" s="418">
        <v>17721</v>
      </c>
      <c r="E173" s="430">
        <v>19608</v>
      </c>
      <c r="F173" s="441">
        <v>9981</v>
      </c>
      <c r="G173" s="421"/>
      <c r="H173" s="422"/>
      <c r="I173" s="423"/>
      <c r="J173" s="424"/>
      <c r="K173" s="425"/>
      <c r="L173" s="426">
        <f t="shared" si="0"/>
        <v>47310</v>
      </c>
    </row>
    <row r="174" spans="2:12" ht="17.25" customHeight="1" x14ac:dyDescent="0.25">
      <c r="B174" s="690"/>
      <c r="C174" s="450" t="s">
        <v>163</v>
      </c>
      <c r="D174" s="418">
        <v>2679</v>
      </c>
      <c r="E174" s="430">
        <v>8344</v>
      </c>
      <c r="F174" s="441">
        <v>3090</v>
      </c>
      <c r="G174" s="421"/>
      <c r="H174" s="422"/>
      <c r="I174" s="423"/>
      <c r="J174" s="424"/>
      <c r="K174" s="425"/>
      <c r="L174" s="426">
        <f t="shared" si="0"/>
        <v>14113</v>
      </c>
    </row>
    <row r="175" spans="2:12" ht="17.25" customHeight="1" x14ac:dyDescent="0.25">
      <c r="B175" s="452" t="s">
        <v>164</v>
      </c>
      <c r="C175" s="450" t="s">
        <v>165</v>
      </c>
      <c r="D175" s="453">
        <v>5980</v>
      </c>
      <c r="E175" s="454"/>
      <c r="F175" s="420">
        <v>45556</v>
      </c>
      <c r="G175" s="455">
        <v>3175</v>
      </c>
      <c r="H175" s="422">
        <v>3147</v>
      </c>
      <c r="I175" s="423"/>
      <c r="J175" s="424"/>
      <c r="K175" s="425"/>
      <c r="L175" s="426">
        <f t="shared" si="0"/>
        <v>57858</v>
      </c>
    </row>
    <row r="176" spans="2:12" ht="17.25" customHeight="1" x14ac:dyDescent="0.25">
      <c r="B176" s="448" t="s">
        <v>166</v>
      </c>
      <c r="C176" s="450" t="s">
        <v>167</v>
      </c>
      <c r="D176" s="443">
        <v>3407</v>
      </c>
      <c r="E176" s="430">
        <v>3789</v>
      </c>
      <c r="F176" s="456">
        <v>2405</v>
      </c>
      <c r="G176" s="421"/>
      <c r="H176" s="422">
        <v>52870</v>
      </c>
      <c r="I176" s="423"/>
      <c r="J176" s="424"/>
      <c r="K176" s="425">
        <v>23578</v>
      </c>
      <c r="L176" s="426">
        <f t="shared" si="0"/>
        <v>86049</v>
      </c>
    </row>
    <row r="177" spans="2:12" ht="17.25" customHeight="1" x14ac:dyDescent="0.25">
      <c r="B177" s="452" t="s">
        <v>612</v>
      </c>
      <c r="C177" s="450" t="s">
        <v>168</v>
      </c>
      <c r="D177" s="457">
        <v>486863</v>
      </c>
      <c r="E177" s="458">
        <v>453073</v>
      </c>
      <c r="F177" s="420">
        <v>130308</v>
      </c>
      <c r="G177" s="421">
        <v>0</v>
      </c>
      <c r="H177" s="422">
        <v>19137</v>
      </c>
      <c r="I177" s="423">
        <v>8339</v>
      </c>
      <c r="J177" s="424"/>
      <c r="K177" s="425">
        <v>7857</v>
      </c>
      <c r="L177" s="426">
        <f>+SUM(D177:K177)</f>
        <v>1105577</v>
      </c>
    </row>
    <row r="178" spans="2:12" ht="17.25" customHeight="1" x14ac:dyDescent="0.25">
      <c r="B178" s="459" t="s">
        <v>678</v>
      </c>
      <c r="C178" s="450" t="s">
        <v>169</v>
      </c>
      <c r="D178" s="460">
        <v>118359</v>
      </c>
      <c r="E178" s="460">
        <v>120789</v>
      </c>
      <c r="F178" s="460">
        <v>325872</v>
      </c>
      <c r="G178" s="461"/>
      <c r="H178" s="718">
        <v>126177</v>
      </c>
      <c r="I178" s="721">
        <v>311333</v>
      </c>
      <c r="J178" s="721">
        <v>175282</v>
      </c>
      <c r="K178" s="425">
        <v>723867</v>
      </c>
      <c r="L178" s="426">
        <f t="shared" si="0"/>
        <v>1901679</v>
      </c>
    </row>
    <row r="179" spans="2:12" ht="17.25" customHeight="1" x14ac:dyDescent="0.25">
      <c r="B179" s="462"/>
      <c r="C179" s="450" t="s">
        <v>170</v>
      </c>
      <c r="D179" s="463"/>
      <c r="E179" s="463"/>
      <c r="F179" s="463"/>
      <c r="G179" s="464"/>
      <c r="H179" s="719"/>
      <c r="I179" s="722"/>
      <c r="J179" s="722"/>
      <c r="K179" s="425"/>
      <c r="L179" s="426">
        <f t="shared" si="0"/>
        <v>0</v>
      </c>
    </row>
    <row r="180" spans="2:12" ht="17.25" customHeight="1" x14ac:dyDescent="0.25">
      <c r="B180" s="462"/>
      <c r="C180" s="450" t="s">
        <v>171</v>
      </c>
      <c r="D180" s="463"/>
      <c r="E180" s="463"/>
      <c r="F180" s="463"/>
      <c r="G180" s="464"/>
      <c r="H180" s="719"/>
      <c r="I180" s="722"/>
      <c r="J180" s="722"/>
      <c r="K180" s="425"/>
      <c r="L180" s="426">
        <f t="shared" si="0"/>
        <v>0</v>
      </c>
    </row>
    <row r="181" spans="2:12" ht="17.25" customHeight="1" x14ac:dyDescent="0.25">
      <c r="B181" s="462"/>
      <c r="C181" s="450" t="s">
        <v>172</v>
      </c>
      <c r="D181" s="463"/>
      <c r="E181" s="463"/>
      <c r="F181" s="463"/>
      <c r="G181" s="464"/>
      <c r="H181" s="719"/>
      <c r="I181" s="722"/>
      <c r="J181" s="722"/>
      <c r="K181" s="425"/>
      <c r="L181" s="426">
        <f t="shared" si="0"/>
        <v>0</v>
      </c>
    </row>
    <row r="182" spans="2:12" ht="17.25" customHeight="1" x14ac:dyDescent="0.25">
      <c r="B182" s="462"/>
      <c r="C182" s="450" t="s">
        <v>173</v>
      </c>
      <c r="D182" s="463"/>
      <c r="E182" s="463"/>
      <c r="F182" s="463"/>
      <c r="G182" s="464"/>
      <c r="H182" s="719"/>
      <c r="I182" s="722"/>
      <c r="J182" s="722"/>
      <c r="K182" s="425"/>
      <c r="L182" s="426">
        <f t="shared" si="0"/>
        <v>0</v>
      </c>
    </row>
    <row r="183" spans="2:12" ht="17.25" customHeight="1" x14ac:dyDescent="0.25">
      <c r="B183" s="462"/>
      <c r="C183" s="450" t="s">
        <v>174</v>
      </c>
      <c r="D183" s="463"/>
      <c r="E183" s="463"/>
      <c r="F183" s="463"/>
      <c r="G183" s="464"/>
      <c r="H183" s="719"/>
      <c r="I183" s="722"/>
      <c r="J183" s="722"/>
      <c r="K183" s="425"/>
      <c r="L183" s="426">
        <f t="shared" si="0"/>
        <v>0</v>
      </c>
    </row>
    <row r="184" spans="2:12" ht="17.25" customHeight="1" x14ac:dyDescent="0.25">
      <c r="B184" s="462"/>
      <c r="C184" s="450" t="s">
        <v>175</v>
      </c>
      <c r="D184" s="463"/>
      <c r="E184" s="463"/>
      <c r="F184" s="463"/>
      <c r="G184" s="464"/>
      <c r="H184" s="719"/>
      <c r="I184" s="722"/>
      <c r="J184" s="722"/>
      <c r="K184" s="425"/>
      <c r="L184" s="426">
        <f t="shared" si="0"/>
        <v>0</v>
      </c>
    </row>
    <row r="185" spans="2:12" ht="17.25" customHeight="1" x14ac:dyDescent="0.25">
      <c r="B185" s="462"/>
      <c r="C185" s="450" t="s">
        <v>176</v>
      </c>
      <c r="D185" s="463"/>
      <c r="E185" s="463"/>
      <c r="F185" s="463"/>
      <c r="G185" s="464"/>
      <c r="H185" s="719"/>
      <c r="I185" s="722"/>
      <c r="J185" s="722"/>
      <c r="K185" s="425"/>
      <c r="L185" s="426">
        <f t="shared" si="0"/>
        <v>0</v>
      </c>
    </row>
    <row r="186" spans="2:12" ht="17.25" customHeight="1" x14ac:dyDescent="0.25">
      <c r="B186" s="462"/>
      <c r="C186" s="450" t="s">
        <v>177</v>
      </c>
      <c r="D186" s="463"/>
      <c r="E186" s="463"/>
      <c r="F186" s="463"/>
      <c r="G186" s="464"/>
      <c r="H186" s="719"/>
      <c r="I186" s="722"/>
      <c r="J186" s="722"/>
      <c r="K186" s="425"/>
      <c r="L186" s="426">
        <f t="shared" si="0"/>
        <v>0</v>
      </c>
    </row>
    <row r="187" spans="2:12" ht="17.25" customHeight="1" x14ac:dyDescent="0.25">
      <c r="B187" s="462"/>
      <c r="C187" s="450" t="s">
        <v>178</v>
      </c>
      <c r="D187" s="465"/>
      <c r="E187" s="465"/>
      <c r="F187" s="465"/>
      <c r="G187" s="466"/>
      <c r="H187" s="719"/>
      <c r="I187" s="722"/>
      <c r="J187" s="722"/>
      <c r="K187" s="425"/>
      <c r="L187" s="426">
        <f t="shared" si="0"/>
        <v>0</v>
      </c>
    </row>
    <row r="188" spans="2:12" ht="17.25" customHeight="1" x14ac:dyDescent="0.25">
      <c r="B188" s="462"/>
      <c r="C188" s="450" t="s">
        <v>179</v>
      </c>
      <c r="D188" s="465"/>
      <c r="E188" s="465"/>
      <c r="F188" s="465"/>
      <c r="G188" s="466"/>
      <c r="H188" s="719"/>
      <c r="I188" s="722"/>
      <c r="J188" s="722"/>
      <c r="K188" s="425"/>
      <c r="L188" s="426">
        <f t="shared" si="0"/>
        <v>0</v>
      </c>
    </row>
    <row r="189" spans="2:12" ht="17.25" customHeight="1" x14ac:dyDescent="0.25">
      <c r="B189" s="462"/>
      <c r="C189" s="450" t="s">
        <v>180</v>
      </c>
      <c r="D189" s="465"/>
      <c r="E189" s="465"/>
      <c r="F189" s="465"/>
      <c r="G189" s="466"/>
      <c r="H189" s="719"/>
      <c r="I189" s="722"/>
      <c r="J189" s="722"/>
      <c r="K189" s="425"/>
      <c r="L189" s="426">
        <f t="shared" si="0"/>
        <v>0</v>
      </c>
    </row>
    <row r="190" spans="2:12" ht="17.25" customHeight="1" x14ac:dyDescent="0.25">
      <c r="B190" s="462"/>
      <c r="C190" s="450" t="s">
        <v>181</v>
      </c>
      <c r="D190" s="465"/>
      <c r="E190" s="465"/>
      <c r="F190" s="465"/>
      <c r="G190" s="466"/>
      <c r="H190" s="719"/>
      <c r="I190" s="722"/>
      <c r="J190" s="722"/>
      <c r="K190" s="425"/>
      <c r="L190" s="426">
        <f t="shared" si="0"/>
        <v>0</v>
      </c>
    </row>
    <row r="191" spans="2:12" ht="17.25" customHeight="1" x14ac:dyDescent="0.25">
      <c r="B191" s="462"/>
      <c r="C191" s="450" t="s">
        <v>182</v>
      </c>
      <c r="D191" s="465"/>
      <c r="E191" s="465"/>
      <c r="F191" s="465"/>
      <c r="G191" s="466"/>
      <c r="H191" s="719"/>
      <c r="I191" s="722"/>
      <c r="J191" s="722"/>
      <c r="K191" s="425"/>
      <c r="L191" s="426">
        <f t="shared" si="0"/>
        <v>0</v>
      </c>
    </row>
    <row r="192" spans="2:12" ht="17.25" customHeight="1" x14ac:dyDescent="0.25">
      <c r="B192" s="462"/>
      <c r="C192" s="450" t="s">
        <v>183</v>
      </c>
      <c r="D192" s="465"/>
      <c r="E192" s="465"/>
      <c r="F192" s="465"/>
      <c r="G192" s="466"/>
      <c r="H192" s="719"/>
      <c r="I192" s="722"/>
      <c r="J192" s="722"/>
      <c r="K192" s="425"/>
      <c r="L192" s="426">
        <f t="shared" si="0"/>
        <v>0</v>
      </c>
    </row>
    <row r="193" spans="2:12" ht="17.25" customHeight="1" x14ac:dyDescent="0.25">
      <c r="B193" s="462"/>
      <c r="C193" s="450" t="s">
        <v>184</v>
      </c>
      <c r="D193" s="465"/>
      <c r="E193" s="465"/>
      <c r="F193" s="465"/>
      <c r="G193" s="466"/>
      <c r="H193" s="719"/>
      <c r="I193" s="722"/>
      <c r="J193" s="722"/>
      <c r="K193" s="425"/>
      <c r="L193" s="426">
        <f t="shared" si="0"/>
        <v>0</v>
      </c>
    </row>
    <row r="194" spans="2:12" ht="17.25" customHeight="1" x14ac:dyDescent="0.25">
      <c r="B194" s="462"/>
      <c r="C194" s="450" t="s">
        <v>185</v>
      </c>
      <c r="D194" s="465"/>
      <c r="E194" s="465"/>
      <c r="F194" s="465"/>
      <c r="G194" s="466"/>
      <c r="H194" s="719"/>
      <c r="I194" s="722"/>
      <c r="J194" s="722"/>
      <c r="K194" s="425"/>
      <c r="L194" s="426">
        <f t="shared" si="0"/>
        <v>0</v>
      </c>
    </row>
    <row r="195" spans="2:12" ht="17.25" customHeight="1" x14ac:dyDescent="0.25">
      <c r="B195" s="462"/>
      <c r="C195" s="450" t="s">
        <v>186</v>
      </c>
      <c r="D195" s="465"/>
      <c r="E195" s="465"/>
      <c r="F195" s="465"/>
      <c r="G195" s="466"/>
      <c r="H195" s="719"/>
      <c r="I195" s="722"/>
      <c r="J195" s="722"/>
      <c r="K195" s="425"/>
      <c r="L195" s="426">
        <f t="shared" si="0"/>
        <v>0</v>
      </c>
    </row>
    <row r="196" spans="2:12" ht="17.25" customHeight="1" x14ac:dyDescent="0.25">
      <c r="B196" s="462"/>
      <c r="C196" s="450" t="s">
        <v>187</v>
      </c>
      <c r="D196" s="465"/>
      <c r="E196" s="465"/>
      <c r="F196" s="465"/>
      <c r="G196" s="466"/>
      <c r="H196" s="719"/>
      <c r="I196" s="722"/>
      <c r="J196" s="722"/>
      <c r="K196" s="425"/>
      <c r="L196" s="426">
        <f t="shared" si="0"/>
        <v>0</v>
      </c>
    </row>
    <row r="197" spans="2:12" ht="17.25" customHeight="1" x14ac:dyDescent="0.25">
      <c r="B197" s="462"/>
      <c r="C197" s="450" t="s">
        <v>188</v>
      </c>
      <c r="D197" s="465"/>
      <c r="E197" s="465"/>
      <c r="F197" s="465"/>
      <c r="G197" s="466"/>
      <c r="H197" s="719"/>
      <c r="I197" s="722"/>
      <c r="J197" s="722"/>
      <c r="K197" s="425"/>
      <c r="L197" s="426">
        <f t="shared" si="0"/>
        <v>0</v>
      </c>
    </row>
    <row r="198" spans="2:12" ht="17.25" customHeight="1" x14ac:dyDescent="0.25">
      <c r="B198" s="467"/>
      <c r="C198" s="450" t="s">
        <v>189</v>
      </c>
      <c r="D198" s="468"/>
      <c r="E198" s="468"/>
      <c r="F198" s="468"/>
      <c r="G198" s="469"/>
      <c r="H198" s="720"/>
      <c r="I198" s="723"/>
      <c r="J198" s="723"/>
      <c r="K198" s="425"/>
      <c r="L198" s="426">
        <f t="shared" si="0"/>
        <v>0</v>
      </c>
    </row>
    <row r="199" spans="2:12" ht="17.25" customHeight="1" x14ac:dyDescent="0.25">
      <c r="B199" s="470" t="s">
        <v>190</v>
      </c>
      <c r="C199" s="471" t="s">
        <v>191</v>
      </c>
      <c r="D199" s="437"/>
      <c r="E199" s="438"/>
      <c r="F199" s="442">
        <v>1733</v>
      </c>
      <c r="G199" s="421">
        <v>3326</v>
      </c>
      <c r="H199" s="422">
        <v>2448</v>
      </c>
      <c r="I199" s="423"/>
      <c r="J199" s="424">
        <v>51</v>
      </c>
      <c r="K199" s="425">
        <v>29</v>
      </c>
      <c r="L199" s="426">
        <f t="shared" si="0"/>
        <v>7587</v>
      </c>
    </row>
    <row r="200" spans="2:12" ht="17.25" customHeight="1" x14ac:dyDescent="0.25">
      <c r="B200" s="470" t="s">
        <v>192</v>
      </c>
      <c r="C200" s="423" t="s">
        <v>193</v>
      </c>
      <c r="D200" s="423"/>
      <c r="E200" s="423"/>
      <c r="F200" s="423"/>
      <c r="G200" s="423">
        <v>1440</v>
      </c>
      <c r="H200" s="423">
        <v>837</v>
      </c>
      <c r="I200" s="423"/>
      <c r="J200" s="424"/>
      <c r="K200" s="425"/>
      <c r="L200" s="426">
        <f t="shared" si="0"/>
        <v>2277</v>
      </c>
    </row>
    <row r="201" spans="2:12" ht="17.25" customHeight="1" x14ac:dyDescent="0.25">
      <c r="B201" s="472" t="s">
        <v>194</v>
      </c>
      <c r="C201" s="423" t="s">
        <v>195</v>
      </c>
      <c r="D201" s="423"/>
      <c r="E201" s="423"/>
      <c r="F201" s="423"/>
      <c r="G201" s="423"/>
      <c r="H201" s="423">
        <v>799</v>
      </c>
      <c r="I201" s="423"/>
      <c r="J201" s="424"/>
      <c r="K201" s="425">
        <v>11</v>
      </c>
      <c r="L201" s="426">
        <f t="shared" si="0"/>
        <v>810</v>
      </c>
    </row>
    <row r="202" spans="2:12" ht="17.25" customHeight="1" x14ac:dyDescent="0.25">
      <c r="B202" s="724" t="s">
        <v>196</v>
      </c>
      <c r="C202" s="423" t="s">
        <v>197</v>
      </c>
      <c r="D202" s="423"/>
      <c r="E202" s="423"/>
      <c r="F202" s="423"/>
      <c r="G202" s="423">
        <v>4792</v>
      </c>
      <c r="H202" s="423"/>
      <c r="I202" s="423">
        <v>3728</v>
      </c>
      <c r="J202" s="424"/>
      <c r="K202" s="425"/>
      <c r="L202" s="426">
        <f t="shared" si="0"/>
        <v>8520</v>
      </c>
    </row>
    <row r="203" spans="2:12" ht="17.25" customHeight="1" x14ac:dyDescent="0.25">
      <c r="B203" s="725"/>
      <c r="C203" s="423" t="s">
        <v>198</v>
      </c>
      <c r="D203" s="423"/>
      <c r="E203" s="423"/>
      <c r="F203" s="423"/>
      <c r="G203" s="423">
        <v>1659</v>
      </c>
      <c r="H203" s="423">
        <v>2930</v>
      </c>
      <c r="I203" s="423">
        <v>1266</v>
      </c>
      <c r="J203" s="424"/>
      <c r="K203" s="425"/>
      <c r="L203" s="426">
        <f t="shared" si="0"/>
        <v>5855</v>
      </c>
    </row>
    <row r="204" spans="2:12" ht="17.25" customHeight="1" x14ac:dyDescent="0.25">
      <c r="B204" s="725"/>
      <c r="C204" s="423" t="s">
        <v>199</v>
      </c>
      <c r="D204" s="423"/>
      <c r="E204" s="423"/>
      <c r="F204" s="423"/>
      <c r="G204" s="423">
        <v>75</v>
      </c>
      <c r="H204" s="423">
        <v>160</v>
      </c>
      <c r="I204" s="423">
        <v>19</v>
      </c>
      <c r="J204" s="424" t="s">
        <v>63</v>
      </c>
      <c r="K204" s="425"/>
      <c r="L204" s="426">
        <f t="shared" si="0"/>
        <v>254</v>
      </c>
    </row>
    <row r="205" spans="2:12" ht="17.25" customHeight="1" x14ac:dyDescent="0.25">
      <c r="B205" s="725"/>
      <c r="C205" s="423" t="s">
        <v>200</v>
      </c>
      <c r="D205" s="423"/>
      <c r="E205" s="423"/>
      <c r="F205" s="423"/>
      <c r="G205" s="423">
        <v>60</v>
      </c>
      <c r="H205" s="423">
        <v>75</v>
      </c>
      <c r="I205" s="423">
        <v>72</v>
      </c>
      <c r="J205" s="424"/>
      <c r="K205" s="425"/>
      <c r="L205" s="426">
        <f t="shared" si="0"/>
        <v>207</v>
      </c>
    </row>
    <row r="206" spans="2:12" ht="17.25" customHeight="1" x14ac:dyDescent="0.25">
      <c r="B206" s="725"/>
      <c r="C206" s="423" t="s">
        <v>201</v>
      </c>
      <c r="D206" s="423"/>
      <c r="E206" s="423"/>
      <c r="F206" s="423"/>
      <c r="G206" s="423">
        <v>27</v>
      </c>
      <c r="H206" s="423">
        <v>46</v>
      </c>
      <c r="I206" s="423">
        <v>3311</v>
      </c>
      <c r="J206" s="424"/>
      <c r="K206" s="425"/>
      <c r="L206" s="426">
        <f t="shared" si="0"/>
        <v>3384</v>
      </c>
    </row>
    <row r="207" spans="2:12" ht="17.25" customHeight="1" x14ac:dyDescent="0.25">
      <c r="B207" s="725"/>
      <c r="C207" s="423" t="s">
        <v>202</v>
      </c>
      <c r="D207" s="423"/>
      <c r="E207" s="423"/>
      <c r="F207" s="423"/>
      <c r="G207" s="423"/>
      <c r="H207" s="423">
        <v>291</v>
      </c>
      <c r="I207" s="423">
        <v>57</v>
      </c>
      <c r="J207" s="424"/>
      <c r="K207" s="425"/>
      <c r="L207" s="426">
        <f t="shared" ref="L207:L230" si="1">+SUM(D207:K207)</f>
        <v>348</v>
      </c>
    </row>
    <row r="208" spans="2:12" ht="17.25" customHeight="1" x14ac:dyDescent="0.25">
      <c r="B208" s="726"/>
      <c r="C208" s="423" t="s">
        <v>203</v>
      </c>
      <c r="D208" s="423"/>
      <c r="E208" s="423"/>
      <c r="F208" s="423"/>
      <c r="G208" s="423">
        <f>186+108</f>
        <v>294</v>
      </c>
      <c r="H208" s="423">
        <v>921</v>
      </c>
      <c r="I208" s="423"/>
      <c r="J208" s="424"/>
      <c r="K208" s="425"/>
      <c r="L208" s="426">
        <f t="shared" si="1"/>
        <v>1215</v>
      </c>
    </row>
    <row r="209" spans="2:12" ht="17.25" customHeight="1" x14ac:dyDescent="0.25">
      <c r="B209" s="712" t="s">
        <v>204</v>
      </c>
      <c r="C209" s="423" t="s">
        <v>205</v>
      </c>
      <c r="D209" s="423"/>
      <c r="E209" s="423"/>
      <c r="F209" s="423"/>
      <c r="G209" s="423">
        <v>7046</v>
      </c>
      <c r="H209" s="423">
        <v>914</v>
      </c>
      <c r="I209" s="423">
        <v>255</v>
      </c>
      <c r="J209" s="424" t="s">
        <v>63</v>
      </c>
      <c r="K209" s="425"/>
      <c r="L209" s="426">
        <f t="shared" si="1"/>
        <v>8215</v>
      </c>
    </row>
    <row r="210" spans="2:12" ht="17.25" customHeight="1" x14ac:dyDescent="0.25">
      <c r="B210" s="713"/>
      <c r="C210" s="423" t="s">
        <v>206</v>
      </c>
      <c r="D210" s="423"/>
      <c r="E210" s="423"/>
      <c r="F210" s="423"/>
      <c r="G210" s="423">
        <v>116</v>
      </c>
      <c r="H210" s="423">
        <v>227</v>
      </c>
      <c r="I210" s="423">
        <v>27</v>
      </c>
      <c r="J210" s="424">
        <v>0</v>
      </c>
      <c r="K210" s="425"/>
      <c r="L210" s="426">
        <f t="shared" si="1"/>
        <v>370</v>
      </c>
    </row>
    <row r="211" spans="2:12" ht="17.25" customHeight="1" x14ac:dyDescent="0.25">
      <c r="B211" s="713"/>
      <c r="C211" s="423" t="s">
        <v>207</v>
      </c>
      <c r="D211" s="423"/>
      <c r="E211" s="423"/>
      <c r="F211" s="423"/>
      <c r="G211" s="423">
        <v>413</v>
      </c>
      <c r="H211" s="423">
        <v>157</v>
      </c>
      <c r="I211" s="423">
        <v>45</v>
      </c>
      <c r="J211" s="424">
        <v>93</v>
      </c>
      <c r="K211" s="425">
        <v>37</v>
      </c>
      <c r="L211" s="426">
        <f t="shared" si="1"/>
        <v>745</v>
      </c>
    </row>
    <row r="212" spans="2:12" ht="17.25" customHeight="1" x14ac:dyDescent="0.25">
      <c r="B212" s="713"/>
      <c r="C212" s="423" t="s">
        <v>208</v>
      </c>
      <c r="D212" s="423"/>
      <c r="E212" s="423"/>
      <c r="F212" s="423"/>
      <c r="G212" s="423">
        <v>87</v>
      </c>
      <c r="H212" s="423">
        <v>24</v>
      </c>
      <c r="I212" s="423">
        <v>24</v>
      </c>
      <c r="J212" s="424"/>
      <c r="K212" s="425"/>
      <c r="L212" s="426">
        <f t="shared" si="1"/>
        <v>135</v>
      </c>
    </row>
    <row r="213" spans="2:12" ht="17.25" customHeight="1" x14ac:dyDescent="0.25">
      <c r="B213" s="713"/>
      <c r="C213" s="423" t="s">
        <v>209</v>
      </c>
      <c r="D213" s="423"/>
      <c r="E213" s="423"/>
      <c r="F213" s="423"/>
      <c r="G213" s="423">
        <v>1061</v>
      </c>
      <c r="H213" s="423">
        <v>808</v>
      </c>
      <c r="I213" s="423">
        <v>175</v>
      </c>
      <c r="J213" s="424">
        <v>15</v>
      </c>
      <c r="K213" s="425">
        <v>14</v>
      </c>
      <c r="L213" s="426">
        <f t="shared" si="1"/>
        <v>2073</v>
      </c>
    </row>
    <row r="214" spans="2:12" ht="17.25" customHeight="1" x14ac:dyDescent="0.25">
      <c r="B214" s="713"/>
      <c r="C214" s="423" t="s">
        <v>210</v>
      </c>
      <c r="D214" s="423"/>
      <c r="E214" s="423"/>
      <c r="F214" s="423"/>
      <c r="G214" s="423"/>
      <c r="H214" s="423">
        <v>29</v>
      </c>
      <c r="I214" s="423">
        <v>9</v>
      </c>
      <c r="J214" s="424" t="s">
        <v>63</v>
      </c>
      <c r="K214" s="425"/>
      <c r="L214" s="426">
        <f t="shared" si="1"/>
        <v>38</v>
      </c>
    </row>
    <row r="215" spans="2:12" ht="17.25" customHeight="1" x14ac:dyDescent="0.25">
      <c r="B215" s="713"/>
      <c r="C215" s="423" t="s">
        <v>211</v>
      </c>
      <c r="D215" s="423"/>
      <c r="E215" s="423"/>
      <c r="F215" s="423"/>
      <c r="G215" s="423"/>
      <c r="H215" s="423">
        <v>3</v>
      </c>
      <c r="I215" s="423">
        <v>22</v>
      </c>
      <c r="J215" s="424" t="s">
        <v>63</v>
      </c>
      <c r="K215" s="425"/>
      <c r="L215" s="426">
        <f t="shared" si="1"/>
        <v>25</v>
      </c>
    </row>
    <row r="216" spans="2:12" ht="17.25" customHeight="1" x14ac:dyDescent="0.25">
      <c r="B216" s="713"/>
      <c r="C216" s="423" t="s">
        <v>212</v>
      </c>
      <c r="D216" s="423"/>
      <c r="E216" s="423"/>
      <c r="F216" s="423"/>
      <c r="G216" s="423"/>
      <c r="H216" s="423">
        <v>18</v>
      </c>
      <c r="I216" s="423">
        <v>7</v>
      </c>
      <c r="J216" s="424" t="s">
        <v>63</v>
      </c>
      <c r="K216" s="425"/>
      <c r="L216" s="426">
        <f t="shared" si="1"/>
        <v>25</v>
      </c>
    </row>
    <row r="217" spans="2:12" ht="17.25" customHeight="1" x14ac:dyDescent="0.25">
      <c r="B217" s="713"/>
      <c r="C217" s="423" t="s">
        <v>213</v>
      </c>
      <c r="D217" s="423"/>
      <c r="E217" s="423"/>
      <c r="F217" s="423"/>
      <c r="G217" s="423"/>
      <c r="H217" s="423"/>
      <c r="I217" s="423"/>
      <c r="J217" s="424">
        <v>76</v>
      </c>
      <c r="K217" s="425">
        <v>18</v>
      </c>
      <c r="L217" s="426">
        <f t="shared" si="1"/>
        <v>94</v>
      </c>
    </row>
    <row r="218" spans="2:12" ht="17.25" customHeight="1" x14ac:dyDescent="0.25">
      <c r="B218" s="713"/>
      <c r="C218" s="423" t="s">
        <v>214</v>
      </c>
      <c r="D218" s="423"/>
      <c r="E218" s="423"/>
      <c r="F218" s="423"/>
      <c r="G218" s="423"/>
      <c r="H218" s="423"/>
      <c r="I218" s="423"/>
      <c r="J218" s="424">
        <v>11</v>
      </c>
      <c r="K218" s="425">
        <v>2</v>
      </c>
      <c r="L218" s="426">
        <f t="shared" si="1"/>
        <v>13</v>
      </c>
    </row>
    <row r="219" spans="2:12" ht="17.25" customHeight="1" x14ac:dyDescent="0.25">
      <c r="B219" s="713"/>
      <c r="C219" s="473" t="s">
        <v>215</v>
      </c>
      <c r="D219" s="433"/>
      <c r="E219" s="433"/>
      <c r="F219" s="433"/>
      <c r="G219" s="421">
        <v>106</v>
      </c>
      <c r="H219" s="422">
        <v>98</v>
      </c>
      <c r="I219" s="423">
        <v>79</v>
      </c>
      <c r="J219" s="424" t="s">
        <v>63</v>
      </c>
      <c r="K219" s="425"/>
      <c r="L219" s="426">
        <f t="shared" si="1"/>
        <v>283</v>
      </c>
    </row>
    <row r="220" spans="2:12" ht="17.25" customHeight="1" x14ac:dyDescent="0.25">
      <c r="B220" s="474" t="s">
        <v>216</v>
      </c>
      <c r="C220" s="475" t="s">
        <v>217</v>
      </c>
      <c r="D220" s="476"/>
      <c r="E220" s="476"/>
      <c r="F220" s="476"/>
      <c r="G220" s="477"/>
      <c r="H220" s="478">
        <v>93</v>
      </c>
      <c r="I220" s="479"/>
      <c r="J220" s="479"/>
      <c r="K220" s="425"/>
      <c r="L220" s="426">
        <f t="shared" si="1"/>
        <v>93</v>
      </c>
    </row>
    <row r="221" spans="2:12" ht="17.25" customHeight="1" x14ac:dyDescent="0.25">
      <c r="B221" s="480" t="s">
        <v>218</v>
      </c>
      <c r="C221" s="473" t="s">
        <v>219</v>
      </c>
      <c r="D221" s="433"/>
      <c r="E221" s="433"/>
      <c r="F221" s="433"/>
      <c r="G221" s="421"/>
      <c r="H221" s="422"/>
      <c r="I221" s="424"/>
      <c r="J221" s="424">
        <v>47</v>
      </c>
      <c r="K221" s="425">
        <v>35</v>
      </c>
      <c r="L221" s="426">
        <f t="shared" si="1"/>
        <v>82</v>
      </c>
    </row>
    <row r="222" spans="2:12" ht="17.25" customHeight="1" x14ac:dyDescent="0.25">
      <c r="B222" s="714" t="s">
        <v>220</v>
      </c>
      <c r="C222" s="473" t="s">
        <v>221</v>
      </c>
      <c r="D222" s="433"/>
      <c r="E222" s="433"/>
      <c r="F222" s="433"/>
      <c r="G222" s="421"/>
      <c r="H222" s="422"/>
      <c r="I222" s="424"/>
      <c r="J222" s="424">
        <v>4120</v>
      </c>
      <c r="K222" s="425">
        <v>1007</v>
      </c>
      <c r="L222" s="426">
        <f t="shared" si="1"/>
        <v>5127</v>
      </c>
    </row>
    <row r="223" spans="2:12" ht="17.25" customHeight="1" x14ac:dyDescent="0.25">
      <c r="B223" s="715"/>
      <c r="C223" s="473" t="s">
        <v>222</v>
      </c>
      <c r="D223" s="433"/>
      <c r="E223" s="433"/>
      <c r="F223" s="433"/>
      <c r="G223" s="421"/>
      <c r="H223" s="422"/>
      <c r="I223" s="424"/>
      <c r="J223" s="424">
        <v>1262</v>
      </c>
      <c r="K223" s="425">
        <v>386</v>
      </c>
      <c r="L223" s="426">
        <f t="shared" si="1"/>
        <v>1648</v>
      </c>
    </row>
    <row r="224" spans="2:12" ht="17.25" customHeight="1" x14ac:dyDescent="0.25">
      <c r="B224" s="715"/>
      <c r="C224" s="473" t="s">
        <v>223</v>
      </c>
      <c r="D224" s="433"/>
      <c r="E224" s="433"/>
      <c r="F224" s="433"/>
      <c r="G224" s="421"/>
      <c r="H224" s="422"/>
      <c r="I224" s="424"/>
      <c r="J224" s="424">
        <v>137</v>
      </c>
      <c r="K224" s="425">
        <v>47</v>
      </c>
      <c r="L224" s="426">
        <f t="shared" si="1"/>
        <v>184</v>
      </c>
    </row>
    <row r="225" spans="2:12" ht="17.25" customHeight="1" x14ac:dyDescent="0.25">
      <c r="B225" s="715"/>
      <c r="C225" s="473" t="s">
        <v>224</v>
      </c>
      <c r="D225" s="433"/>
      <c r="E225" s="433"/>
      <c r="F225" s="433"/>
      <c r="G225" s="421"/>
      <c r="H225" s="422"/>
      <c r="I225" s="424"/>
      <c r="J225" s="424">
        <v>34</v>
      </c>
      <c r="K225" s="425">
        <v>17</v>
      </c>
      <c r="L225" s="426">
        <f t="shared" si="1"/>
        <v>51</v>
      </c>
    </row>
    <row r="226" spans="2:12" ht="17.25" customHeight="1" x14ac:dyDescent="0.25">
      <c r="B226" s="715"/>
      <c r="C226" s="473" t="s">
        <v>201</v>
      </c>
      <c r="D226" s="433"/>
      <c r="E226" s="433"/>
      <c r="F226" s="433"/>
      <c r="G226" s="421"/>
      <c r="H226" s="422"/>
      <c r="I226" s="424"/>
      <c r="J226" s="424">
        <v>3</v>
      </c>
      <c r="K226" s="425">
        <v>6</v>
      </c>
      <c r="L226" s="426">
        <f t="shared" si="1"/>
        <v>9</v>
      </c>
    </row>
    <row r="227" spans="2:12" ht="17.25" customHeight="1" x14ac:dyDescent="0.25">
      <c r="B227" s="715"/>
      <c r="C227" s="473" t="s">
        <v>225</v>
      </c>
      <c r="D227" s="433"/>
      <c r="E227" s="433"/>
      <c r="F227" s="433"/>
      <c r="G227" s="421"/>
      <c r="H227" s="422"/>
      <c r="I227" s="424"/>
      <c r="J227" s="424">
        <v>59</v>
      </c>
      <c r="K227" s="425">
        <v>103</v>
      </c>
      <c r="L227" s="426">
        <f t="shared" si="1"/>
        <v>162</v>
      </c>
    </row>
    <row r="228" spans="2:12" ht="17.25" customHeight="1" x14ac:dyDescent="0.25">
      <c r="B228" s="715"/>
      <c r="C228" s="473" t="s">
        <v>226</v>
      </c>
      <c r="D228" s="433"/>
      <c r="E228" s="433"/>
      <c r="F228" s="433"/>
      <c r="G228" s="421"/>
      <c r="H228" s="422"/>
      <c r="I228" s="424"/>
      <c r="J228" s="424">
        <v>11</v>
      </c>
      <c r="K228" s="425">
        <v>52</v>
      </c>
      <c r="L228" s="426">
        <f t="shared" si="1"/>
        <v>63</v>
      </c>
    </row>
    <row r="229" spans="2:12" ht="17.25" customHeight="1" x14ac:dyDescent="0.25">
      <c r="B229" s="715"/>
      <c r="C229" s="473" t="s">
        <v>227</v>
      </c>
      <c r="D229" s="433"/>
      <c r="E229" s="433"/>
      <c r="F229" s="433"/>
      <c r="G229" s="421"/>
      <c r="H229" s="422"/>
      <c r="I229" s="424"/>
      <c r="J229" s="424">
        <v>39</v>
      </c>
      <c r="K229" s="425">
        <v>43</v>
      </c>
      <c r="L229" s="426">
        <f t="shared" si="1"/>
        <v>82</v>
      </c>
    </row>
    <row r="230" spans="2:12" ht="17.25" customHeight="1" x14ac:dyDescent="0.25">
      <c r="B230" s="715"/>
      <c r="C230" s="475" t="s">
        <v>228</v>
      </c>
      <c r="D230" s="476"/>
      <c r="E230" s="476"/>
      <c r="F230" s="476"/>
      <c r="G230" s="477"/>
      <c r="H230" s="478"/>
      <c r="I230" s="479"/>
      <c r="J230" s="479">
        <v>3</v>
      </c>
      <c r="K230" s="481">
        <v>20</v>
      </c>
      <c r="L230" s="482">
        <f t="shared" si="1"/>
        <v>23</v>
      </c>
    </row>
    <row r="231" spans="2:12" ht="17.25" customHeight="1" x14ac:dyDescent="0.25">
      <c r="B231" s="409" t="s">
        <v>671</v>
      </c>
      <c r="C231" s="475" t="s">
        <v>671</v>
      </c>
      <c r="D231" s="483"/>
      <c r="E231" s="483"/>
      <c r="F231" s="483"/>
      <c r="G231" s="422"/>
      <c r="H231" s="422"/>
      <c r="I231" s="423"/>
      <c r="J231" s="423"/>
      <c r="K231" s="425"/>
      <c r="L231" s="484"/>
    </row>
    <row r="232" spans="2:12" ht="17.25" customHeight="1" x14ac:dyDescent="0.25">
      <c r="B232" s="485" t="s">
        <v>672</v>
      </c>
      <c r="C232" s="475" t="s">
        <v>633</v>
      </c>
      <c r="D232" s="483"/>
      <c r="E232" s="483"/>
      <c r="F232" s="483"/>
      <c r="G232" s="422"/>
      <c r="H232" s="422"/>
      <c r="I232" s="423"/>
      <c r="J232" s="423"/>
      <c r="K232" s="425"/>
      <c r="L232" s="484"/>
    </row>
    <row r="233" spans="2:12" ht="17.25" customHeight="1" x14ac:dyDescent="0.25">
      <c r="B233" s="409" t="s">
        <v>673</v>
      </c>
      <c r="C233" s="475" t="s">
        <v>673</v>
      </c>
      <c r="D233" s="483"/>
      <c r="E233" s="483"/>
      <c r="F233" s="483"/>
      <c r="G233" s="422"/>
      <c r="H233" s="422"/>
      <c r="I233" s="423"/>
      <c r="J233" s="423"/>
      <c r="K233" s="425"/>
      <c r="L233" s="484"/>
    </row>
    <row r="234" spans="2:12" ht="17.25" customHeight="1" x14ac:dyDescent="0.25">
      <c r="B234" s="409" t="s">
        <v>674</v>
      </c>
      <c r="C234" s="475" t="s">
        <v>674</v>
      </c>
      <c r="D234" s="483"/>
      <c r="E234" s="483"/>
      <c r="F234" s="483"/>
      <c r="G234" s="422"/>
      <c r="H234" s="422"/>
      <c r="I234" s="423"/>
      <c r="J234" s="423"/>
      <c r="K234" s="425">
        <v>59</v>
      </c>
      <c r="L234" s="484"/>
    </row>
    <row r="235" spans="2:12" ht="17.25" customHeight="1" x14ac:dyDescent="0.25">
      <c r="B235" s="409" t="s">
        <v>675</v>
      </c>
      <c r="C235" s="475" t="s">
        <v>675</v>
      </c>
      <c r="D235" s="483"/>
      <c r="E235" s="483"/>
      <c r="F235" s="483"/>
      <c r="G235" s="422"/>
      <c r="H235" s="422"/>
      <c r="I235" s="423"/>
      <c r="J235" s="423"/>
      <c r="K235" s="425">
        <v>4834</v>
      </c>
      <c r="L235" s="484"/>
    </row>
    <row r="236" spans="2:12" ht="12" customHeight="1" x14ac:dyDescent="0.25">
      <c r="B236" s="674" t="s">
        <v>49</v>
      </c>
      <c r="C236" s="674"/>
      <c r="D236" s="486">
        <f>+SUM(D142:D230)</f>
        <v>1063790</v>
      </c>
      <c r="E236" s="486">
        <f t="shared" ref="E236:L236" si="2">+SUM(E142:E230)</f>
        <v>785338</v>
      </c>
      <c r="F236" s="486">
        <f t="shared" si="2"/>
        <v>864875</v>
      </c>
      <c r="G236" s="486">
        <f t="shared" si="2"/>
        <v>216081</v>
      </c>
      <c r="H236" s="486">
        <f t="shared" si="2"/>
        <v>481226</v>
      </c>
      <c r="I236" s="486">
        <f t="shared" si="2"/>
        <v>496975</v>
      </c>
      <c r="J236" s="486">
        <f t="shared" si="2"/>
        <v>3239411</v>
      </c>
      <c r="K236" s="486">
        <f t="shared" si="2"/>
        <v>793456</v>
      </c>
      <c r="L236" s="486">
        <f t="shared" si="2"/>
        <v>7941152</v>
      </c>
    </row>
    <row r="237" spans="2:12" ht="12" customHeight="1" x14ac:dyDescent="0.25">
      <c r="B237" s="184"/>
      <c r="C237" s="56"/>
      <c r="D237" s="189"/>
      <c r="E237" s="189"/>
      <c r="F237" s="189"/>
      <c r="G237" s="190"/>
      <c r="H237" s="189"/>
      <c r="I237" s="181"/>
      <c r="J237" s="181"/>
      <c r="K237" s="181"/>
    </row>
    <row r="238" spans="2:12" ht="27" customHeight="1" x14ac:dyDescent="0.25">
      <c r="B238" s="675" t="s">
        <v>791</v>
      </c>
      <c r="C238" s="675"/>
      <c r="D238" s="675"/>
      <c r="E238" s="675"/>
      <c r="F238" s="675"/>
      <c r="G238" s="675"/>
      <c r="H238" s="675"/>
      <c r="I238" s="675"/>
      <c r="J238" s="675"/>
      <c r="K238" s="181"/>
    </row>
    <row r="239" spans="2:12" s="75" customFormat="1" ht="23.25" customHeight="1" x14ac:dyDescent="0.25">
      <c r="B239" s="716" t="s">
        <v>465</v>
      </c>
      <c r="C239" s="716"/>
      <c r="D239" s="716"/>
      <c r="E239" s="716"/>
      <c r="F239" s="716"/>
      <c r="G239" s="716"/>
      <c r="H239" s="716"/>
      <c r="I239" s="716"/>
      <c r="J239" s="716"/>
      <c r="K239" s="160"/>
    </row>
    <row r="240" spans="2:12" ht="13.5" customHeight="1" x14ac:dyDescent="0.25">
      <c r="B240" s="717" t="s">
        <v>466</v>
      </c>
      <c r="C240" s="717"/>
      <c r="D240" s="717"/>
      <c r="E240" s="717"/>
      <c r="F240" s="717"/>
      <c r="G240" s="717"/>
      <c r="H240" s="717"/>
      <c r="I240" s="717"/>
      <c r="J240" s="192"/>
      <c r="K240" s="160"/>
    </row>
    <row r="241" spans="2:12" ht="23.25" customHeight="1" x14ac:dyDescent="0.25">
      <c r="B241" s="710" t="s">
        <v>467</v>
      </c>
      <c r="C241" s="710"/>
      <c r="D241" s="710"/>
      <c r="E241" s="710"/>
      <c r="F241" s="710"/>
      <c r="G241" s="710"/>
      <c r="H241" s="710"/>
      <c r="I241" s="710"/>
      <c r="J241" s="160"/>
      <c r="K241" s="160"/>
    </row>
    <row r="242" spans="2:12" ht="23.25" customHeight="1" x14ac:dyDescent="0.25">
      <c r="B242" s="162"/>
      <c r="C242" s="160"/>
      <c r="D242" s="162"/>
      <c r="E242" s="162"/>
      <c r="F242" s="162"/>
      <c r="G242" s="193"/>
      <c r="H242" s="194"/>
      <c r="I242" s="160"/>
      <c r="J242" s="160"/>
      <c r="K242" s="160"/>
    </row>
    <row r="243" spans="2:12" ht="23.25" customHeight="1" x14ac:dyDescent="0.25">
      <c r="B243" s="788" t="s">
        <v>834</v>
      </c>
      <c r="C243" s="788"/>
      <c r="D243" s="788"/>
      <c r="E243" s="788"/>
      <c r="F243" s="788"/>
      <c r="G243" s="788"/>
      <c r="H243" s="788"/>
      <c r="I243" s="788"/>
      <c r="J243" s="788"/>
      <c r="K243" s="160"/>
    </row>
    <row r="244" spans="2:12" ht="23.25" customHeight="1" x14ac:dyDescent="0.25">
      <c r="B244" s="789" t="s">
        <v>512</v>
      </c>
      <c r="C244" s="790">
        <v>2018</v>
      </c>
      <c r="D244" s="790">
        <v>2019</v>
      </c>
      <c r="E244" s="790">
        <v>2021</v>
      </c>
      <c r="F244" s="790">
        <v>2022</v>
      </c>
      <c r="G244" s="790">
        <v>2023</v>
      </c>
      <c r="H244" s="790">
        <v>2024</v>
      </c>
      <c r="I244" s="790">
        <v>2025</v>
      </c>
      <c r="J244" s="791" t="s">
        <v>49</v>
      </c>
      <c r="K244" s="160"/>
    </row>
    <row r="245" spans="2:12" ht="12.75" customHeight="1" x14ac:dyDescent="0.25">
      <c r="B245" s="792" t="s">
        <v>621</v>
      </c>
      <c r="C245" s="793">
        <v>15716</v>
      </c>
      <c r="D245" s="793">
        <v>5152</v>
      </c>
      <c r="E245" s="793">
        <v>28579</v>
      </c>
      <c r="F245" s="794">
        <v>24530</v>
      </c>
      <c r="G245" s="794">
        <v>16284</v>
      </c>
      <c r="H245" s="794">
        <v>36594</v>
      </c>
      <c r="I245" s="794">
        <v>13568</v>
      </c>
      <c r="J245" s="410">
        <f>+SUM(C245:I245)</f>
        <v>140423</v>
      </c>
      <c r="K245" s="160"/>
    </row>
    <row r="246" spans="2:12" ht="33.75" customHeight="1" x14ac:dyDescent="0.25">
      <c r="B246" s="796" t="s">
        <v>797</v>
      </c>
      <c r="C246" s="575">
        <v>93</v>
      </c>
      <c r="D246" s="575">
        <v>79</v>
      </c>
      <c r="E246" s="575">
        <v>441</v>
      </c>
      <c r="F246" s="576"/>
      <c r="G246" s="576">
        <v>122</v>
      </c>
      <c r="H246" s="577">
        <v>171</v>
      </c>
      <c r="I246" s="578">
        <v>86</v>
      </c>
      <c r="J246" s="410">
        <f t="shared" ref="J246:J249" si="3">+SUM(C246:I246)</f>
        <v>992</v>
      </c>
      <c r="K246" s="160"/>
    </row>
    <row r="247" spans="2:12" ht="33.75" customHeight="1" x14ac:dyDescent="0.25">
      <c r="B247" s="797" t="s">
        <v>798</v>
      </c>
      <c r="C247" s="575">
        <v>128</v>
      </c>
      <c r="D247" s="575">
        <v>87</v>
      </c>
      <c r="E247" s="575">
        <v>788</v>
      </c>
      <c r="F247" s="576"/>
      <c r="G247" s="576">
        <v>303</v>
      </c>
      <c r="H247" s="577">
        <v>354</v>
      </c>
      <c r="I247" s="578">
        <v>311</v>
      </c>
      <c r="J247" s="410">
        <f t="shared" si="3"/>
        <v>1971</v>
      </c>
      <c r="K247" s="160"/>
    </row>
    <row r="248" spans="2:12" ht="33.75" customHeight="1" x14ac:dyDescent="0.25">
      <c r="B248" s="798" t="s">
        <v>799</v>
      </c>
      <c r="C248" s="575">
        <v>399</v>
      </c>
      <c r="D248" s="575">
        <v>83</v>
      </c>
      <c r="E248" s="575">
        <v>56</v>
      </c>
      <c r="F248" s="576"/>
      <c r="G248" s="576">
        <v>503</v>
      </c>
      <c r="H248" s="577">
        <v>29</v>
      </c>
      <c r="I248" s="578">
        <v>184</v>
      </c>
      <c r="J248" s="410">
        <f t="shared" si="3"/>
        <v>1254</v>
      </c>
      <c r="K248" s="160"/>
    </row>
    <row r="249" spans="2:12" ht="33.75" customHeight="1" x14ac:dyDescent="0.25">
      <c r="B249" s="795" t="s">
        <v>800</v>
      </c>
      <c r="C249" s="575"/>
      <c r="D249" s="575"/>
      <c r="E249" s="575"/>
      <c r="F249" s="576"/>
      <c r="G249" s="576">
        <v>188</v>
      </c>
      <c r="H249" s="577">
        <v>163</v>
      </c>
      <c r="I249" s="578">
        <v>183</v>
      </c>
      <c r="J249" s="410">
        <f t="shared" si="3"/>
        <v>534</v>
      </c>
      <c r="K249" s="160"/>
    </row>
    <row r="250" spans="2:12" ht="23.25" customHeight="1" x14ac:dyDescent="0.25">
      <c r="B250" s="162"/>
      <c r="C250" s="160"/>
      <c r="D250" s="162"/>
      <c r="E250" s="162"/>
      <c r="F250" s="162"/>
      <c r="G250" s="193"/>
      <c r="H250" s="194"/>
      <c r="I250" s="160"/>
      <c r="J250" s="160"/>
      <c r="K250" s="160"/>
    </row>
    <row r="251" spans="2:12" ht="23.25" customHeight="1" x14ac:dyDescent="0.25">
      <c r="B251" s="407" t="s">
        <v>520</v>
      </c>
      <c r="C251" s="407" t="s">
        <v>519</v>
      </c>
      <c r="D251" s="407" t="s">
        <v>521</v>
      </c>
      <c r="E251" s="408">
        <v>2018</v>
      </c>
      <c r="F251" s="408">
        <v>2019</v>
      </c>
      <c r="G251" s="408">
        <v>2021</v>
      </c>
      <c r="H251" s="408">
        <v>2022</v>
      </c>
      <c r="I251" s="408">
        <v>2023</v>
      </c>
      <c r="J251" s="408">
        <v>2024</v>
      </c>
      <c r="K251" s="408">
        <v>2025</v>
      </c>
      <c r="L251" s="408" t="s">
        <v>49</v>
      </c>
    </row>
    <row r="252" spans="2:12" ht="30" customHeight="1" x14ac:dyDescent="0.25">
      <c r="B252" s="807" t="s">
        <v>621</v>
      </c>
      <c r="C252" s="807" t="s">
        <v>820</v>
      </c>
      <c r="D252" s="807" t="s">
        <v>615</v>
      </c>
      <c r="E252" s="807"/>
      <c r="F252" s="808"/>
      <c r="G252" s="807"/>
      <c r="H252" s="809"/>
      <c r="I252" s="809">
        <v>470</v>
      </c>
      <c r="J252" s="809">
        <v>67</v>
      </c>
      <c r="K252" s="809">
        <v>9</v>
      </c>
      <c r="L252" s="799">
        <f>+SUM(E252:K252)</f>
        <v>546</v>
      </c>
    </row>
    <row r="253" spans="2:12" ht="30" customHeight="1" x14ac:dyDescent="0.25">
      <c r="B253" s="807" t="s">
        <v>621</v>
      </c>
      <c r="C253" s="807" t="s">
        <v>820</v>
      </c>
      <c r="D253" s="807" t="s">
        <v>614</v>
      </c>
      <c r="E253" s="807"/>
      <c r="F253" s="808"/>
      <c r="G253" s="807"/>
      <c r="H253" s="809"/>
      <c r="I253" s="809">
        <v>479</v>
      </c>
      <c r="J253" s="809">
        <v>20</v>
      </c>
      <c r="K253" s="809">
        <v>9</v>
      </c>
      <c r="L253" s="799">
        <f t="shared" ref="L253:L316" si="4">+SUM(E253:K253)</f>
        <v>508</v>
      </c>
    </row>
    <row r="254" spans="2:12" ht="30" customHeight="1" x14ac:dyDescent="0.25">
      <c r="B254" s="807" t="s">
        <v>621</v>
      </c>
      <c r="C254" s="807" t="s">
        <v>820</v>
      </c>
      <c r="D254" s="807" t="s">
        <v>632</v>
      </c>
      <c r="E254" s="807">
        <v>210</v>
      </c>
      <c r="F254" s="808">
        <v>17</v>
      </c>
      <c r="G254" s="807">
        <v>0</v>
      </c>
      <c r="H254" s="809"/>
      <c r="I254" s="809"/>
      <c r="J254" s="809"/>
      <c r="K254" s="809"/>
      <c r="L254" s="799">
        <f t="shared" si="4"/>
        <v>227</v>
      </c>
    </row>
    <row r="255" spans="2:12" ht="30" customHeight="1" x14ac:dyDescent="0.25">
      <c r="B255" s="807" t="s">
        <v>621</v>
      </c>
      <c r="C255" s="807" t="s">
        <v>820</v>
      </c>
      <c r="D255" s="807" t="s">
        <v>632</v>
      </c>
      <c r="E255" s="807">
        <v>21</v>
      </c>
      <c r="F255" s="808">
        <v>1</v>
      </c>
      <c r="G255" s="807">
        <v>0</v>
      </c>
      <c r="H255" s="809"/>
      <c r="I255" s="809"/>
      <c r="J255" s="809"/>
      <c r="K255" s="809">
        <v>63</v>
      </c>
      <c r="L255" s="799">
        <f t="shared" si="4"/>
        <v>85</v>
      </c>
    </row>
    <row r="256" spans="2:12" ht="30" customHeight="1" x14ac:dyDescent="0.25">
      <c r="B256" s="807" t="s">
        <v>621</v>
      </c>
      <c r="C256" s="807" t="s">
        <v>820</v>
      </c>
      <c r="D256" s="807" t="s">
        <v>614</v>
      </c>
      <c r="E256" s="807">
        <v>17</v>
      </c>
      <c r="F256" s="808">
        <v>19</v>
      </c>
      <c r="G256" s="807">
        <v>38</v>
      </c>
      <c r="H256" s="809"/>
      <c r="I256" s="809"/>
      <c r="J256" s="809"/>
      <c r="K256" s="809"/>
      <c r="L256" s="799">
        <f t="shared" si="4"/>
        <v>74</v>
      </c>
    </row>
    <row r="257" spans="2:12" ht="30" customHeight="1" x14ac:dyDescent="0.25">
      <c r="B257" s="800" t="s">
        <v>621</v>
      </c>
      <c r="C257" s="807" t="s">
        <v>820</v>
      </c>
      <c r="D257" s="807" t="s">
        <v>616</v>
      </c>
      <c r="E257" s="807"/>
      <c r="F257" s="808"/>
      <c r="G257" s="807"/>
      <c r="H257" s="809"/>
      <c r="I257" s="809">
        <v>6</v>
      </c>
      <c r="J257" s="809">
        <v>6</v>
      </c>
      <c r="K257" s="809">
        <v>28</v>
      </c>
      <c r="L257" s="799">
        <f t="shared" si="4"/>
        <v>40</v>
      </c>
    </row>
    <row r="258" spans="2:12" ht="30" customHeight="1" x14ac:dyDescent="0.25">
      <c r="B258" s="807" t="s">
        <v>621</v>
      </c>
      <c r="C258" s="807" t="s">
        <v>820</v>
      </c>
      <c r="D258" s="807" t="s">
        <v>830</v>
      </c>
      <c r="E258" s="807"/>
      <c r="F258" s="808"/>
      <c r="G258" s="807"/>
      <c r="H258" s="809"/>
      <c r="I258" s="809">
        <v>1</v>
      </c>
      <c r="J258" s="809">
        <v>1</v>
      </c>
      <c r="K258" s="809">
        <v>27</v>
      </c>
      <c r="L258" s="799">
        <f t="shared" si="4"/>
        <v>29</v>
      </c>
    </row>
    <row r="259" spans="2:12" ht="30" customHeight="1" x14ac:dyDescent="0.25">
      <c r="B259" s="807" t="s">
        <v>621</v>
      </c>
      <c r="C259" s="807" t="s">
        <v>820</v>
      </c>
      <c r="D259" s="807" t="s">
        <v>832</v>
      </c>
      <c r="E259" s="807"/>
      <c r="F259" s="808"/>
      <c r="G259" s="807"/>
      <c r="H259" s="809"/>
      <c r="I259" s="809"/>
      <c r="J259" s="809"/>
      <c r="K259" s="809">
        <v>28</v>
      </c>
      <c r="L259" s="799">
        <f t="shared" si="4"/>
        <v>28</v>
      </c>
    </row>
    <row r="260" spans="2:12" ht="30" customHeight="1" x14ac:dyDescent="0.25">
      <c r="B260" s="807" t="s">
        <v>621</v>
      </c>
      <c r="C260" s="807" t="s">
        <v>820</v>
      </c>
      <c r="D260" s="807" t="s">
        <v>612</v>
      </c>
      <c r="E260" s="807">
        <v>7</v>
      </c>
      <c r="F260" s="808">
        <v>5</v>
      </c>
      <c r="G260" s="807">
        <v>0</v>
      </c>
      <c r="H260" s="809"/>
      <c r="I260" s="809">
        <v>9</v>
      </c>
      <c r="J260" s="809">
        <v>1</v>
      </c>
      <c r="K260" s="809"/>
      <c r="L260" s="799">
        <f t="shared" si="4"/>
        <v>22</v>
      </c>
    </row>
    <row r="261" spans="2:12" ht="30" customHeight="1" x14ac:dyDescent="0.25">
      <c r="B261" s="807" t="s">
        <v>621</v>
      </c>
      <c r="C261" s="807" t="s">
        <v>820</v>
      </c>
      <c r="D261" s="807" t="s">
        <v>617</v>
      </c>
      <c r="E261" s="807"/>
      <c r="F261" s="808"/>
      <c r="G261" s="807"/>
      <c r="H261" s="809"/>
      <c r="I261" s="809">
        <v>14</v>
      </c>
      <c r="J261" s="809">
        <v>3</v>
      </c>
      <c r="K261" s="809"/>
      <c r="L261" s="799">
        <f t="shared" si="4"/>
        <v>17</v>
      </c>
    </row>
    <row r="262" spans="2:12" ht="30" customHeight="1" x14ac:dyDescent="0.25">
      <c r="B262" s="807" t="s">
        <v>621</v>
      </c>
      <c r="C262" s="807" t="s">
        <v>820</v>
      </c>
      <c r="D262" s="807" t="s">
        <v>611</v>
      </c>
      <c r="E262" s="807"/>
      <c r="F262" s="808"/>
      <c r="G262" s="807">
        <v>6</v>
      </c>
      <c r="H262" s="809"/>
      <c r="I262" s="809">
        <v>5</v>
      </c>
      <c r="J262" s="809"/>
      <c r="K262" s="809">
        <v>5</v>
      </c>
      <c r="L262" s="799">
        <f t="shared" si="4"/>
        <v>16</v>
      </c>
    </row>
    <row r="263" spans="2:12" ht="30" customHeight="1" x14ac:dyDescent="0.25">
      <c r="B263" s="807" t="s">
        <v>621</v>
      </c>
      <c r="C263" s="807" t="s">
        <v>820</v>
      </c>
      <c r="D263" s="807" t="s">
        <v>807</v>
      </c>
      <c r="E263" s="807">
        <v>14</v>
      </c>
      <c r="F263" s="808"/>
      <c r="G263" s="807">
        <v>0</v>
      </c>
      <c r="H263" s="809"/>
      <c r="I263" s="809"/>
      <c r="J263" s="809"/>
      <c r="K263" s="809"/>
      <c r="L263" s="799">
        <f t="shared" si="4"/>
        <v>14</v>
      </c>
    </row>
    <row r="264" spans="2:12" ht="30" customHeight="1" x14ac:dyDescent="0.25">
      <c r="B264" s="800" t="s">
        <v>621</v>
      </c>
      <c r="C264" s="807" t="s">
        <v>820</v>
      </c>
      <c r="D264" s="807" t="s">
        <v>815</v>
      </c>
      <c r="E264" s="807">
        <v>13</v>
      </c>
      <c r="F264" s="808">
        <v>1</v>
      </c>
      <c r="G264" s="807">
        <v>0</v>
      </c>
      <c r="H264" s="809"/>
      <c r="I264" s="809"/>
      <c r="J264" s="809"/>
      <c r="K264" s="809"/>
      <c r="L264" s="799">
        <f t="shared" si="4"/>
        <v>14</v>
      </c>
    </row>
    <row r="265" spans="2:12" ht="30" customHeight="1" x14ac:dyDescent="0.25">
      <c r="B265" s="807" t="s">
        <v>621</v>
      </c>
      <c r="C265" s="807" t="s">
        <v>820</v>
      </c>
      <c r="D265" s="807" t="s">
        <v>610</v>
      </c>
      <c r="E265" s="807">
        <v>12</v>
      </c>
      <c r="F265" s="808"/>
      <c r="G265" s="807">
        <v>0</v>
      </c>
      <c r="H265" s="809"/>
      <c r="I265" s="809"/>
      <c r="J265" s="809"/>
      <c r="K265" s="809"/>
      <c r="L265" s="799">
        <f t="shared" si="4"/>
        <v>12</v>
      </c>
    </row>
    <row r="266" spans="2:12" ht="30" customHeight="1" x14ac:dyDescent="0.25">
      <c r="B266" s="807" t="s">
        <v>621</v>
      </c>
      <c r="C266" s="807" t="s">
        <v>820</v>
      </c>
      <c r="D266" s="807" t="s">
        <v>620</v>
      </c>
      <c r="E266" s="807"/>
      <c r="F266" s="808"/>
      <c r="G266" s="807"/>
      <c r="H266" s="809"/>
      <c r="I266" s="809">
        <v>3</v>
      </c>
      <c r="J266" s="809">
        <v>5</v>
      </c>
      <c r="K266" s="809">
        <v>3</v>
      </c>
      <c r="L266" s="799">
        <f t="shared" si="4"/>
        <v>11</v>
      </c>
    </row>
    <row r="267" spans="2:12" ht="30" customHeight="1" x14ac:dyDescent="0.25">
      <c r="B267" s="800" t="s">
        <v>621</v>
      </c>
      <c r="C267" s="807" t="s">
        <v>820</v>
      </c>
      <c r="D267" s="807" t="s">
        <v>615</v>
      </c>
      <c r="E267" s="807">
        <v>5</v>
      </c>
      <c r="F267" s="808">
        <v>5</v>
      </c>
      <c r="G267" s="807">
        <v>0</v>
      </c>
      <c r="H267" s="809"/>
      <c r="I267" s="809"/>
      <c r="J267" s="809"/>
      <c r="K267" s="809"/>
      <c r="L267" s="799">
        <f t="shared" si="4"/>
        <v>10</v>
      </c>
    </row>
    <row r="268" spans="2:12" ht="30" customHeight="1" x14ac:dyDescent="0.25">
      <c r="B268" s="800" t="s">
        <v>621</v>
      </c>
      <c r="C268" s="807" t="s">
        <v>820</v>
      </c>
      <c r="D268" s="807" t="s">
        <v>812</v>
      </c>
      <c r="E268" s="807">
        <v>10</v>
      </c>
      <c r="F268" s="808"/>
      <c r="G268" s="807">
        <v>0</v>
      </c>
      <c r="H268" s="809"/>
      <c r="I268" s="809"/>
      <c r="J268" s="809"/>
      <c r="K268" s="809"/>
      <c r="L268" s="799">
        <f t="shared" si="4"/>
        <v>10</v>
      </c>
    </row>
    <row r="269" spans="2:12" ht="30" customHeight="1" x14ac:dyDescent="0.25">
      <c r="B269" s="800" t="s">
        <v>621</v>
      </c>
      <c r="C269" s="807" t="s">
        <v>820</v>
      </c>
      <c r="D269" s="807" t="s">
        <v>721</v>
      </c>
      <c r="E269" s="807">
        <v>9</v>
      </c>
      <c r="F269" s="808"/>
      <c r="G269" s="807">
        <v>0</v>
      </c>
      <c r="H269" s="809"/>
      <c r="I269" s="809"/>
      <c r="J269" s="809"/>
      <c r="K269" s="809"/>
      <c r="L269" s="799">
        <f t="shared" si="4"/>
        <v>9</v>
      </c>
    </row>
    <row r="270" spans="2:12" ht="30" customHeight="1" x14ac:dyDescent="0.25">
      <c r="B270" s="807" t="s">
        <v>621</v>
      </c>
      <c r="C270" s="807" t="s">
        <v>820</v>
      </c>
      <c r="D270" s="807" t="s">
        <v>813</v>
      </c>
      <c r="E270" s="807">
        <v>4</v>
      </c>
      <c r="F270" s="808"/>
      <c r="G270" s="807">
        <v>4</v>
      </c>
      <c r="H270" s="809"/>
      <c r="I270" s="809"/>
      <c r="J270" s="809"/>
      <c r="K270" s="809"/>
      <c r="L270" s="799">
        <f t="shared" si="4"/>
        <v>8</v>
      </c>
    </row>
    <row r="271" spans="2:12" ht="30" customHeight="1" x14ac:dyDescent="0.25">
      <c r="B271" s="807" t="s">
        <v>621</v>
      </c>
      <c r="C271" s="807" t="s">
        <v>820</v>
      </c>
      <c r="D271" s="807" t="s">
        <v>616</v>
      </c>
      <c r="E271" s="807">
        <v>7</v>
      </c>
      <c r="F271" s="808"/>
      <c r="G271" s="807">
        <v>0</v>
      </c>
      <c r="H271" s="809"/>
      <c r="I271" s="809"/>
      <c r="J271" s="809"/>
      <c r="K271" s="809"/>
      <c r="L271" s="799">
        <f t="shared" si="4"/>
        <v>7</v>
      </c>
    </row>
    <row r="272" spans="2:12" ht="30" customHeight="1" x14ac:dyDescent="0.25">
      <c r="B272" s="800" t="s">
        <v>621</v>
      </c>
      <c r="C272" s="807" t="s">
        <v>820</v>
      </c>
      <c r="D272" s="807" t="s">
        <v>613</v>
      </c>
      <c r="E272" s="807"/>
      <c r="F272" s="808"/>
      <c r="G272" s="807"/>
      <c r="H272" s="809"/>
      <c r="I272" s="809">
        <v>1</v>
      </c>
      <c r="J272" s="809"/>
      <c r="K272" s="809">
        <v>6</v>
      </c>
      <c r="L272" s="799">
        <f t="shared" si="4"/>
        <v>7</v>
      </c>
    </row>
    <row r="273" spans="2:12" ht="30" customHeight="1" x14ac:dyDescent="0.25">
      <c r="B273" s="800" t="s">
        <v>621</v>
      </c>
      <c r="C273" s="807" t="s">
        <v>820</v>
      </c>
      <c r="D273" s="807" t="s">
        <v>618</v>
      </c>
      <c r="E273" s="807"/>
      <c r="F273" s="808"/>
      <c r="G273" s="807"/>
      <c r="H273" s="809"/>
      <c r="I273" s="809">
        <v>5</v>
      </c>
      <c r="J273" s="809">
        <v>2</v>
      </c>
      <c r="K273" s="809"/>
      <c r="L273" s="799">
        <f t="shared" si="4"/>
        <v>7</v>
      </c>
    </row>
    <row r="274" spans="2:12" ht="30" customHeight="1" x14ac:dyDescent="0.25">
      <c r="B274" s="800" t="s">
        <v>621</v>
      </c>
      <c r="C274" s="807" t="s">
        <v>820</v>
      </c>
      <c r="D274" s="807" t="s">
        <v>818</v>
      </c>
      <c r="E274" s="807">
        <v>1</v>
      </c>
      <c r="F274" s="808">
        <v>5</v>
      </c>
      <c r="G274" s="807">
        <v>0</v>
      </c>
      <c r="H274" s="809"/>
      <c r="I274" s="809"/>
      <c r="J274" s="809"/>
      <c r="K274" s="809"/>
      <c r="L274" s="799">
        <f t="shared" si="4"/>
        <v>6</v>
      </c>
    </row>
    <row r="275" spans="2:12" ht="30" customHeight="1" x14ac:dyDescent="0.25">
      <c r="B275" s="800" t="s">
        <v>621</v>
      </c>
      <c r="C275" s="807" t="s">
        <v>820</v>
      </c>
      <c r="D275" s="807" t="s">
        <v>809</v>
      </c>
      <c r="E275" s="807"/>
      <c r="F275" s="808">
        <v>6</v>
      </c>
      <c r="G275" s="807">
        <v>0</v>
      </c>
      <c r="H275" s="809"/>
      <c r="I275" s="809"/>
      <c r="J275" s="809"/>
      <c r="K275" s="809"/>
      <c r="L275" s="799">
        <f t="shared" si="4"/>
        <v>6</v>
      </c>
    </row>
    <row r="276" spans="2:12" ht="30" customHeight="1" x14ac:dyDescent="0.25">
      <c r="B276" s="800" t="s">
        <v>621</v>
      </c>
      <c r="C276" s="807" t="s">
        <v>820</v>
      </c>
      <c r="D276" s="807" t="s">
        <v>792</v>
      </c>
      <c r="E276" s="807"/>
      <c r="F276" s="808"/>
      <c r="G276" s="807"/>
      <c r="H276" s="809"/>
      <c r="I276" s="809">
        <v>6</v>
      </c>
      <c r="J276" s="809"/>
      <c r="K276" s="809"/>
      <c r="L276" s="799">
        <f t="shared" si="4"/>
        <v>6</v>
      </c>
    </row>
    <row r="277" spans="2:12" ht="30" customHeight="1" x14ac:dyDescent="0.25">
      <c r="B277" s="800" t="s">
        <v>621</v>
      </c>
      <c r="C277" s="807" t="s">
        <v>820</v>
      </c>
      <c r="D277" s="807" t="s">
        <v>824</v>
      </c>
      <c r="E277" s="807">
        <v>5</v>
      </c>
      <c r="F277" s="808"/>
      <c r="G277" s="807">
        <v>0</v>
      </c>
      <c r="H277" s="809"/>
      <c r="I277" s="809"/>
      <c r="J277" s="809"/>
      <c r="K277" s="809"/>
      <c r="L277" s="799">
        <f t="shared" si="4"/>
        <v>5</v>
      </c>
    </row>
    <row r="278" spans="2:12" ht="30" customHeight="1" x14ac:dyDescent="0.25">
      <c r="B278" s="800" t="s">
        <v>621</v>
      </c>
      <c r="C278" s="807" t="s">
        <v>820</v>
      </c>
      <c r="D278" s="807" t="s">
        <v>809</v>
      </c>
      <c r="E278" s="807"/>
      <c r="F278" s="808">
        <v>4</v>
      </c>
      <c r="G278" s="807">
        <v>0</v>
      </c>
      <c r="H278" s="809"/>
      <c r="I278" s="809"/>
      <c r="J278" s="809"/>
      <c r="K278" s="809"/>
      <c r="L278" s="799">
        <f t="shared" si="4"/>
        <v>4</v>
      </c>
    </row>
    <row r="279" spans="2:12" ht="30" customHeight="1" x14ac:dyDescent="0.25">
      <c r="B279" s="800" t="s">
        <v>621</v>
      </c>
      <c r="C279" s="807" t="s">
        <v>820</v>
      </c>
      <c r="D279" s="807" t="s">
        <v>613</v>
      </c>
      <c r="E279" s="807"/>
      <c r="F279" s="808"/>
      <c r="G279" s="807">
        <v>4</v>
      </c>
      <c r="H279" s="809"/>
      <c r="I279" s="809"/>
      <c r="J279" s="809"/>
      <c r="K279" s="809"/>
      <c r="L279" s="799">
        <f t="shared" si="4"/>
        <v>4</v>
      </c>
    </row>
    <row r="280" spans="2:12" ht="30" customHeight="1" x14ac:dyDescent="0.25">
      <c r="B280" s="800" t="s">
        <v>621</v>
      </c>
      <c r="C280" s="807" t="s">
        <v>820</v>
      </c>
      <c r="D280" s="807" t="s">
        <v>808</v>
      </c>
      <c r="E280" s="807">
        <v>4</v>
      </c>
      <c r="F280" s="808"/>
      <c r="G280" s="807">
        <v>0</v>
      </c>
      <c r="H280" s="809"/>
      <c r="I280" s="809"/>
      <c r="J280" s="809"/>
      <c r="K280" s="809"/>
      <c r="L280" s="799">
        <f t="shared" si="4"/>
        <v>4</v>
      </c>
    </row>
    <row r="281" spans="2:12" ht="30" customHeight="1" x14ac:dyDescent="0.25">
      <c r="B281" s="800" t="s">
        <v>621</v>
      </c>
      <c r="C281" s="807" t="s">
        <v>820</v>
      </c>
      <c r="D281" s="807" t="s">
        <v>828</v>
      </c>
      <c r="E281" s="807">
        <v>4</v>
      </c>
      <c r="F281" s="808"/>
      <c r="G281" s="807">
        <v>0</v>
      </c>
      <c r="H281" s="809"/>
      <c r="I281" s="809"/>
      <c r="J281" s="809"/>
      <c r="K281" s="809"/>
      <c r="L281" s="799">
        <f t="shared" si="4"/>
        <v>4</v>
      </c>
    </row>
    <row r="282" spans="2:12" ht="30" customHeight="1" x14ac:dyDescent="0.25">
      <c r="B282" s="800" t="s">
        <v>621</v>
      </c>
      <c r="C282" s="807" t="s">
        <v>820</v>
      </c>
      <c r="D282" s="807" t="s">
        <v>819</v>
      </c>
      <c r="E282" s="807">
        <v>3</v>
      </c>
      <c r="F282" s="808"/>
      <c r="G282" s="807">
        <v>0</v>
      </c>
      <c r="H282" s="809"/>
      <c r="I282" s="809"/>
      <c r="J282" s="809"/>
      <c r="K282" s="809"/>
      <c r="L282" s="799">
        <f t="shared" si="4"/>
        <v>3</v>
      </c>
    </row>
    <row r="283" spans="2:12" ht="30" customHeight="1" x14ac:dyDescent="0.25">
      <c r="B283" s="807" t="s">
        <v>621</v>
      </c>
      <c r="C283" s="807" t="s">
        <v>820</v>
      </c>
      <c r="D283" s="807" t="s">
        <v>822</v>
      </c>
      <c r="E283" s="807">
        <v>3</v>
      </c>
      <c r="F283" s="808"/>
      <c r="G283" s="807">
        <v>0</v>
      </c>
      <c r="H283" s="809"/>
      <c r="I283" s="809"/>
      <c r="J283" s="809"/>
      <c r="K283" s="809"/>
      <c r="L283" s="799">
        <f t="shared" si="4"/>
        <v>3</v>
      </c>
    </row>
    <row r="284" spans="2:12" ht="30" customHeight="1" x14ac:dyDescent="0.25">
      <c r="B284" s="807" t="s">
        <v>621</v>
      </c>
      <c r="C284" s="807" t="s">
        <v>820</v>
      </c>
      <c r="D284" s="807" t="s">
        <v>805</v>
      </c>
      <c r="E284" s="807"/>
      <c r="F284" s="808">
        <v>3</v>
      </c>
      <c r="G284" s="807">
        <v>0</v>
      </c>
      <c r="H284" s="809"/>
      <c r="I284" s="809"/>
      <c r="J284" s="809"/>
      <c r="K284" s="809"/>
      <c r="L284" s="799">
        <f t="shared" si="4"/>
        <v>3</v>
      </c>
    </row>
    <row r="285" spans="2:12" ht="30" customHeight="1" x14ac:dyDescent="0.25">
      <c r="B285" s="807" t="s">
        <v>621</v>
      </c>
      <c r="C285" s="807" t="s">
        <v>820</v>
      </c>
      <c r="D285" s="807" t="s">
        <v>811</v>
      </c>
      <c r="E285" s="807">
        <v>3</v>
      </c>
      <c r="F285" s="808"/>
      <c r="G285" s="807">
        <v>0</v>
      </c>
      <c r="H285" s="809"/>
      <c r="I285" s="809"/>
      <c r="J285" s="809"/>
      <c r="K285" s="809"/>
      <c r="L285" s="799">
        <f t="shared" si="4"/>
        <v>3</v>
      </c>
    </row>
    <row r="286" spans="2:12" ht="30" customHeight="1" x14ac:dyDescent="0.25">
      <c r="B286" s="807" t="s">
        <v>621</v>
      </c>
      <c r="C286" s="807" t="s">
        <v>820</v>
      </c>
      <c r="D286" s="807" t="s">
        <v>633</v>
      </c>
      <c r="E286" s="807">
        <v>3</v>
      </c>
      <c r="F286" s="808"/>
      <c r="G286" s="807">
        <v>0</v>
      </c>
      <c r="H286" s="809"/>
      <c r="I286" s="809"/>
      <c r="J286" s="809"/>
      <c r="K286" s="809"/>
      <c r="L286" s="799">
        <f t="shared" si="4"/>
        <v>3</v>
      </c>
    </row>
    <row r="287" spans="2:12" ht="30" customHeight="1" x14ac:dyDescent="0.25">
      <c r="B287" s="807" t="s">
        <v>621</v>
      </c>
      <c r="C287" s="807" t="s">
        <v>820</v>
      </c>
      <c r="D287" s="807" t="s">
        <v>821</v>
      </c>
      <c r="E287" s="807"/>
      <c r="F287" s="808">
        <v>2</v>
      </c>
      <c r="G287" s="807">
        <v>0</v>
      </c>
      <c r="H287" s="809"/>
      <c r="I287" s="809"/>
      <c r="J287" s="809"/>
      <c r="K287" s="809"/>
      <c r="L287" s="799">
        <f t="shared" si="4"/>
        <v>2</v>
      </c>
    </row>
    <row r="288" spans="2:12" ht="30" customHeight="1" x14ac:dyDescent="0.25">
      <c r="B288" s="807" t="s">
        <v>621</v>
      </c>
      <c r="C288" s="807" t="s">
        <v>820</v>
      </c>
      <c r="D288" s="807" t="s">
        <v>807</v>
      </c>
      <c r="E288" s="807">
        <v>2</v>
      </c>
      <c r="F288" s="808"/>
      <c r="G288" s="807">
        <v>0</v>
      </c>
      <c r="H288" s="809"/>
      <c r="I288" s="809"/>
      <c r="J288" s="809"/>
      <c r="K288" s="809"/>
      <c r="L288" s="799">
        <f t="shared" si="4"/>
        <v>2</v>
      </c>
    </row>
    <row r="289" spans="2:12" ht="30" customHeight="1" x14ac:dyDescent="0.25">
      <c r="B289" s="807" t="s">
        <v>621</v>
      </c>
      <c r="C289" s="807" t="s">
        <v>820</v>
      </c>
      <c r="D289" s="807" t="s">
        <v>823</v>
      </c>
      <c r="E289" s="807"/>
      <c r="F289" s="808">
        <v>2</v>
      </c>
      <c r="G289" s="807">
        <v>0</v>
      </c>
      <c r="H289" s="809"/>
      <c r="I289" s="809"/>
      <c r="J289" s="809"/>
      <c r="K289" s="809"/>
      <c r="L289" s="799">
        <f t="shared" si="4"/>
        <v>2</v>
      </c>
    </row>
    <row r="290" spans="2:12" ht="30" customHeight="1" x14ac:dyDescent="0.25">
      <c r="B290" s="807" t="s">
        <v>621</v>
      </c>
      <c r="C290" s="807" t="s">
        <v>820</v>
      </c>
      <c r="D290" s="807" t="s">
        <v>137</v>
      </c>
      <c r="E290" s="807"/>
      <c r="F290" s="808">
        <v>1</v>
      </c>
      <c r="G290" s="807">
        <v>1</v>
      </c>
      <c r="H290" s="809"/>
      <c r="I290" s="809"/>
      <c r="J290" s="809"/>
      <c r="K290" s="809"/>
      <c r="L290" s="799">
        <f t="shared" si="4"/>
        <v>2</v>
      </c>
    </row>
    <row r="291" spans="2:12" ht="30" customHeight="1" x14ac:dyDescent="0.25">
      <c r="B291" s="807" t="s">
        <v>621</v>
      </c>
      <c r="C291" s="807" t="s">
        <v>820</v>
      </c>
      <c r="D291" s="807" t="s">
        <v>812</v>
      </c>
      <c r="E291" s="807">
        <v>2</v>
      </c>
      <c r="F291" s="808"/>
      <c r="G291" s="807">
        <v>0</v>
      </c>
      <c r="H291" s="809"/>
      <c r="I291" s="809"/>
      <c r="J291" s="809"/>
      <c r="K291" s="809"/>
      <c r="L291" s="799">
        <f t="shared" si="4"/>
        <v>2</v>
      </c>
    </row>
    <row r="292" spans="2:12" ht="30" customHeight="1" x14ac:dyDescent="0.25">
      <c r="B292" s="807" t="s">
        <v>621</v>
      </c>
      <c r="C292" s="807" t="s">
        <v>820</v>
      </c>
      <c r="D292" s="807" t="s">
        <v>825</v>
      </c>
      <c r="E292" s="807">
        <v>2</v>
      </c>
      <c r="F292" s="808"/>
      <c r="G292" s="807">
        <v>0</v>
      </c>
      <c r="H292" s="809"/>
      <c r="I292" s="809"/>
      <c r="J292" s="809"/>
      <c r="K292" s="809"/>
      <c r="L292" s="799">
        <f t="shared" si="4"/>
        <v>2</v>
      </c>
    </row>
    <row r="293" spans="2:12" ht="30" customHeight="1" x14ac:dyDescent="0.25">
      <c r="B293" s="807" t="s">
        <v>621</v>
      </c>
      <c r="C293" s="807" t="s">
        <v>820</v>
      </c>
      <c r="D293" s="807" t="s">
        <v>826</v>
      </c>
      <c r="E293" s="807">
        <v>2</v>
      </c>
      <c r="F293" s="808"/>
      <c r="G293" s="807">
        <v>0</v>
      </c>
      <c r="H293" s="809"/>
      <c r="I293" s="809"/>
      <c r="J293" s="809"/>
      <c r="K293" s="809"/>
      <c r="L293" s="799">
        <f t="shared" si="4"/>
        <v>2</v>
      </c>
    </row>
    <row r="294" spans="2:12" ht="30" customHeight="1" x14ac:dyDescent="0.25">
      <c r="B294" s="807" t="s">
        <v>621</v>
      </c>
      <c r="C294" s="807" t="s">
        <v>820</v>
      </c>
      <c r="D294" s="807" t="s">
        <v>824</v>
      </c>
      <c r="E294" s="807">
        <v>2</v>
      </c>
      <c r="F294" s="808"/>
      <c r="G294" s="807">
        <v>0</v>
      </c>
      <c r="H294" s="809"/>
      <c r="I294" s="809"/>
      <c r="J294" s="809"/>
      <c r="K294" s="809"/>
      <c r="L294" s="799">
        <f t="shared" si="4"/>
        <v>2</v>
      </c>
    </row>
    <row r="295" spans="2:12" ht="30" customHeight="1" x14ac:dyDescent="0.25">
      <c r="B295" s="807" t="s">
        <v>621</v>
      </c>
      <c r="C295" s="807" t="s">
        <v>820</v>
      </c>
      <c r="D295" s="807" t="s">
        <v>810</v>
      </c>
      <c r="E295" s="807">
        <v>2</v>
      </c>
      <c r="F295" s="808"/>
      <c r="G295" s="807">
        <v>0</v>
      </c>
      <c r="H295" s="809"/>
      <c r="I295" s="809"/>
      <c r="J295" s="809"/>
      <c r="K295" s="809"/>
      <c r="L295" s="799">
        <f t="shared" si="4"/>
        <v>2</v>
      </c>
    </row>
    <row r="296" spans="2:12" ht="30" customHeight="1" x14ac:dyDescent="0.25">
      <c r="B296" s="807" t="s">
        <v>621</v>
      </c>
      <c r="C296" s="807" t="s">
        <v>820</v>
      </c>
      <c r="D296" s="807" t="s">
        <v>137</v>
      </c>
      <c r="E296" s="807"/>
      <c r="F296" s="808">
        <v>1</v>
      </c>
      <c r="G296" s="807">
        <v>1</v>
      </c>
      <c r="H296" s="809"/>
      <c r="I296" s="809"/>
      <c r="J296" s="809"/>
      <c r="K296" s="809"/>
      <c r="L296" s="799">
        <f t="shared" si="4"/>
        <v>2</v>
      </c>
    </row>
    <row r="297" spans="2:12" ht="30" customHeight="1" x14ac:dyDescent="0.25">
      <c r="B297" s="807" t="s">
        <v>621</v>
      </c>
      <c r="C297" s="807" t="s">
        <v>820</v>
      </c>
      <c r="D297" s="807" t="s">
        <v>827</v>
      </c>
      <c r="E297" s="807">
        <v>2</v>
      </c>
      <c r="F297" s="808"/>
      <c r="G297" s="807">
        <v>0</v>
      </c>
      <c r="H297" s="809"/>
      <c r="I297" s="809"/>
      <c r="J297" s="809"/>
      <c r="K297" s="809"/>
      <c r="L297" s="799">
        <f t="shared" si="4"/>
        <v>2</v>
      </c>
    </row>
    <row r="298" spans="2:12" ht="30" customHeight="1" x14ac:dyDescent="0.25">
      <c r="B298" s="807" t="s">
        <v>621</v>
      </c>
      <c r="C298" s="807" t="s">
        <v>820</v>
      </c>
      <c r="D298" s="807" t="s">
        <v>822</v>
      </c>
      <c r="E298" s="807">
        <v>1</v>
      </c>
      <c r="F298" s="808"/>
      <c r="G298" s="807">
        <v>0</v>
      </c>
      <c r="H298" s="809"/>
      <c r="I298" s="809"/>
      <c r="J298" s="809"/>
      <c r="K298" s="809"/>
      <c r="L298" s="799">
        <f t="shared" si="4"/>
        <v>1</v>
      </c>
    </row>
    <row r="299" spans="2:12" ht="30" customHeight="1" x14ac:dyDescent="0.25">
      <c r="B299" s="807" t="s">
        <v>621</v>
      </c>
      <c r="C299" s="807" t="s">
        <v>820</v>
      </c>
      <c r="D299" s="807" t="s">
        <v>719</v>
      </c>
      <c r="E299" s="807"/>
      <c r="F299" s="808">
        <v>1</v>
      </c>
      <c r="G299" s="807">
        <v>0</v>
      </c>
      <c r="H299" s="809"/>
      <c r="I299" s="809"/>
      <c r="J299" s="809"/>
      <c r="K299" s="809"/>
      <c r="L299" s="799">
        <f t="shared" si="4"/>
        <v>1</v>
      </c>
    </row>
    <row r="300" spans="2:12" ht="30" customHeight="1" x14ac:dyDescent="0.25">
      <c r="B300" s="807" t="s">
        <v>621</v>
      </c>
      <c r="C300" s="807" t="s">
        <v>820</v>
      </c>
      <c r="D300" s="807" t="s">
        <v>810</v>
      </c>
      <c r="E300" s="807">
        <v>1</v>
      </c>
      <c r="F300" s="808"/>
      <c r="G300" s="807">
        <v>0</v>
      </c>
      <c r="H300" s="809"/>
      <c r="I300" s="809"/>
      <c r="J300" s="809"/>
      <c r="K300" s="809"/>
      <c r="L300" s="799">
        <f t="shared" si="4"/>
        <v>1</v>
      </c>
    </row>
    <row r="301" spans="2:12" ht="30" customHeight="1" x14ac:dyDescent="0.25">
      <c r="B301" s="807" t="s">
        <v>621</v>
      </c>
      <c r="C301" s="807" t="s">
        <v>820</v>
      </c>
      <c r="D301" s="807" t="s">
        <v>811</v>
      </c>
      <c r="E301" s="807">
        <v>1</v>
      </c>
      <c r="F301" s="808"/>
      <c r="G301" s="807">
        <v>0</v>
      </c>
      <c r="H301" s="809"/>
      <c r="I301" s="809"/>
      <c r="J301" s="809"/>
      <c r="K301" s="809"/>
      <c r="L301" s="799">
        <f t="shared" si="4"/>
        <v>1</v>
      </c>
    </row>
    <row r="302" spans="2:12" ht="30" customHeight="1" x14ac:dyDescent="0.25">
      <c r="B302" s="807" t="s">
        <v>621</v>
      </c>
      <c r="C302" s="807" t="s">
        <v>820</v>
      </c>
      <c r="D302" s="807" t="s">
        <v>815</v>
      </c>
      <c r="E302" s="807"/>
      <c r="F302" s="808">
        <v>1</v>
      </c>
      <c r="G302" s="807">
        <v>0</v>
      </c>
      <c r="H302" s="809"/>
      <c r="I302" s="809"/>
      <c r="J302" s="809"/>
      <c r="K302" s="809"/>
      <c r="L302" s="799">
        <f t="shared" si="4"/>
        <v>1</v>
      </c>
    </row>
    <row r="303" spans="2:12" ht="30" customHeight="1" x14ac:dyDescent="0.25">
      <c r="B303" s="807" t="s">
        <v>621</v>
      </c>
      <c r="C303" s="807" t="s">
        <v>820</v>
      </c>
      <c r="D303" s="807" t="s">
        <v>782</v>
      </c>
      <c r="E303" s="807"/>
      <c r="F303" s="808"/>
      <c r="G303" s="807">
        <v>1</v>
      </c>
      <c r="H303" s="809"/>
      <c r="I303" s="809"/>
      <c r="J303" s="809"/>
      <c r="K303" s="809"/>
      <c r="L303" s="799">
        <f t="shared" si="4"/>
        <v>1</v>
      </c>
    </row>
    <row r="304" spans="2:12" ht="30" customHeight="1" x14ac:dyDescent="0.25">
      <c r="B304" s="807" t="s">
        <v>621</v>
      </c>
      <c r="C304" s="807" t="s">
        <v>820</v>
      </c>
      <c r="D304" s="807" t="s">
        <v>161</v>
      </c>
      <c r="E304" s="807">
        <v>1</v>
      </c>
      <c r="F304" s="808"/>
      <c r="G304" s="807">
        <v>0</v>
      </c>
      <c r="H304" s="809"/>
      <c r="I304" s="809"/>
      <c r="J304" s="809"/>
      <c r="K304" s="809"/>
      <c r="L304" s="799">
        <f t="shared" si="4"/>
        <v>1</v>
      </c>
    </row>
    <row r="305" spans="2:12" ht="30" customHeight="1" x14ac:dyDescent="0.25">
      <c r="B305" s="807" t="s">
        <v>621</v>
      </c>
      <c r="C305" s="807" t="s">
        <v>820</v>
      </c>
      <c r="D305" s="807" t="s">
        <v>806</v>
      </c>
      <c r="E305" s="807">
        <v>1</v>
      </c>
      <c r="F305" s="808"/>
      <c r="G305" s="807">
        <v>0</v>
      </c>
      <c r="H305" s="809"/>
      <c r="I305" s="809"/>
      <c r="J305" s="809"/>
      <c r="K305" s="809"/>
      <c r="L305" s="799">
        <f t="shared" si="4"/>
        <v>1</v>
      </c>
    </row>
    <row r="306" spans="2:12" ht="30" customHeight="1" x14ac:dyDescent="0.25">
      <c r="B306" s="807" t="s">
        <v>621</v>
      </c>
      <c r="C306" s="807" t="s">
        <v>820</v>
      </c>
      <c r="D306" s="807" t="s">
        <v>195</v>
      </c>
      <c r="E306" s="807">
        <v>1</v>
      </c>
      <c r="F306" s="808"/>
      <c r="G306" s="807">
        <v>0</v>
      </c>
      <c r="H306" s="809"/>
      <c r="I306" s="809"/>
      <c r="J306" s="809"/>
      <c r="K306" s="809"/>
      <c r="L306" s="799">
        <f t="shared" si="4"/>
        <v>1</v>
      </c>
    </row>
    <row r="307" spans="2:12" ht="30" customHeight="1" x14ac:dyDescent="0.25">
      <c r="B307" s="807" t="s">
        <v>621</v>
      </c>
      <c r="C307" s="807" t="s">
        <v>820</v>
      </c>
      <c r="D307" s="807" t="s">
        <v>814</v>
      </c>
      <c r="E307" s="807">
        <v>1</v>
      </c>
      <c r="F307" s="808"/>
      <c r="G307" s="807">
        <v>0</v>
      </c>
      <c r="H307" s="809"/>
      <c r="I307" s="809"/>
      <c r="J307" s="809"/>
      <c r="K307" s="809"/>
      <c r="L307" s="799">
        <f t="shared" si="4"/>
        <v>1</v>
      </c>
    </row>
    <row r="308" spans="2:12" ht="30" customHeight="1" x14ac:dyDescent="0.25">
      <c r="B308" s="807" t="s">
        <v>621</v>
      </c>
      <c r="C308" s="807" t="s">
        <v>820</v>
      </c>
      <c r="D308" s="807" t="s">
        <v>782</v>
      </c>
      <c r="E308" s="807"/>
      <c r="F308" s="808"/>
      <c r="G308" s="807">
        <v>1</v>
      </c>
      <c r="H308" s="809"/>
      <c r="I308" s="809"/>
      <c r="J308" s="809"/>
      <c r="K308" s="809"/>
      <c r="L308" s="799">
        <f t="shared" si="4"/>
        <v>1</v>
      </c>
    </row>
    <row r="309" spans="2:12" ht="30" customHeight="1" x14ac:dyDescent="0.25">
      <c r="B309" s="807" t="s">
        <v>621</v>
      </c>
      <c r="C309" s="807" t="s">
        <v>820</v>
      </c>
      <c r="D309" s="807" t="s">
        <v>793</v>
      </c>
      <c r="E309" s="807"/>
      <c r="F309" s="808"/>
      <c r="G309" s="807"/>
      <c r="H309" s="809"/>
      <c r="I309" s="809">
        <v>1</v>
      </c>
      <c r="J309" s="809"/>
      <c r="K309" s="809"/>
      <c r="L309" s="799">
        <f t="shared" si="4"/>
        <v>1</v>
      </c>
    </row>
    <row r="310" spans="2:12" ht="30" customHeight="1" x14ac:dyDescent="0.25">
      <c r="B310" s="807" t="s">
        <v>621</v>
      </c>
      <c r="C310" s="807" t="s">
        <v>816</v>
      </c>
      <c r="D310" s="807" t="s">
        <v>614</v>
      </c>
      <c r="E310" s="807"/>
      <c r="F310" s="808"/>
      <c r="G310" s="807"/>
      <c r="H310" s="809"/>
      <c r="I310" s="809">
        <v>192</v>
      </c>
      <c r="J310" s="809">
        <v>106</v>
      </c>
      <c r="K310" s="809">
        <v>55</v>
      </c>
      <c r="L310" s="799">
        <f t="shared" si="4"/>
        <v>353</v>
      </c>
    </row>
    <row r="311" spans="2:12" ht="30" customHeight="1" x14ac:dyDescent="0.25">
      <c r="B311" s="807" t="s">
        <v>621</v>
      </c>
      <c r="C311" s="807" t="s">
        <v>816</v>
      </c>
      <c r="D311" s="807" t="s">
        <v>614</v>
      </c>
      <c r="E311" s="807">
        <v>3</v>
      </c>
      <c r="F311" s="808">
        <v>9</v>
      </c>
      <c r="G311" s="807">
        <v>252</v>
      </c>
      <c r="H311" s="809"/>
      <c r="I311" s="809"/>
      <c r="J311" s="809"/>
      <c r="K311" s="809"/>
      <c r="L311" s="799">
        <f t="shared" si="4"/>
        <v>264</v>
      </c>
    </row>
    <row r="312" spans="2:12" ht="30" customHeight="1" x14ac:dyDescent="0.25">
      <c r="B312" s="807" t="s">
        <v>621</v>
      </c>
      <c r="C312" s="807" t="s">
        <v>816</v>
      </c>
      <c r="D312" s="807" t="s">
        <v>632</v>
      </c>
      <c r="E312" s="807">
        <v>62</v>
      </c>
      <c r="F312" s="808">
        <v>4</v>
      </c>
      <c r="G312" s="807">
        <v>0</v>
      </c>
      <c r="H312" s="809"/>
      <c r="I312" s="809"/>
      <c r="J312" s="809"/>
      <c r="K312" s="809">
        <v>150</v>
      </c>
      <c r="L312" s="799">
        <f t="shared" si="4"/>
        <v>216</v>
      </c>
    </row>
    <row r="313" spans="2:12" ht="30" customHeight="1" x14ac:dyDescent="0.25">
      <c r="B313" s="807" t="s">
        <v>621</v>
      </c>
      <c r="C313" s="807" t="s">
        <v>816</v>
      </c>
      <c r="D313" s="807" t="s">
        <v>616</v>
      </c>
      <c r="E313" s="807">
        <v>10</v>
      </c>
      <c r="F313" s="808">
        <v>11</v>
      </c>
      <c r="G313" s="807">
        <v>126</v>
      </c>
      <c r="H313" s="809"/>
      <c r="I313" s="809"/>
      <c r="J313" s="809"/>
      <c r="K313" s="809"/>
      <c r="L313" s="799">
        <f t="shared" si="4"/>
        <v>147</v>
      </c>
    </row>
    <row r="314" spans="2:12" ht="30" customHeight="1" x14ac:dyDescent="0.25">
      <c r="B314" s="807" t="s">
        <v>621</v>
      </c>
      <c r="C314" s="807" t="s">
        <v>816</v>
      </c>
      <c r="D314" s="807" t="s">
        <v>615</v>
      </c>
      <c r="E314" s="807"/>
      <c r="F314" s="808"/>
      <c r="G314" s="807"/>
      <c r="H314" s="809"/>
      <c r="I314" s="809">
        <v>2</v>
      </c>
      <c r="J314" s="809">
        <v>88</v>
      </c>
      <c r="K314" s="809">
        <v>45</v>
      </c>
      <c r="L314" s="799">
        <f t="shared" si="4"/>
        <v>135</v>
      </c>
    </row>
    <row r="315" spans="2:12" ht="30" customHeight="1" x14ac:dyDescent="0.25">
      <c r="B315" s="807" t="s">
        <v>621</v>
      </c>
      <c r="C315" s="807" t="s">
        <v>816</v>
      </c>
      <c r="D315" s="807" t="s">
        <v>615</v>
      </c>
      <c r="E315" s="807">
        <v>5</v>
      </c>
      <c r="F315" s="808">
        <v>12</v>
      </c>
      <c r="G315" s="807">
        <v>107</v>
      </c>
      <c r="H315" s="809"/>
      <c r="I315" s="809"/>
      <c r="J315" s="809"/>
      <c r="K315" s="809"/>
      <c r="L315" s="799">
        <f t="shared" si="4"/>
        <v>124</v>
      </c>
    </row>
    <row r="316" spans="2:12" ht="30" customHeight="1" x14ac:dyDescent="0.25">
      <c r="B316" s="807" t="s">
        <v>621</v>
      </c>
      <c r="C316" s="807" t="s">
        <v>816</v>
      </c>
      <c r="D316" s="807" t="s">
        <v>813</v>
      </c>
      <c r="E316" s="807"/>
      <c r="F316" s="808"/>
      <c r="G316" s="807">
        <v>117</v>
      </c>
      <c r="H316" s="809"/>
      <c r="I316" s="809"/>
      <c r="J316" s="809"/>
      <c r="K316" s="809"/>
      <c r="L316" s="799">
        <f t="shared" si="4"/>
        <v>117</v>
      </c>
    </row>
    <row r="317" spans="2:12" ht="30" customHeight="1" x14ac:dyDescent="0.25">
      <c r="B317" s="807" t="s">
        <v>621</v>
      </c>
      <c r="C317" s="807" t="s">
        <v>816</v>
      </c>
      <c r="D317" s="807" t="s">
        <v>616</v>
      </c>
      <c r="E317" s="807"/>
      <c r="F317" s="808"/>
      <c r="G317" s="807"/>
      <c r="H317" s="809"/>
      <c r="I317" s="809">
        <v>40</v>
      </c>
      <c r="J317" s="809">
        <v>40</v>
      </c>
      <c r="K317" s="809">
        <v>36</v>
      </c>
      <c r="L317" s="799">
        <f t="shared" ref="L317:L380" si="5">+SUM(E317:K317)</f>
        <v>116</v>
      </c>
    </row>
    <row r="318" spans="2:12" ht="30" customHeight="1" x14ac:dyDescent="0.25">
      <c r="B318" s="807" t="s">
        <v>621</v>
      </c>
      <c r="C318" s="807" t="s">
        <v>816</v>
      </c>
      <c r="D318" s="807" t="s">
        <v>611</v>
      </c>
      <c r="E318" s="807"/>
      <c r="F318" s="808"/>
      <c r="G318" s="807">
        <v>58</v>
      </c>
      <c r="H318" s="809"/>
      <c r="I318" s="809">
        <v>1</v>
      </c>
      <c r="J318" s="809">
        <v>2</v>
      </c>
      <c r="K318" s="809">
        <v>2</v>
      </c>
      <c r="L318" s="799">
        <f t="shared" si="5"/>
        <v>63</v>
      </c>
    </row>
    <row r="319" spans="2:12" ht="30" customHeight="1" x14ac:dyDescent="0.25">
      <c r="B319" s="807" t="s">
        <v>621</v>
      </c>
      <c r="C319" s="807" t="s">
        <v>816</v>
      </c>
      <c r="D319" s="807" t="s">
        <v>617</v>
      </c>
      <c r="E319" s="807"/>
      <c r="F319" s="808"/>
      <c r="G319" s="807"/>
      <c r="H319" s="809"/>
      <c r="I319" s="809">
        <v>32</v>
      </c>
      <c r="J319" s="809">
        <v>2</v>
      </c>
      <c r="K319" s="809">
        <v>3</v>
      </c>
      <c r="L319" s="799">
        <f t="shared" si="5"/>
        <v>37</v>
      </c>
    </row>
    <row r="320" spans="2:12" ht="30" customHeight="1" x14ac:dyDescent="0.25">
      <c r="B320" s="807" t="s">
        <v>621</v>
      </c>
      <c r="C320" s="807" t="s">
        <v>816</v>
      </c>
      <c r="D320" s="807" t="s">
        <v>818</v>
      </c>
      <c r="E320" s="807">
        <v>1</v>
      </c>
      <c r="F320" s="808">
        <v>34</v>
      </c>
      <c r="G320" s="807">
        <v>0</v>
      </c>
      <c r="H320" s="809"/>
      <c r="I320" s="809"/>
      <c r="J320" s="809"/>
      <c r="K320" s="809"/>
      <c r="L320" s="799">
        <f t="shared" si="5"/>
        <v>35</v>
      </c>
    </row>
    <row r="321" spans="2:12" ht="30" customHeight="1" x14ac:dyDescent="0.25">
      <c r="B321" s="807" t="s">
        <v>621</v>
      </c>
      <c r="C321" s="807" t="s">
        <v>816</v>
      </c>
      <c r="D321" s="807" t="s">
        <v>612</v>
      </c>
      <c r="E321" s="807">
        <v>3</v>
      </c>
      <c r="F321" s="808">
        <v>2</v>
      </c>
      <c r="G321" s="807">
        <v>0</v>
      </c>
      <c r="H321" s="809"/>
      <c r="I321" s="809">
        <v>10</v>
      </c>
      <c r="J321" s="809">
        <v>17</v>
      </c>
      <c r="K321" s="809"/>
      <c r="L321" s="799">
        <f t="shared" si="5"/>
        <v>32</v>
      </c>
    </row>
    <row r="322" spans="2:12" ht="30" customHeight="1" x14ac:dyDescent="0.25">
      <c r="B322" s="807" t="s">
        <v>621</v>
      </c>
      <c r="C322" s="807" t="s">
        <v>816</v>
      </c>
      <c r="D322" s="807" t="s">
        <v>620</v>
      </c>
      <c r="E322" s="807"/>
      <c r="F322" s="808"/>
      <c r="G322" s="807"/>
      <c r="H322" s="809"/>
      <c r="I322" s="809">
        <v>15</v>
      </c>
      <c r="J322" s="809">
        <v>4</v>
      </c>
      <c r="K322" s="809">
        <v>12</v>
      </c>
      <c r="L322" s="799">
        <f t="shared" si="5"/>
        <v>31</v>
      </c>
    </row>
    <row r="323" spans="2:12" ht="30" customHeight="1" x14ac:dyDescent="0.25">
      <c r="B323" s="807" t="s">
        <v>621</v>
      </c>
      <c r="C323" s="807" t="s">
        <v>816</v>
      </c>
      <c r="D323" s="807" t="s">
        <v>613</v>
      </c>
      <c r="E323" s="807"/>
      <c r="F323" s="808"/>
      <c r="G323" s="807">
        <v>30</v>
      </c>
      <c r="H323" s="809"/>
      <c r="I323" s="809"/>
      <c r="J323" s="809"/>
      <c r="K323" s="809"/>
      <c r="L323" s="799">
        <f t="shared" si="5"/>
        <v>30</v>
      </c>
    </row>
    <row r="324" spans="2:12" ht="30" customHeight="1" x14ac:dyDescent="0.25">
      <c r="B324" s="807" t="s">
        <v>621</v>
      </c>
      <c r="C324" s="807" t="s">
        <v>816</v>
      </c>
      <c r="D324" s="807" t="s">
        <v>618</v>
      </c>
      <c r="E324" s="807"/>
      <c r="F324" s="808"/>
      <c r="G324" s="807">
        <v>30</v>
      </c>
      <c r="H324" s="809"/>
      <c r="I324" s="809"/>
      <c r="J324" s="809"/>
      <c r="K324" s="809"/>
      <c r="L324" s="799">
        <f t="shared" si="5"/>
        <v>30</v>
      </c>
    </row>
    <row r="325" spans="2:12" ht="30" customHeight="1" x14ac:dyDescent="0.25">
      <c r="B325" s="807" t="s">
        <v>621</v>
      </c>
      <c r="C325" s="807" t="s">
        <v>816</v>
      </c>
      <c r="D325" s="807" t="s">
        <v>620</v>
      </c>
      <c r="E325" s="807"/>
      <c r="F325" s="808"/>
      <c r="G325" s="807">
        <v>28</v>
      </c>
      <c r="H325" s="809"/>
      <c r="I325" s="809"/>
      <c r="J325" s="809"/>
      <c r="K325" s="809"/>
      <c r="L325" s="799">
        <f t="shared" si="5"/>
        <v>28</v>
      </c>
    </row>
    <row r="326" spans="2:12" ht="30" customHeight="1" x14ac:dyDescent="0.25">
      <c r="B326" s="807" t="s">
        <v>621</v>
      </c>
      <c r="C326" s="807" t="s">
        <v>816</v>
      </c>
      <c r="D326" s="807" t="s">
        <v>617</v>
      </c>
      <c r="E326" s="807"/>
      <c r="F326" s="808"/>
      <c r="G326" s="807">
        <v>23</v>
      </c>
      <c r="H326" s="809"/>
      <c r="I326" s="809"/>
      <c r="J326" s="809"/>
      <c r="K326" s="809"/>
      <c r="L326" s="799">
        <f t="shared" si="5"/>
        <v>23</v>
      </c>
    </row>
    <row r="327" spans="2:12" ht="30" customHeight="1" x14ac:dyDescent="0.25">
      <c r="B327" s="807" t="s">
        <v>621</v>
      </c>
      <c r="C327" s="807" t="s">
        <v>816</v>
      </c>
      <c r="D327" s="807" t="s">
        <v>812</v>
      </c>
      <c r="E327" s="807">
        <v>18</v>
      </c>
      <c r="F327" s="808"/>
      <c r="G327" s="807">
        <v>0</v>
      </c>
      <c r="H327" s="809"/>
      <c r="I327" s="809"/>
      <c r="J327" s="809"/>
      <c r="K327" s="809"/>
      <c r="L327" s="799">
        <f t="shared" si="5"/>
        <v>18</v>
      </c>
    </row>
    <row r="328" spans="2:12" ht="30" customHeight="1" x14ac:dyDescent="0.25">
      <c r="B328" s="807" t="s">
        <v>621</v>
      </c>
      <c r="C328" s="807" t="s">
        <v>816</v>
      </c>
      <c r="D328" s="807" t="s">
        <v>832</v>
      </c>
      <c r="E328" s="807"/>
      <c r="F328" s="808"/>
      <c r="G328" s="807"/>
      <c r="H328" s="809"/>
      <c r="I328" s="809"/>
      <c r="J328" s="809"/>
      <c r="K328" s="809">
        <v>17</v>
      </c>
      <c r="L328" s="799">
        <f t="shared" si="5"/>
        <v>17</v>
      </c>
    </row>
    <row r="329" spans="2:12" ht="30" customHeight="1" x14ac:dyDescent="0.25">
      <c r="B329" s="807" t="s">
        <v>621</v>
      </c>
      <c r="C329" s="807" t="s">
        <v>816</v>
      </c>
      <c r="D329" s="807" t="s">
        <v>610</v>
      </c>
      <c r="E329" s="807">
        <v>2</v>
      </c>
      <c r="F329" s="808"/>
      <c r="G329" s="807">
        <v>6</v>
      </c>
      <c r="H329" s="809"/>
      <c r="I329" s="809">
        <v>1</v>
      </c>
      <c r="J329" s="809"/>
      <c r="K329" s="809"/>
      <c r="L329" s="799">
        <f t="shared" si="5"/>
        <v>9</v>
      </c>
    </row>
    <row r="330" spans="2:12" ht="30" customHeight="1" x14ac:dyDescent="0.25">
      <c r="B330" s="807" t="s">
        <v>621</v>
      </c>
      <c r="C330" s="807" t="s">
        <v>816</v>
      </c>
      <c r="D330" s="807" t="s">
        <v>721</v>
      </c>
      <c r="E330" s="807">
        <v>4</v>
      </c>
      <c r="F330" s="808">
        <v>1</v>
      </c>
      <c r="G330" s="807">
        <v>3</v>
      </c>
      <c r="H330" s="809"/>
      <c r="I330" s="809"/>
      <c r="J330" s="809"/>
      <c r="K330" s="809"/>
      <c r="L330" s="799">
        <f t="shared" si="5"/>
        <v>8</v>
      </c>
    </row>
    <row r="331" spans="2:12" ht="30" customHeight="1" x14ac:dyDescent="0.25">
      <c r="B331" s="807" t="s">
        <v>621</v>
      </c>
      <c r="C331" s="807" t="s">
        <v>816</v>
      </c>
      <c r="D331" s="807" t="s">
        <v>613</v>
      </c>
      <c r="E331" s="807"/>
      <c r="F331" s="808"/>
      <c r="G331" s="807"/>
      <c r="H331" s="809"/>
      <c r="I331" s="809">
        <v>7</v>
      </c>
      <c r="J331" s="809"/>
      <c r="K331" s="809"/>
      <c r="L331" s="799">
        <f t="shared" si="5"/>
        <v>7</v>
      </c>
    </row>
    <row r="332" spans="2:12" ht="30" customHeight="1" x14ac:dyDescent="0.25">
      <c r="B332" s="807" t="s">
        <v>621</v>
      </c>
      <c r="C332" s="807" t="s">
        <v>816</v>
      </c>
      <c r="D332" s="807" t="s">
        <v>807</v>
      </c>
      <c r="E332" s="807">
        <v>6</v>
      </c>
      <c r="F332" s="808"/>
      <c r="G332" s="807">
        <v>0</v>
      </c>
      <c r="H332" s="809"/>
      <c r="I332" s="809"/>
      <c r="J332" s="809"/>
      <c r="K332" s="809"/>
      <c r="L332" s="799">
        <f t="shared" si="5"/>
        <v>6</v>
      </c>
    </row>
    <row r="333" spans="2:12" ht="30" customHeight="1" x14ac:dyDescent="0.25">
      <c r="B333" s="807" t="s">
        <v>621</v>
      </c>
      <c r="C333" s="807" t="s">
        <v>816</v>
      </c>
      <c r="D333" s="807" t="s">
        <v>137</v>
      </c>
      <c r="E333" s="807">
        <v>2</v>
      </c>
      <c r="F333" s="808">
        <v>3</v>
      </c>
      <c r="G333" s="807">
        <v>0</v>
      </c>
      <c r="H333" s="809"/>
      <c r="I333" s="809"/>
      <c r="J333" s="809"/>
      <c r="K333" s="809"/>
      <c r="L333" s="799">
        <f t="shared" si="5"/>
        <v>5</v>
      </c>
    </row>
    <row r="334" spans="2:12" ht="30" customHeight="1" x14ac:dyDescent="0.25">
      <c r="B334" s="807" t="s">
        <v>621</v>
      </c>
      <c r="C334" s="807" t="s">
        <v>816</v>
      </c>
      <c r="D334" s="807" t="s">
        <v>815</v>
      </c>
      <c r="E334" s="807">
        <v>2</v>
      </c>
      <c r="F334" s="808">
        <v>3</v>
      </c>
      <c r="G334" s="807">
        <v>0</v>
      </c>
      <c r="H334" s="809"/>
      <c r="I334" s="809"/>
      <c r="J334" s="809"/>
      <c r="K334" s="809"/>
      <c r="L334" s="799">
        <f t="shared" si="5"/>
        <v>5</v>
      </c>
    </row>
    <row r="335" spans="2:12" ht="30" customHeight="1" x14ac:dyDescent="0.25">
      <c r="B335" s="807" t="s">
        <v>621</v>
      </c>
      <c r="C335" s="807" t="s">
        <v>816</v>
      </c>
      <c r="D335" s="807" t="s">
        <v>619</v>
      </c>
      <c r="E335" s="807"/>
      <c r="F335" s="808"/>
      <c r="G335" s="807"/>
      <c r="H335" s="809"/>
      <c r="I335" s="809">
        <v>1</v>
      </c>
      <c r="J335" s="809">
        <v>2</v>
      </c>
      <c r="K335" s="809">
        <v>2</v>
      </c>
      <c r="L335" s="799">
        <f t="shared" si="5"/>
        <v>5</v>
      </c>
    </row>
    <row r="336" spans="2:12" ht="30" customHeight="1" x14ac:dyDescent="0.25">
      <c r="B336" s="807" t="s">
        <v>621</v>
      </c>
      <c r="C336" s="807" t="s">
        <v>816</v>
      </c>
      <c r="D336" s="807" t="s">
        <v>817</v>
      </c>
      <c r="E336" s="807">
        <v>4</v>
      </c>
      <c r="F336" s="808"/>
      <c r="G336" s="807">
        <v>0</v>
      </c>
      <c r="H336" s="809"/>
      <c r="I336" s="809"/>
      <c r="J336" s="809"/>
      <c r="K336" s="809"/>
      <c r="L336" s="799">
        <f t="shared" si="5"/>
        <v>4</v>
      </c>
    </row>
    <row r="337" spans="2:12" ht="30" customHeight="1" x14ac:dyDescent="0.25">
      <c r="B337" s="807" t="s">
        <v>621</v>
      </c>
      <c r="C337" s="807" t="s">
        <v>816</v>
      </c>
      <c r="D337" s="807" t="s">
        <v>782</v>
      </c>
      <c r="E337" s="807"/>
      <c r="F337" s="808"/>
      <c r="G337" s="807">
        <v>4</v>
      </c>
      <c r="H337" s="809"/>
      <c r="I337" s="809"/>
      <c r="J337" s="809"/>
      <c r="K337" s="809"/>
      <c r="L337" s="799">
        <f t="shared" si="5"/>
        <v>4</v>
      </c>
    </row>
    <row r="338" spans="2:12" ht="30" customHeight="1" x14ac:dyDescent="0.25">
      <c r="B338" s="807" t="s">
        <v>621</v>
      </c>
      <c r="C338" s="807" t="s">
        <v>816</v>
      </c>
      <c r="D338" s="807" t="s">
        <v>782</v>
      </c>
      <c r="E338" s="807"/>
      <c r="F338" s="808"/>
      <c r="G338" s="807">
        <v>4</v>
      </c>
      <c r="H338" s="809"/>
      <c r="I338" s="809"/>
      <c r="J338" s="809"/>
      <c r="K338" s="809"/>
      <c r="L338" s="799">
        <f t="shared" si="5"/>
        <v>4</v>
      </c>
    </row>
    <row r="339" spans="2:12" ht="30" customHeight="1" x14ac:dyDescent="0.25">
      <c r="B339" s="807" t="s">
        <v>621</v>
      </c>
      <c r="C339" s="807" t="s">
        <v>816</v>
      </c>
      <c r="D339" s="807" t="s">
        <v>618</v>
      </c>
      <c r="E339" s="807"/>
      <c r="F339" s="808"/>
      <c r="G339" s="807"/>
      <c r="H339" s="809"/>
      <c r="I339" s="809">
        <v>1</v>
      </c>
      <c r="J339" s="809">
        <v>2</v>
      </c>
      <c r="K339" s="809">
        <v>1</v>
      </c>
      <c r="L339" s="799">
        <f t="shared" si="5"/>
        <v>4</v>
      </c>
    </row>
    <row r="340" spans="2:12" ht="30" customHeight="1" x14ac:dyDescent="0.25">
      <c r="B340" s="807" t="s">
        <v>621</v>
      </c>
      <c r="C340" s="807" t="s">
        <v>816</v>
      </c>
      <c r="D340" s="807" t="s">
        <v>805</v>
      </c>
      <c r="E340" s="807">
        <v>2</v>
      </c>
      <c r="F340" s="808">
        <v>1</v>
      </c>
      <c r="G340" s="807">
        <v>0</v>
      </c>
      <c r="H340" s="809"/>
      <c r="I340" s="809"/>
      <c r="J340" s="809"/>
      <c r="K340" s="809"/>
      <c r="L340" s="799">
        <f t="shared" si="5"/>
        <v>3</v>
      </c>
    </row>
    <row r="341" spans="2:12" ht="30" customHeight="1" x14ac:dyDescent="0.25">
      <c r="B341" s="807" t="s">
        <v>621</v>
      </c>
      <c r="C341" s="807" t="s">
        <v>816</v>
      </c>
      <c r="D341" s="807" t="s">
        <v>809</v>
      </c>
      <c r="E341" s="807"/>
      <c r="F341" s="808">
        <v>3</v>
      </c>
      <c r="G341" s="807">
        <v>0</v>
      </c>
      <c r="H341" s="809"/>
      <c r="I341" s="809"/>
      <c r="J341" s="809"/>
      <c r="K341" s="809"/>
      <c r="L341" s="799">
        <f t="shared" si="5"/>
        <v>3</v>
      </c>
    </row>
    <row r="342" spans="2:12" ht="30" customHeight="1" x14ac:dyDescent="0.25">
      <c r="B342" s="807" t="s">
        <v>621</v>
      </c>
      <c r="C342" s="807" t="s">
        <v>816</v>
      </c>
      <c r="D342" s="807" t="s">
        <v>811</v>
      </c>
      <c r="E342" s="807">
        <v>3</v>
      </c>
      <c r="F342" s="808"/>
      <c r="G342" s="807">
        <v>0</v>
      </c>
      <c r="H342" s="809"/>
      <c r="I342" s="809"/>
      <c r="J342" s="809"/>
      <c r="K342" s="809"/>
      <c r="L342" s="799">
        <f t="shared" si="5"/>
        <v>3</v>
      </c>
    </row>
    <row r="343" spans="2:12" ht="30" customHeight="1" x14ac:dyDescent="0.25">
      <c r="B343" s="807" t="s">
        <v>621</v>
      </c>
      <c r="C343" s="807" t="s">
        <v>816</v>
      </c>
      <c r="D343" s="807" t="s">
        <v>793</v>
      </c>
      <c r="E343" s="807"/>
      <c r="F343" s="808"/>
      <c r="G343" s="807"/>
      <c r="H343" s="809"/>
      <c r="I343" s="809">
        <v>1</v>
      </c>
      <c r="J343" s="809">
        <v>2</v>
      </c>
      <c r="K343" s="809"/>
      <c r="L343" s="799">
        <f t="shared" si="5"/>
        <v>3</v>
      </c>
    </row>
    <row r="344" spans="2:12" ht="30" customHeight="1" x14ac:dyDescent="0.25">
      <c r="B344" s="807" t="s">
        <v>621</v>
      </c>
      <c r="C344" s="807" t="s">
        <v>816</v>
      </c>
      <c r="D344" s="807" t="s">
        <v>806</v>
      </c>
      <c r="E344" s="807"/>
      <c r="F344" s="808">
        <v>2</v>
      </c>
      <c r="G344" s="807">
        <v>0</v>
      </c>
      <c r="H344" s="809"/>
      <c r="I344" s="809"/>
      <c r="J344" s="809"/>
      <c r="K344" s="809"/>
      <c r="L344" s="799">
        <f t="shared" si="5"/>
        <v>2</v>
      </c>
    </row>
    <row r="345" spans="2:12" ht="30" customHeight="1" x14ac:dyDescent="0.25">
      <c r="B345" s="807" t="s">
        <v>621</v>
      </c>
      <c r="C345" s="807" t="s">
        <v>816</v>
      </c>
      <c r="D345" s="807" t="s">
        <v>819</v>
      </c>
      <c r="E345" s="807"/>
      <c r="F345" s="808">
        <v>2</v>
      </c>
      <c r="G345" s="807">
        <v>0</v>
      </c>
      <c r="H345" s="809"/>
      <c r="I345" s="809"/>
      <c r="J345" s="809"/>
      <c r="K345" s="809"/>
      <c r="L345" s="799">
        <f t="shared" si="5"/>
        <v>2</v>
      </c>
    </row>
    <row r="346" spans="2:12" ht="30" customHeight="1" x14ac:dyDescent="0.25">
      <c r="B346" s="807" t="s">
        <v>621</v>
      </c>
      <c r="C346" s="807" t="s">
        <v>816</v>
      </c>
      <c r="D346" s="807" t="s">
        <v>810</v>
      </c>
      <c r="E346" s="807">
        <v>1</v>
      </c>
      <c r="F346" s="808"/>
      <c r="G346" s="807">
        <v>0</v>
      </c>
      <c r="H346" s="809"/>
      <c r="I346" s="809"/>
      <c r="J346" s="809"/>
      <c r="K346" s="809"/>
      <c r="L346" s="799">
        <f t="shared" si="5"/>
        <v>1</v>
      </c>
    </row>
    <row r="347" spans="2:12" ht="30" customHeight="1" x14ac:dyDescent="0.25">
      <c r="B347" s="807" t="s">
        <v>621</v>
      </c>
      <c r="C347" s="807" t="s">
        <v>816</v>
      </c>
      <c r="D347" s="807" t="s">
        <v>829</v>
      </c>
      <c r="E347" s="807"/>
      <c r="F347" s="808"/>
      <c r="G347" s="807"/>
      <c r="H347" s="809"/>
      <c r="I347" s="809">
        <v>1</v>
      </c>
      <c r="J347" s="809"/>
      <c r="K347" s="809"/>
      <c r="L347" s="799">
        <f t="shared" si="5"/>
        <v>1</v>
      </c>
    </row>
    <row r="348" spans="2:12" ht="30" customHeight="1" x14ac:dyDescent="0.25">
      <c r="B348" s="807" t="s">
        <v>621</v>
      </c>
      <c r="C348" s="807" t="s">
        <v>816</v>
      </c>
      <c r="D348" s="807" t="s">
        <v>831</v>
      </c>
      <c r="E348" s="807"/>
      <c r="F348" s="808"/>
      <c r="G348" s="807"/>
      <c r="H348" s="809"/>
      <c r="I348" s="809"/>
      <c r="J348" s="809"/>
      <c r="K348" s="809">
        <v>1</v>
      </c>
      <c r="L348" s="799">
        <f t="shared" si="5"/>
        <v>1</v>
      </c>
    </row>
    <row r="349" spans="2:12" ht="30" customHeight="1" x14ac:dyDescent="0.25">
      <c r="B349" s="807" t="s">
        <v>621</v>
      </c>
      <c r="C349" s="801" t="s">
        <v>833</v>
      </c>
      <c r="D349" s="807" t="s">
        <v>614</v>
      </c>
      <c r="E349" s="807"/>
      <c r="F349" s="808"/>
      <c r="G349" s="807"/>
      <c r="H349" s="809"/>
      <c r="I349" s="809">
        <v>148</v>
      </c>
      <c r="J349" s="809">
        <v>55</v>
      </c>
      <c r="K349" s="809">
        <v>38</v>
      </c>
      <c r="L349" s="799">
        <f t="shared" si="5"/>
        <v>241</v>
      </c>
    </row>
    <row r="350" spans="2:12" ht="30" customHeight="1" x14ac:dyDescent="0.25">
      <c r="B350" s="807" t="s">
        <v>621</v>
      </c>
      <c r="C350" s="801" t="s">
        <v>833</v>
      </c>
      <c r="D350" s="807" t="s">
        <v>615</v>
      </c>
      <c r="E350" s="807"/>
      <c r="F350" s="808"/>
      <c r="G350" s="807"/>
      <c r="H350" s="809"/>
      <c r="I350" s="809">
        <v>51</v>
      </c>
      <c r="J350" s="809">
        <v>23</v>
      </c>
      <c r="K350" s="809">
        <v>24</v>
      </c>
      <c r="L350" s="799">
        <f t="shared" si="5"/>
        <v>98</v>
      </c>
    </row>
    <row r="351" spans="2:12" ht="30" customHeight="1" x14ac:dyDescent="0.25">
      <c r="B351" s="807" t="s">
        <v>621</v>
      </c>
      <c r="C351" s="801" t="s">
        <v>833</v>
      </c>
      <c r="D351" s="807" t="s">
        <v>616</v>
      </c>
      <c r="E351" s="807"/>
      <c r="F351" s="808"/>
      <c r="G351" s="807"/>
      <c r="H351" s="809"/>
      <c r="I351" s="809">
        <v>8</v>
      </c>
      <c r="J351" s="809">
        <v>10</v>
      </c>
      <c r="K351" s="809">
        <v>73</v>
      </c>
      <c r="L351" s="799">
        <f t="shared" si="5"/>
        <v>91</v>
      </c>
    </row>
    <row r="352" spans="2:12" ht="30" customHeight="1" x14ac:dyDescent="0.25">
      <c r="B352" s="807" t="s">
        <v>621</v>
      </c>
      <c r="C352" s="801" t="s">
        <v>833</v>
      </c>
      <c r="D352" s="807" t="s">
        <v>632</v>
      </c>
      <c r="E352" s="807"/>
      <c r="F352" s="808"/>
      <c r="G352" s="807"/>
      <c r="H352" s="809"/>
      <c r="I352" s="809"/>
      <c r="J352" s="809"/>
      <c r="K352" s="809">
        <v>49</v>
      </c>
      <c r="L352" s="799">
        <f t="shared" si="5"/>
        <v>49</v>
      </c>
    </row>
    <row r="353" spans="2:12" ht="30" customHeight="1" x14ac:dyDescent="0.25">
      <c r="B353" s="807" t="s">
        <v>621</v>
      </c>
      <c r="C353" s="801" t="s">
        <v>833</v>
      </c>
      <c r="D353" s="807" t="s">
        <v>616</v>
      </c>
      <c r="E353" s="807">
        <v>23</v>
      </c>
      <c r="F353" s="808">
        <v>9</v>
      </c>
      <c r="G353" s="807">
        <v>0</v>
      </c>
      <c r="H353" s="809"/>
      <c r="I353" s="809"/>
      <c r="J353" s="809"/>
      <c r="K353" s="809"/>
      <c r="L353" s="799">
        <f t="shared" si="5"/>
        <v>32</v>
      </c>
    </row>
    <row r="354" spans="2:12" ht="30" customHeight="1" x14ac:dyDescent="0.25">
      <c r="B354" s="807" t="s">
        <v>621</v>
      </c>
      <c r="C354" s="801" t="s">
        <v>833</v>
      </c>
      <c r="D354" s="807" t="s">
        <v>620</v>
      </c>
      <c r="E354" s="807"/>
      <c r="F354" s="808"/>
      <c r="G354" s="807"/>
      <c r="H354" s="809"/>
      <c r="I354" s="809">
        <v>11</v>
      </c>
      <c r="J354" s="809">
        <v>1</v>
      </c>
      <c r="K354" s="809">
        <v>4</v>
      </c>
      <c r="L354" s="799">
        <f t="shared" si="5"/>
        <v>16</v>
      </c>
    </row>
    <row r="355" spans="2:12" ht="30" customHeight="1" x14ac:dyDescent="0.25">
      <c r="B355" s="807" t="s">
        <v>621</v>
      </c>
      <c r="C355" s="801" t="s">
        <v>833</v>
      </c>
      <c r="D355" s="807" t="s">
        <v>612</v>
      </c>
      <c r="E355" s="807"/>
      <c r="F355" s="808"/>
      <c r="G355" s="807"/>
      <c r="H355" s="809"/>
      <c r="I355" s="809">
        <v>8</v>
      </c>
      <c r="J355" s="809">
        <v>4</v>
      </c>
      <c r="K355" s="809"/>
      <c r="L355" s="799">
        <f t="shared" si="5"/>
        <v>12</v>
      </c>
    </row>
    <row r="356" spans="2:12" ht="30" customHeight="1" x14ac:dyDescent="0.25">
      <c r="B356" s="807" t="s">
        <v>621</v>
      </c>
      <c r="C356" s="801" t="s">
        <v>833</v>
      </c>
      <c r="D356" s="807" t="s">
        <v>618</v>
      </c>
      <c r="E356" s="807"/>
      <c r="F356" s="808"/>
      <c r="G356" s="807"/>
      <c r="H356" s="809"/>
      <c r="I356" s="809">
        <v>9</v>
      </c>
      <c r="J356" s="809">
        <v>1</v>
      </c>
      <c r="K356" s="809"/>
      <c r="L356" s="799">
        <f t="shared" si="5"/>
        <v>10</v>
      </c>
    </row>
    <row r="357" spans="2:12" ht="30" customHeight="1" x14ac:dyDescent="0.25">
      <c r="B357" s="807" t="s">
        <v>621</v>
      </c>
      <c r="C357" s="801" t="s">
        <v>833</v>
      </c>
      <c r="D357" s="807" t="s">
        <v>613</v>
      </c>
      <c r="E357" s="807"/>
      <c r="F357" s="808"/>
      <c r="G357" s="807"/>
      <c r="H357" s="809"/>
      <c r="I357" s="809">
        <v>4</v>
      </c>
      <c r="J357" s="809">
        <v>2</v>
      </c>
      <c r="K357" s="809"/>
      <c r="L357" s="799">
        <f t="shared" si="5"/>
        <v>6</v>
      </c>
    </row>
    <row r="358" spans="2:12" ht="30" customHeight="1" x14ac:dyDescent="0.25">
      <c r="B358" s="807" t="s">
        <v>621</v>
      </c>
      <c r="C358" s="801" t="s">
        <v>833</v>
      </c>
      <c r="D358" s="807" t="s">
        <v>832</v>
      </c>
      <c r="E358" s="807"/>
      <c r="F358" s="808"/>
      <c r="G358" s="807"/>
      <c r="H358" s="809"/>
      <c r="I358" s="809"/>
      <c r="J358" s="809"/>
      <c r="K358" s="809">
        <v>3</v>
      </c>
      <c r="L358" s="799">
        <f t="shared" si="5"/>
        <v>3</v>
      </c>
    </row>
    <row r="359" spans="2:12" ht="30" customHeight="1" x14ac:dyDescent="0.25">
      <c r="B359" s="807" t="s">
        <v>621</v>
      </c>
      <c r="C359" s="801" t="s">
        <v>833</v>
      </c>
      <c r="D359" s="807" t="s">
        <v>619</v>
      </c>
      <c r="E359" s="807"/>
      <c r="F359" s="808"/>
      <c r="G359" s="807"/>
      <c r="H359" s="809"/>
      <c r="I359" s="809">
        <v>1</v>
      </c>
      <c r="J359" s="809"/>
      <c r="K359" s="809"/>
      <c r="L359" s="799">
        <f t="shared" si="5"/>
        <v>1</v>
      </c>
    </row>
    <row r="360" spans="2:12" ht="30" customHeight="1" x14ac:dyDescent="0.25">
      <c r="B360" s="807" t="s">
        <v>621</v>
      </c>
      <c r="C360" s="801" t="s">
        <v>833</v>
      </c>
      <c r="D360" s="807" t="s">
        <v>617</v>
      </c>
      <c r="E360" s="807"/>
      <c r="F360" s="808"/>
      <c r="G360" s="807"/>
      <c r="H360" s="809"/>
      <c r="I360" s="809">
        <v>1</v>
      </c>
      <c r="J360" s="809"/>
      <c r="K360" s="809"/>
      <c r="L360" s="799">
        <f t="shared" si="5"/>
        <v>1</v>
      </c>
    </row>
    <row r="361" spans="2:12" ht="30" customHeight="1" x14ac:dyDescent="0.3">
      <c r="B361" s="807" t="s">
        <v>621</v>
      </c>
      <c r="C361" s="801" t="s">
        <v>833</v>
      </c>
      <c r="D361" s="579" t="s">
        <v>613</v>
      </c>
      <c r="E361" s="802"/>
      <c r="F361" s="802"/>
      <c r="G361" s="802"/>
      <c r="H361" s="802"/>
      <c r="I361" s="575"/>
      <c r="J361" s="803"/>
      <c r="K361" s="803"/>
      <c r="L361" s="799">
        <f t="shared" si="5"/>
        <v>0</v>
      </c>
    </row>
    <row r="362" spans="2:12" ht="30" customHeight="1" x14ac:dyDescent="0.25">
      <c r="B362" s="807" t="s">
        <v>621</v>
      </c>
      <c r="C362" s="801" t="s">
        <v>833</v>
      </c>
      <c r="D362" s="807" t="s">
        <v>619</v>
      </c>
      <c r="E362" s="807"/>
      <c r="F362" s="808"/>
      <c r="G362" s="807"/>
      <c r="H362" s="809"/>
      <c r="I362" s="809"/>
      <c r="J362" s="809"/>
      <c r="K362" s="809"/>
      <c r="L362" s="799">
        <f t="shared" si="5"/>
        <v>0</v>
      </c>
    </row>
    <row r="363" spans="2:12" ht="30" customHeight="1" x14ac:dyDescent="0.25">
      <c r="B363" s="807" t="s">
        <v>621</v>
      </c>
      <c r="C363" s="801" t="s">
        <v>833</v>
      </c>
      <c r="D363" s="807" t="s">
        <v>620</v>
      </c>
      <c r="E363" s="807"/>
      <c r="F363" s="808"/>
      <c r="G363" s="807"/>
      <c r="H363" s="809"/>
      <c r="I363" s="809"/>
      <c r="J363" s="809"/>
      <c r="K363" s="809"/>
      <c r="L363" s="799">
        <f t="shared" si="5"/>
        <v>0</v>
      </c>
    </row>
    <row r="364" spans="2:12" ht="30" customHeight="1" x14ac:dyDescent="0.25">
      <c r="B364" s="807" t="s">
        <v>621</v>
      </c>
      <c r="C364" s="801" t="s">
        <v>804</v>
      </c>
      <c r="D364" s="807" t="s">
        <v>614</v>
      </c>
      <c r="E364" s="807">
        <v>12</v>
      </c>
      <c r="F364" s="808">
        <v>10</v>
      </c>
      <c r="G364" s="807">
        <v>197</v>
      </c>
      <c r="H364" s="809"/>
      <c r="I364" s="809"/>
      <c r="J364" s="809"/>
      <c r="K364" s="809"/>
      <c r="L364" s="799">
        <f t="shared" si="5"/>
        <v>219</v>
      </c>
    </row>
    <row r="365" spans="2:12" ht="30" customHeight="1" x14ac:dyDescent="0.25">
      <c r="B365" s="807" t="s">
        <v>621</v>
      </c>
      <c r="C365" s="801" t="s">
        <v>804</v>
      </c>
      <c r="D365" s="807" t="s">
        <v>614</v>
      </c>
      <c r="E365" s="807"/>
      <c r="F365" s="808"/>
      <c r="G365" s="807"/>
      <c r="H365" s="809"/>
      <c r="I365" s="809">
        <v>112</v>
      </c>
      <c r="J365" s="809">
        <v>34</v>
      </c>
      <c r="K365" s="809">
        <v>25</v>
      </c>
      <c r="L365" s="799">
        <f t="shared" si="5"/>
        <v>171</v>
      </c>
    </row>
    <row r="366" spans="2:12" ht="30" customHeight="1" x14ac:dyDescent="0.25">
      <c r="B366" s="807" t="s">
        <v>621</v>
      </c>
      <c r="C366" s="801" t="s">
        <v>804</v>
      </c>
      <c r="D366" s="807" t="s">
        <v>615</v>
      </c>
      <c r="E366" s="807"/>
      <c r="F366" s="808"/>
      <c r="G366" s="807"/>
      <c r="H366" s="809"/>
      <c r="I366" s="809">
        <v>103</v>
      </c>
      <c r="J366" s="809">
        <v>30</v>
      </c>
      <c r="K366" s="809">
        <v>8</v>
      </c>
      <c r="L366" s="799">
        <f t="shared" si="5"/>
        <v>141</v>
      </c>
    </row>
    <row r="367" spans="2:12" ht="30" customHeight="1" x14ac:dyDescent="0.25">
      <c r="B367" s="807" t="s">
        <v>621</v>
      </c>
      <c r="C367" s="801" t="s">
        <v>804</v>
      </c>
      <c r="D367" s="807" t="s">
        <v>615</v>
      </c>
      <c r="E367" s="807">
        <v>2</v>
      </c>
      <c r="F367" s="808">
        <v>51</v>
      </c>
      <c r="G367" s="807">
        <v>62</v>
      </c>
      <c r="H367" s="809"/>
      <c r="I367" s="809"/>
      <c r="J367" s="809"/>
      <c r="K367" s="809"/>
      <c r="L367" s="799">
        <f t="shared" si="5"/>
        <v>115</v>
      </c>
    </row>
    <row r="368" spans="2:12" ht="30" customHeight="1" x14ac:dyDescent="0.25">
      <c r="B368" s="807" t="s">
        <v>621</v>
      </c>
      <c r="C368" s="801" t="s">
        <v>804</v>
      </c>
      <c r="D368" s="807" t="s">
        <v>616</v>
      </c>
      <c r="E368" s="807"/>
      <c r="F368" s="808"/>
      <c r="G368" s="807"/>
      <c r="H368" s="809"/>
      <c r="I368" s="809">
        <v>7</v>
      </c>
      <c r="J368" s="809">
        <v>25</v>
      </c>
      <c r="K368" s="809">
        <v>25</v>
      </c>
      <c r="L368" s="799">
        <f t="shared" si="5"/>
        <v>57</v>
      </c>
    </row>
    <row r="369" spans="2:12" ht="30" customHeight="1" x14ac:dyDescent="0.25">
      <c r="B369" s="807" t="s">
        <v>621</v>
      </c>
      <c r="C369" s="801" t="s">
        <v>804</v>
      </c>
      <c r="D369" s="579" t="s">
        <v>632</v>
      </c>
      <c r="E369" s="804">
        <v>33</v>
      </c>
      <c r="F369" s="804">
        <v>1</v>
      </c>
      <c r="G369" s="804">
        <v>0</v>
      </c>
      <c r="H369" s="575"/>
      <c r="I369" s="575"/>
      <c r="J369" s="803"/>
      <c r="K369" s="803">
        <v>13</v>
      </c>
      <c r="L369" s="799">
        <f t="shared" si="5"/>
        <v>47</v>
      </c>
    </row>
    <row r="370" spans="2:12" ht="30" customHeight="1" x14ac:dyDescent="0.25">
      <c r="B370" s="807" t="s">
        <v>621</v>
      </c>
      <c r="C370" s="801" t="s">
        <v>804</v>
      </c>
      <c r="D370" s="807" t="s">
        <v>616</v>
      </c>
      <c r="E370" s="807">
        <v>12</v>
      </c>
      <c r="F370" s="808">
        <v>4</v>
      </c>
      <c r="G370" s="807">
        <v>25</v>
      </c>
      <c r="H370" s="809"/>
      <c r="I370" s="809"/>
      <c r="J370" s="809"/>
      <c r="K370" s="809"/>
      <c r="L370" s="799">
        <f t="shared" si="5"/>
        <v>41</v>
      </c>
    </row>
    <row r="371" spans="2:12" ht="30" customHeight="1" x14ac:dyDescent="0.25">
      <c r="B371" s="807" t="s">
        <v>621</v>
      </c>
      <c r="C371" s="801" t="s">
        <v>804</v>
      </c>
      <c r="D371" s="807" t="s">
        <v>611</v>
      </c>
      <c r="E371" s="807"/>
      <c r="F371" s="808"/>
      <c r="G371" s="807">
        <v>35</v>
      </c>
      <c r="H371" s="809"/>
      <c r="I371" s="809"/>
      <c r="J371" s="809"/>
      <c r="K371" s="809">
        <v>1</v>
      </c>
      <c r="L371" s="799">
        <f t="shared" si="5"/>
        <v>36</v>
      </c>
    </row>
    <row r="372" spans="2:12" ht="30" customHeight="1" x14ac:dyDescent="0.25">
      <c r="B372" s="807" t="s">
        <v>621</v>
      </c>
      <c r="C372" s="801" t="s">
        <v>804</v>
      </c>
      <c r="D372" s="807" t="s">
        <v>617</v>
      </c>
      <c r="E372" s="807"/>
      <c r="F372" s="808"/>
      <c r="G372" s="807">
        <v>27</v>
      </c>
      <c r="H372" s="809"/>
      <c r="I372" s="809"/>
      <c r="J372" s="809"/>
      <c r="K372" s="809"/>
      <c r="L372" s="799">
        <f t="shared" si="5"/>
        <v>27</v>
      </c>
    </row>
    <row r="373" spans="2:12" ht="30" customHeight="1" x14ac:dyDescent="0.25">
      <c r="B373" s="807" t="s">
        <v>621</v>
      </c>
      <c r="C373" s="801" t="s">
        <v>804</v>
      </c>
      <c r="D373" s="807" t="s">
        <v>613</v>
      </c>
      <c r="E373" s="807"/>
      <c r="F373" s="808"/>
      <c r="G373" s="807">
        <v>26</v>
      </c>
      <c r="H373" s="809"/>
      <c r="I373" s="809"/>
      <c r="J373" s="809"/>
      <c r="K373" s="809"/>
      <c r="L373" s="799">
        <f t="shared" si="5"/>
        <v>26</v>
      </c>
    </row>
    <row r="374" spans="2:12" ht="30" customHeight="1" x14ac:dyDescent="0.25">
      <c r="B374" s="807" t="s">
        <v>621</v>
      </c>
      <c r="C374" s="801" t="s">
        <v>804</v>
      </c>
      <c r="D374" s="807" t="s">
        <v>782</v>
      </c>
      <c r="E374" s="807"/>
      <c r="F374" s="808"/>
      <c r="G374" s="807">
        <v>23</v>
      </c>
      <c r="H374" s="809"/>
      <c r="I374" s="809"/>
      <c r="J374" s="809"/>
      <c r="K374" s="809"/>
      <c r="L374" s="799">
        <f t="shared" si="5"/>
        <v>23</v>
      </c>
    </row>
    <row r="375" spans="2:12" ht="30" customHeight="1" x14ac:dyDescent="0.25">
      <c r="B375" s="807" t="s">
        <v>621</v>
      </c>
      <c r="C375" s="801" t="s">
        <v>804</v>
      </c>
      <c r="D375" s="807" t="s">
        <v>618</v>
      </c>
      <c r="E375" s="807"/>
      <c r="F375" s="808"/>
      <c r="G375" s="807">
        <v>19</v>
      </c>
      <c r="H375" s="809"/>
      <c r="I375" s="809"/>
      <c r="J375" s="809"/>
      <c r="K375" s="809"/>
      <c r="L375" s="799">
        <f t="shared" si="5"/>
        <v>19</v>
      </c>
    </row>
    <row r="376" spans="2:12" ht="30" customHeight="1" x14ac:dyDescent="0.25">
      <c r="B376" s="807" t="s">
        <v>621</v>
      </c>
      <c r="C376" s="801" t="s">
        <v>804</v>
      </c>
      <c r="D376" s="579" t="s">
        <v>610</v>
      </c>
      <c r="E376" s="804">
        <v>4</v>
      </c>
      <c r="F376" s="804"/>
      <c r="G376" s="804">
        <v>5</v>
      </c>
      <c r="H376" s="575"/>
      <c r="I376" s="575">
        <v>2</v>
      </c>
      <c r="J376" s="803"/>
      <c r="K376" s="803">
        <v>4</v>
      </c>
      <c r="L376" s="799">
        <f t="shared" si="5"/>
        <v>15</v>
      </c>
    </row>
    <row r="377" spans="2:12" ht="30" customHeight="1" x14ac:dyDescent="0.25">
      <c r="B377" s="807" t="s">
        <v>621</v>
      </c>
      <c r="C377" s="801" t="s">
        <v>804</v>
      </c>
      <c r="D377" s="807" t="s">
        <v>620</v>
      </c>
      <c r="E377" s="807"/>
      <c r="F377" s="808"/>
      <c r="G377" s="807"/>
      <c r="H377" s="809"/>
      <c r="I377" s="809">
        <v>3</v>
      </c>
      <c r="J377" s="809">
        <v>5</v>
      </c>
      <c r="K377" s="809">
        <v>5</v>
      </c>
      <c r="L377" s="799">
        <f t="shared" si="5"/>
        <v>13</v>
      </c>
    </row>
    <row r="378" spans="2:12" ht="30" customHeight="1" x14ac:dyDescent="0.25">
      <c r="B378" s="807" t="s">
        <v>621</v>
      </c>
      <c r="C378" s="801" t="s">
        <v>804</v>
      </c>
      <c r="D378" s="807" t="s">
        <v>619</v>
      </c>
      <c r="E378" s="807"/>
      <c r="F378" s="808"/>
      <c r="G378" s="807">
        <v>9</v>
      </c>
      <c r="H378" s="809"/>
      <c r="I378" s="809"/>
      <c r="J378" s="809"/>
      <c r="K378" s="809"/>
      <c r="L378" s="799">
        <f t="shared" si="5"/>
        <v>9</v>
      </c>
    </row>
    <row r="379" spans="2:12" ht="30" customHeight="1" x14ac:dyDescent="0.25">
      <c r="B379" s="807" t="s">
        <v>621</v>
      </c>
      <c r="C379" s="801" t="s">
        <v>804</v>
      </c>
      <c r="D379" s="579" t="s">
        <v>721</v>
      </c>
      <c r="E379" s="804"/>
      <c r="F379" s="804"/>
      <c r="G379" s="804">
        <v>7</v>
      </c>
      <c r="H379" s="575"/>
      <c r="I379" s="575"/>
      <c r="J379" s="803"/>
      <c r="K379" s="803">
        <v>1</v>
      </c>
      <c r="L379" s="799">
        <f t="shared" si="5"/>
        <v>8</v>
      </c>
    </row>
    <row r="380" spans="2:12" ht="30" customHeight="1" x14ac:dyDescent="0.25">
      <c r="B380" s="807" t="s">
        <v>621</v>
      </c>
      <c r="C380" s="801" t="s">
        <v>804</v>
      </c>
      <c r="D380" s="579" t="s">
        <v>807</v>
      </c>
      <c r="E380" s="804">
        <v>8</v>
      </c>
      <c r="F380" s="804"/>
      <c r="G380" s="804">
        <v>0</v>
      </c>
      <c r="H380" s="575"/>
      <c r="I380" s="575"/>
      <c r="J380" s="803"/>
      <c r="K380" s="803"/>
      <c r="L380" s="799">
        <f t="shared" si="5"/>
        <v>8</v>
      </c>
    </row>
    <row r="381" spans="2:12" ht="30" customHeight="1" x14ac:dyDescent="0.3">
      <c r="B381" s="807" t="s">
        <v>621</v>
      </c>
      <c r="C381" s="801" t="s">
        <v>804</v>
      </c>
      <c r="D381" s="579" t="s">
        <v>813</v>
      </c>
      <c r="E381" s="802">
        <v>3</v>
      </c>
      <c r="F381" s="802"/>
      <c r="G381" s="802">
        <v>5</v>
      </c>
      <c r="H381" s="802"/>
      <c r="I381" s="575"/>
      <c r="J381" s="803"/>
      <c r="K381" s="803"/>
      <c r="L381" s="799">
        <f t="shared" ref="L381:L397" si="6">+SUM(E381:K381)</f>
        <v>8</v>
      </c>
    </row>
    <row r="382" spans="2:12" ht="30" customHeight="1" x14ac:dyDescent="0.25">
      <c r="B382" s="807" t="s">
        <v>621</v>
      </c>
      <c r="C382" s="801" t="s">
        <v>804</v>
      </c>
      <c r="D382" s="807" t="s">
        <v>815</v>
      </c>
      <c r="E382" s="807">
        <v>2</v>
      </c>
      <c r="F382" s="808">
        <v>4</v>
      </c>
      <c r="G382" s="807">
        <v>0</v>
      </c>
      <c r="H382" s="809"/>
      <c r="I382" s="809"/>
      <c r="J382" s="809"/>
      <c r="K382" s="809"/>
      <c r="L382" s="799">
        <f t="shared" si="6"/>
        <v>6</v>
      </c>
    </row>
    <row r="383" spans="2:12" ht="30" customHeight="1" x14ac:dyDescent="0.25">
      <c r="B383" s="807" t="s">
        <v>621</v>
      </c>
      <c r="C383" s="801" t="s">
        <v>804</v>
      </c>
      <c r="D383" s="807" t="s">
        <v>617</v>
      </c>
      <c r="E383" s="807"/>
      <c r="F383" s="808"/>
      <c r="G383" s="807"/>
      <c r="H383" s="809"/>
      <c r="I383" s="809">
        <v>4</v>
      </c>
      <c r="J383" s="809">
        <v>1</v>
      </c>
      <c r="K383" s="809">
        <v>1</v>
      </c>
      <c r="L383" s="799">
        <f t="shared" si="6"/>
        <v>6</v>
      </c>
    </row>
    <row r="384" spans="2:12" ht="30" customHeight="1" x14ac:dyDescent="0.25">
      <c r="B384" s="807" t="s">
        <v>621</v>
      </c>
      <c r="C384" s="801" t="s">
        <v>804</v>
      </c>
      <c r="D384" s="579" t="s">
        <v>612</v>
      </c>
      <c r="E384" s="804">
        <v>2</v>
      </c>
      <c r="F384" s="804">
        <v>2</v>
      </c>
      <c r="G384" s="804">
        <v>0</v>
      </c>
      <c r="H384" s="575"/>
      <c r="I384" s="575"/>
      <c r="J384" s="803"/>
      <c r="K384" s="803"/>
      <c r="L384" s="799">
        <f t="shared" si="6"/>
        <v>4</v>
      </c>
    </row>
    <row r="385" spans="2:12" ht="30" customHeight="1" x14ac:dyDescent="0.25">
      <c r="B385" s="807" t="s">
        <v>621</v>
      </c>
      <c r="C385" s="801" t="s">
        <v>804</v>
      </c>
      <c r="D385" s="579" t="s">
        <v>809</v>
      </c>
      <c r="E385" s="804"/>
      <c r="F385" s="804">
        <v>4</v>
      </c>
      <c r="G385" s="804">
        <v>0</v>
      </c>
      <c r="H385" s="575"/>
      <c r="I385" s="575"/>
      <c r="J385" s="803"/>
      <c r="K385" s="803"/>
      <c r="L385" s="799">
        <f t="shared" si="6"/>
        <v>4</v>
      </c>
    </row>
    <row r="386" spans="2:12" ht="30" customHeight="1" x14ac:dyDescent="0.3">
      <c r="B386" s="807" t="s">
        <v>621</v>
      </c>
      <c r="C386" s="801" t="s">
        <v>804</v>
      </c>
      <c r="D386" s="579" t="s">
        <v>812</v>
      </c>
      <c r="E386" s="802">
        <v>4</v>
      </c>
      <c r="F386" s="802"/>
      <c r="G386" s="802">
        <v>0</v>
      </c>
      <c r="H386" s="802"/>
      <c r="I386" s="575"/>
      <c r="J386" s="803"/>
      <c r="K386" s="803"/>
      <c r="L386" s="799">
        <f t="shared" si="6"/>
        <v>4</v>
      </c>
    </row>
    <row r="387" spans="2:12" ht="30" customHeight="1" x14ac:dyDescent="0.25">
      <c r="B387" s="807" t="s">
        <v>621</v>
      </c>
      <c r="C387" s="801" t="s">
        <v>804</v>
      </c>
      <c r="D387" s="579" t="s">
        <v>805</v>
      </c>
      <c r="E387" s="804">
        <v>2</v>
      </c>
      <c r="F387" s="804">
        <v>1</v>
      </c>
      <c r="G387" s="804">
        <v>0</v>
      </c>
      <c r="H387" s="575"/>
      <c r="I387" s="575"/>
      <c r="J387" s="803"/>
      <c r="K387" s="803"/>
      <c r="L387" s="799">
        <f t="shared" si="6"/>
        <v>3</v>
      </c>
    </row>
    <row r="388" spans="2:12" ht="30" customHeight="1" x14ac:dyDescent="0.25">
      <c r="B388" s="807" t="s">
        <v>621</v>
      </c>
      <c r="C388" s="801" t="s">
        <v>804</v>
      </c>
      <c r="D388" s="579" t="s">
        <v>137</v>
      </c>
      <c r="E388" s="804">
        <v>2</v>
      </c>
      <c r="F388" s="804">
        <v>1</v>
      </c>
      <c r="G388" s="804">
        <v>0</v>
      </c>
      <c r="H388" s="575"/>
      <c r="I388" s="575"/>
      <c r="J388" s="803"/>
      <c r="K388" s="803"/>
      <c r="L388" s="799">
        <f t="shared" si="6"/>
        <v>3</v>
      </c>
    </row>
    <row r="389" spans="2:12" ht="30" customHeight="1" x14ac:dyDescent="0.25">
      <c r="B389" s="807" t="s">
        <v>621</v>
      </c>
      <c r="C389" s="801" t="s">
        <v>804</v>
      </c>
      <c r="D389" s="579" t="s">
        <v>808</v>
      </c>
      <c r="E389" s="804">
        <v>2</v>
      </c>
      <c r="F389" s="804"/>
      <c r="G389" s="804">
        <v>0</v>
      </c>
      <c r="H389" s="575"/>
      <c r="I389" s="575"/>
      <c r="J389" s="803"/>
      <c r="K389" s="803"/>
      <c r="L389" s="799">
        <f t="shared" si="6"/>
        <v>2</v>
      </c>
    </row>
    <row r="390" spans="2:12" ht="30" customHeight="1" x14ac:dyDescent="0.3">
      <c r="B390" s="807" t="s">
        <v>621</v>
      </c>
      <c r="C390" s="801" t="s">
        <v>804</v>
      </c>
      <c r="D390" s="579" t="s">
        <v>814</v>
      </c>
      <c r="E390" s="806">
        <v>2</v>
      </c>
      <c r="F390" s="806"/>
      <c r="G390" s="806">
        <v>0</v>
      </c>
      <c r="H390" s="806"/>
      <c r="I390" s="806"/>
      <c r="J390" s="806"/>
      <c r="K390" s="806"/>
      <c r="L390" s="799">
        <f t="shared" si="6"/>
        <v>2</v>
      </c>
    </row>
    <row r="391" spans="2:12" ht="30" customHeight="1" x14ac:dyDescent="0.25">
      <c r="B391" s="807" t="s">
        <v>621</v>
      </c>
      <c r="C391" s="801" t="s">
        <v>804</v>
      </c>
      <c r="D391" s="579" t="s">
        <v>806</v>
      </c>
      <c r="E391" s="804"/>
      <c r="F391" s="804">
        <v>1</v>
      </c>
      <c r="G391" s="804">
        <v>0</v>
      </c>
      <c r="H391" s="575"/>
      <c r="I391" s="575"/>
      <c r="J391" s="803"/>
      <c r="K391" s="803"/>
      <c r="L391" s="799">
        <f t="shared" si="6"/>
        <v>1</v>
      </c>
    </row>
    <row r="392" spans="2:12" ht="30" customHeight="1" x14ac:dyDescent="0.25">
      <c r="B392" s="807" t="s">
        <v>621</v>
      </c>
      <c r="C392" s="801" t="s">
        <v>804</v>
      </c>
      <c r="D392" s="579" t="s">
        <v>810</v>
      </c>
      <c r="E392" s="804">
        <v>1</v>
      </c>
      <c r="F392" s="804"/>
      <c r="G392" s="804">
        <v>0</v>
      </c>
      <c r="H392" s="575"/>
      <c r="I392" s="575"/>
      <c r="J392" s="803"/>
      <c r="K392" s="803"/>
      <c r="L392" s="799">
        <f t="shared" si="6"/>
        <v>1</v>
      </c>
    </row>
    <row r="393" spans="2:12" ht="30" customHeight="1" x14ac:dyDescent="0.25">
      <c r="B393" s="807" t="s">
        <v>621</v>
      </c>
      <c r="C393" s="801" t="s">
        <v>804</v>
      </c>
      <c r="D393" s="579" t="s">
        <v>811</v>
      </c>
      <c r="E393" s="804">
        <v>1</v>
      </c>
      <c r="F393" s="804"/>
      <c r="G393" s="804">
        <v>0</v>
      </c>
      <c r="H393" s="575"/>
      <c r="I393" s="575"/>
      <c r="J393" s="803"/>
      <c r="K393" s="803"/>
      <c r="L393" s="799">
        <f t="shared" si="6"/>
        <v>1</v>
      </c>
    </row>
    <row r="394" spans="2:12" ht="30" customHeight="1" x14ac:dyDescent="0.3">
      <c r="B394" s="807" t="s">
        <v>621</v>
      </c>
      <c r="C394" s="801" t="s">
        <v>804</v>
      </c>
      <c r="D394" s="805" t="s">
        <v>195</v>
      </c>
      <c r="E394" s="806">
        <v>1</v>
      </c>
      <c r="F394" s="806"/>
      <c r="G394" s="806">
        <v>0</v>
      </c>
      <c r="H394" s="806"/>
      <c r="I394" s="806"/>
      <c r="J394" s="806"/>
      <c r="K394" s="810"/>
      <c r="L394" s="799">
        <f t="shared" si="6"/>
        <v>1</v>
      </c>
    </row>
    <row r="395" spans="2:12" ht="30" customHeight="1" x14ac:dyDescent="0.25">
      <c r="B395" s="807" t="s">
        <v>621</v>
      </c>
      <c r="C395" s="801" t="s">
        <v>804</v>
      </c>
      <c r="D395" s="807" t="s">
        <v>620</v>
      </c>
      <c r="E395" s="807"/>
      <c r="F395" s="808"/>
      <c r="G395" s="807">
        <v>1</v>
      </c>
      <c r="H395" s="809"/>
      <c r="I395" s="809"/>
      <c r="J395" s="809"/>
      <c r="K395" s="809"/>
      <c r="L395" s="799">
        <f t="shared" si="6"/>
        <v>1</v>
      </c>
    </row>
    <row r="396" spans="2:12" ht="30" customHeight="1" x14ac:dyDescent="0.25">
      <c r="B396" s="807" t="s">
        <v>621</v>
      </c>
      <c r="C396" s="801" t="s">
        <v>804</v>
      </c>
      <c r="D396" s="807" t="s">
        <v>219</v>
      </c>
      <c r="E396" s="807"/>
      <c r="F396" s="808"/>
      <c r="G396" s="807"/>
      <c r="H396" s="809"/>
      <c r="I396" s="809"/>
      <c r="J396" s="809"/>
      <c r="K396" s="809">
        <v>1</v>
      </c>
      <c r="L396" s="799">
        <f t="shared" si="6"/>
        <v>1</v>
      </c>
    </row>
    <row r="397" spans="2:12" ht="30" customHeight="1" x14ac:dyDescent="0.25">
      <c r="B397" s="807" t="s">
        <v>621</v>
      </c>
      <c r="C397" s="801" t="s">
        <v>804</v>
      </c>
      <c r="D397" s="807" t="s">
        <v>832</v>
      </c>
      <c r="E397" s="807"/>
      <c r="F397" s="808"/>
      <c r="G397" s="807"/>
      <c r="H397" s="809"/>
      <c r="I397" s="809"/>
      <c r="J397" s="809"/>
      <c r="K397" s="809">
        <v>1</v>
      </c>
      <c r="L397" s="799">
        <f t="shared" si="6"/>
        <v>1</v>
      </c>
    </row>
    <row r="398" spans="2:12" ht="23.25" customHeight="1" x14ac:dyDescent="0.25">
      <c r="F398" s="71"/>
    </row>
    <row r="399" spans="2:12" ht="23.25" customHeight="1" x14ac:dyDescent="0.25">
      <c r="F399" s="71"/>
    </row>
    <row r="400" spans="2:12" ht="23.25" customHeight="1" x14ac:dyDescent="0.25">
      <c r="F400" s="71"/>
    </row>
    <row r="401" spans="6:6" ht="23.25" customHeight="1" x14ac:dyDescent="0.25">
      <c r="F401" s="71"/>
    </row>
    <row r="402" spans="6:6" ht="23.25" customHeight="1" x14ac:dyDescent="0.25">
      <c r="F402" s="71"/>
    </row>
    <row r="403" spans="6:6" ht="23.25" customHeight="1" x14ac:dyDescent="0.25">
      <c r="F403" s="71"/>
    </row>
    <row r="404" spans="6:6" ht="23.25" customHeight="1" x14ac:dyDescent="0.25">
      <c r="F404" s="71"/>
    </row>
    <row r="405" spans="6:6" ht="23.25" customHeight="1" x14ac:dyDescent="0.25">
      <c r="F405" s="71"/>
    </row>
    <row r="406" spans="6:6" ht="23.25" customHeight="1" x14ac:dyDescent="0.25">
      <c r="F406" s="71"/>
    </row>
    <row r="407" spans="6:6" ht="23.25" customHeight="1" x14ac:dyDescent="0.25">
      <c r="F407" s="71"/>
    </row>
    <row r="408" spans="6:6" ht="23.25" customHeight="1" x14ac:dyDescent="0.25">
      <c r="F408" s="71"/>
    </row>
    <row r="409" spans="6:6" ht="23.25" customHeight="1" x14ac:dyDescent="0.25">
      <c r="F409" s="71"/>
    </row>
    <row r="410" spans="6:6" ht="23.25" customHeight="1" x14ac:dyDescent="0.25">
      <c r="F410" s="71"/>
    </row>
    <row r="411" spans="6:6" ht="23.25" customHeight="1" x14ac:dyDescent="0.25">
      <c r="F411" s="71"/>
    </row>
    <row r="412" spans="6:6" ht="23.25" customHeight="1" x14ac:dyDescent="0.25">
      <c r="F412" s="71"/>
    </row>
    <row r="413" spans="6:6" ht="23.25" customHeight="1" x14ac:dyDescent="0.25">
      <c r="F413" s="71"/>
    </row>
    <row r="414" spans="6:6" ht="23.25" customHeight="1" x14ac:dyDescent="0.25">
      <c r="F414" s="71"/>
    </row>
    <row r="415" spans="6:6" ht="23.25" customHeight="1" x14ac:dyDescent="0.25">
      <c r="F415" s="71"/>
    </row>
    <row r="416" spans="6:6" ht="23.25" customHeight="1" x14ac:dyDescent="0.25">
      <c r="F416" s="71"/>
    </row>
    <row r="417" spans="6:6" ht="23.25" customHeight="1" x14ac:dyDescent="0.25">
      <c r="F417" s="71"/>
    </row>
    <row r="418" spans="6:6" ht="23.25" customHeight="1" x14ac:dyDescent="0.25">
      <c r="F418" s="71"/>
    </row>
    <row r="419" spans="6:6" ht="23.25" customHeight="1" x14ac:dyDescent="0.25">
      <c r="F419" s="71"/>
    </row>
    <row r="420" spans="6:6" ht="23.25" customHeight="1" x14ac:dyDescent="0.25">
      <c r="F420" s="71"/>
    </row>
    <row r="421" spans="6:6" ht="23.25" customHeight="1" x14ac:dyDescent="0.25">
      <c r="F421" s="71"/>
    </row>
    <row r="422" spans="6:6" ht="23.25" customHeight="1" x14ac:dyDescent="0.25">
      <c r="F422" s="71"/>
    </row>
    <row r="423" spans="6:6" ht="23.25" customHeight="1" x14ac:dyDescent="0.25">
      <c r="F423" s="71"/>
    </row>
    <row r="424" spans="6:6" ht="23.25" customHeight="1" x14ac:dyDescent="0.25">
      <c r="F424" s="71"/>
    </row>
    <row r="425" spans="6:6" ht="23.25" customHeight="1" x14ac:dyDescent="0.25">
      <c r="F425" s="71"/>
    </row>
    <row r="426" spans="6:6" ht="23.25" customHeight="1" x14ac:dyDescent="0.25">
      <c r="F426" s="71"/>
    </row>
    <row r="427" spans="6:6" ht="23.25" customHeight="1" x14ac:dyDescent="0.25">
      <c r="F427" s="71"/>
    </row>
    <row r="428" spans="6:6" ht="23.25" customHeight="1" x14ac:dyDescent="0.25">
      <c r="F428" s="71"/>
    </row>
    <row r="429" spans="6:6" ht="23.25" customHeight="1" x14ac:dyDescent="0.25">
      <c r="F429" s="71"/>
    </row>
    <row r="430" spans="6:6" ht="23.25" customHeight="1" x14ac:dyDescent="0.25">
      <c r="F430" s="71"/>
    </row>
    <row r="431" spans="6:6" ht="23.25" customHeight="1" x14ac:dyDescent="0.25">
      <c r="F431" s="71"/>
    </row>
    <row r="432" spans="6:6" ht="23.25" customHeight="1" x14ac:dyDescent="0.25">
      <c r="F432" s="71"/>
    </row>
    <row r="433" spans="6:6" ht="23.25" customHeight="1" x14ac:dyDescent="0.25">
      <c r="F433" s="71"/>
    </row>
    <row r="434" spans="6:6" ht="23.25" customHeight="1" x14ac:dyDescent="0.25">
      <c r="F434" s="71"/>
    </row>
    <row r="435" spans="6:6" ht="23.25" customHeight="1" x14ac:dyDescent="0.25">
      <c r="F435" s="71"/>
    </row>
    <row r="436" spans="6:6" ht="23.25" customHeight="1" x14ac:dyDescent="0.25">
      <c r="F436" s="71"/>
    </row>
    <row r="437" spans="6:6" ht="23.25" customHeight="1" x14ac:dyDescent="0.25">
      <c r="F437" s="71"/>
    </row>
    <row r="438" spans="6:6" ht="23.25" customHeight="1" x14ac:dyDescent="0.25">
      <c r="F438" s="71"/>
    </row>
    <row r="439" spans="6:6" ht="23.25" customHeight="1" x14ac:dyDescent="0.25">
      <c r="F439" s="71"/>
    </row>
    <row r="440" spans="6:6" ht="23.25" customHeight="1" x14ac:dyDescent="0.25">
      <c r="F440" s="71"/>
    </row>
    <row r="441" spans="6:6" ht="23.25" customHeight="1" x14ac:dyDescent="0.25">
      <c r="F441" s="71"/>
    </row>
    <row r="442" spans="6:6" ht="23.25" customHeight="1" x14ac:dyDescent="0.25">
      <c r="F442" s="71"/>
    </row>
    <row r="443" spans="6:6" ht="23.25" customHeight="1" x14ac:dyDescent="0.25">
      <c r="F443" s="71"/>
    </row>
    <row r="444" spans="6:6" ht="23.25" customHeight="1" x14ac:dyDescent="0.25">
      <c r="F444" s="71"/>
    </row>
    <row r="445" spans="6:6" ht="23.25" customHeight="1" x14ac:dyDescent="0.25">
      <c r="F445" s="71"/>
    </row>
    <row r="446" spans="6:6" ht="23.25" customHeight="1" x14ac:dyDescent="0.25">
      <c r="F446" s="71"/>
    </row>
    <row r="447" spans="6:6" ht="23.25" customHeight="1" x14ac:dyDescent="0.25">
      <c r="F447" s="71"/>
    </row>
    <row r="448" spans="6:6" ht="23.25" customHeight="1" x14ac:dyDescent="0.25">
      <c r="F448" s="71"/>
    </row>
    <row r="449" spans="6:6" ht="23.25" customHeight="1" x14ac:dyDescent="0.25">
      <c r="F449" s="71"/>
    </row>
    <row r="450" spans="6:6" ht="23.25" customHeight="1" x14ac:dyDescent="0.25">
      <c r="F450" s="71"/>
    </row>
    <row r="451" spans="6:6" ht="23.25" customHeight="1" x14ac:dyDescent="0.25">
      <c r="F451" s="71"/>
    </row>
    <row r="452" spans="6:6" ht="23.25" customHeight="1" x14ac:dyDescent="0.25">
      <c r="F452" s="71"/>
    </row>
    <row r="453" spans="6:6" ht="23.25" customHeight="1" x14ac:dyDescent="0.25">
      <c r="F453" s="71"/>
    </row>
    <row r="454" spans="6:6" ht="23.25" customHeight="1" x14ac:dyDescent="0.25">
      <c r="F454" s="71"/>
    </row>
    <row r="455" spans="6:6" ht="23.25" customHeight="1" x14ac:dyDescent="0.25">
      <c r="F455" s="71"/>
    </row>
    <row r="456" spans="6:6" ht="23.25" customHeight="1" x14ac:dyDescent="0.25">
      <c r="F456" s="71"/>
    </row>
    <row r="457" spans="6:6" ht="23.25" customHeight="1" x14ac:dyDescent="0.25">
      <c r="F457" s="71"/>
    </row>
    <row r="458" spans="6:6" ht="23.25" customHeight="1" x14ac:dyDescent="0.25">
      <c r="F458" s="71"/>
    </row>
    <row r="459" spans="6:6" ht="23.25" customHeight="1" x14ac:dyDescent="0.25">
      <c r="F459" s="71"/>
    </row>
    <row r="460" spans="6:6" ht="23.25" customHeight="1" x14ac:dyDescent="0.25">
      <c r="F460" s="71"/>
    </row>
    <row r="461" spans="6:6" ht="23.25" customHeight="1" x14ac:dyDescent="0.25">
      <c r="F461" s="71"/>
    </row>
    <row r="462" spans="6:6" ht="23.25" customHeight="1" x14ac:dyDescent="0.25">
      <c r="F462" s="71"/>
    </row>
    <row r="463" spans="6:6" ht="23.25" customHeight="1" x14ac:dyDescent="0.25">
      <c r="F463" s="71"/>
    </row>
    <row r="464" spans="6:6" ht="23.25" customHeight="1" x14ac:dyDescent="0.25">
      <c r="F464" s="71"/>
    </row>
    <row r="465" spans="6:6" ht="23.25" customHeight="1" x14ac:dyDescent="0.25">
      <c r="F465" s="71"/>
    </row>
    <row r="466" spans="6:6" ht="23.25" customHeight="1" x14ac:dyDescent="0.25">
      <c r="F466" s="71"/>
    </row>
    <row r="467" spans="6:6" ht="23.25" customHeight="1" x14ac:dyDescent="0.25">
      <c r="F467" s="71"/>
    </row>
    <row r="468" spans="6:6" ht="23.25" customHeight="1" x14ac:dyDescent="0.25">
      <c r="F468" s="71"/>
    </row>
    <row r="469" spans="6:6" ht="23.25" customHeight="1" x14ac:dyDescent="0.25">
      <c r="F469" s="71"/>
    </row>
    <row r="470" spans="6:6" ht="23.25" customHeight="1" x14ac:dyDescent="0.25">
      <c r="F470" s="71"/>
    </row>
    <row r="471" spans="6:6" ht="23.25" customHeight="1" x14ac:dyDescent="0.25">
      <c r="F471" s="71"/>
    </row>
    <row r="472" spans="6:6" ht="23.25" customHeight="1" x14ac:dyDescent="0.25">
      <c r="F472" s="71"/>
    </row>
    <row r="473" spans="6:6" ht="23.25" customHeight="1" x14ac:dyDescent="0.25">
      <c r="F473" s="71"/>
    </row>
    <row r="474" spans="6:6" ht="23.25" customHeight="1" x14ac:dyDescent="0.25">
      <c r="F474" s="71"/>
    </row>
    <row r="475" spans="6:6" ht="23.25" customHeight="1" x14ac:dyDescent="0.25">
      <c r="F475" s="71"/>
    </row>
    <row r="476" spans="6:6" ht="23.25" customHeight="1" x14ac:dyDescent="0.25">
      <c r="F476" s="71"/>
    </row>
    <row r="477" spans="6:6" ht="23.25" customHeight="1" x14ac:dyDescent="0.25">
      <c r="F477" s="71"/>
    </row>
    <row r="478" spans="6:6" ht="23.25" customHeight="1" x14ac:dyDescent="0.25">
      <c r="F478" s="71"/>
    </row>
    <row r="479" spans="6:6" ht="23.25" customHeight="1" x14ac:dyDescent="0.25">
      <c r="F479" s="71"/>
    </row>
    <row r="480" spans="6:6" ht="23.25" customHeight="1" x14ac:dyDescent="0.25">
      <c r="F480" s="71"/>
    </row>
    <row r="481" spans="6:6" ht="23.25" customHeight="1" x14ac:dyDescent="0.25">
      <c r="F481" s="71"/>
    </row>
    <row r="482" spans="6:6" ht="23.25" customHeight="1" x14ac:dyDescent="0.25">
      <c r="F482" s="71"/>
    </row>
    <row r="483" spans="6:6" ht="23.25" customHeight="1" x14ac:dyDescent="0.25">
      <c r="F483" s="71"/>
    </row>
    <row r="484" spans="6:6" ht="23.25" customHeight="1" x14ac:dyDescent="0.25">
      <c r="F484" s="71"/>
    </row>
    <row r="485" spans="6:6" ht="23.25" customHeight="1" x14ac:dyDescent="0.25">
      <c r="F485" s="71"/>
    </row>
    <row r="486" spans="6:6" ht="23.25" customHeight="1" x14ac:dyDescent="0.25">
      <c r="F486" s="71"/>
    </row>
    <row r="487" spans="6:6" ht="23.25" customHeight="1" x14ac:dyDescent="0.25">
      <c r="F487" s="71"/>
    </row>
    <row r="488" spans="6:6" ht="23.25" customHeight="1" x14ac:dyDescent="0.25">
      <c r="F488" s="71"/>
    </row>
    <row r="489" spans="6:6" ht="23.25" customHeight="1" x14ac:dyDescent="0.25">
      <c r="F489" s="71"/>
    </row>
    <row r="490" spans="6:6" ht="23.25" customHeight="1" x14ac:dyDescent="0.25">
      <c r="F490" s="71"/>
    </row>
    <row r="491" spans="6:6" ht="23.25" customHeight="1" x14ac:dyDescent="0.25">
      <c r="F491" s="71"/>
    </row>
    <row r="492" spans="6:6" ht="23.25" customHeight="1" x14ac:dyDescent="0.25">
      <c r="F492" s="71"/>
    </row>
    <row r="493" spans="6:6" ht="23.25" customHeight="1" x14ac:dyDescent="0.25">
      <c r="F493" s="71"/>
    </row>
    <row r="494" spans="6:6" ht="23.25" customHeight="1" x14ac:dyDescent="0.25">
      <c r="F494" s="71"/>
    </row>
    <row r="495" spans="6:6" ht="23.25" customHeight="1" x14ac:dyDescent="0.25">
      <c r="F495" s="71"/>
    </row>
    <row r="496" spans="6:6" ht="23.25" customHeight="1" x14ac:dyDescent="0.25">
      <c r="F496" s="71"/>
    </row>
    <row r="497" spans="6:6" ht="23.25" customHeight="1" x14ac:dyDescent="0.25">
      <c r="F497" s="71"/>
    </row>
    <row r="498" spans="6:6" ht="23.25" customHeight="1" x14ac:dyDescent="0.25">
      <c r="F498" s="71"/>
    </row>
    <row r="499" spans="6:6" ht="23.25" customHeight="1" x14ac:dyDescent="0.25">
      <c r="F499" s="71"/>
    </row>
    <row r="500" spans="6:6" ht="23.25" customHeight="1" x14ac:dyDescent="0.25">
      <c r="F500" s="71"/>
    </row>
    <row r="501" spans="6:6" ht="23.25" customHeight="1" x14ac:dyDescent="0.25">
      <c r="F501" s="71"/>
    </row>
    <row r="502" spans="6:6" ht="23.25" customHeight="1" x14ac:dyDescent="0.25">
      <c r="F502" s="71"/>
    </row>
    <row r="503" spans="6:6" ht="23.25" customHeight="1" x14ac:dyDescent="0.25">
      <c r="F503" s="71"/>
    </row>
    <row r="504" spans="6:6" ht="23.25" customHeight="1" x14ac:dyDescent="0.25">
      <c r="F504" s="71"/>
    </row>
    <row r="505" spans="6:6" ht="23.25" customHeight="1" x14ac:dyDescent="0.25">
      <c r="F505" s="71"/>
    </row>
    <row r="506" spans="6:6" ht="23.25" customHeight="1" x14ac:dyDescent="0.25">
      <c r="F506" s="71"/>
    </row>
    <row r="507" spans="6:6" ht="23.25" customHeight="1" x14ac:dyDescent="0.25">
      <c r="F507" s="71"/>
    </row>
    <row r="508" spans="6:6" ht="23.25" customHeight="1" x14ac:dyDescent="0.25">
      <c r="F508" s="71"/>
    </row>
    <row r="509" spans="6:6" ht="23.25" customHeight="1" x14ac:dyDescent="0.25">
      <c r="F509" s="71"/>
    </row>
    <row r="510" spans="6:6" ht="23.25" customHeight="1" x14ac:dyDescent="0.25">
      <c r="F510" s="71"/>
    </row>
    <row r="511" spans="6:6" ht="23.25" customHeight="1" x14ac:dyDescent="0.25">
      <c r="F511" s="71"/>
    </row>
    <row r="512" spans="6:6" ht="23.25" customHeight="1" x14ac:dyDescent="0.25">
      <c r="F512" s="71"/>
    </row>
    <row r="513" spans="6:6" ht="23.25" customHeight="1" x14ac:dyDescent="0.25">
      <c r="F513" s="71"/>
    </row>
    <row r="514" spans="6:6" ht="23.25" customHeight="1" x14ac:dyDescent="0.25">
      <c r="F514" s="71"/>
    </row>
    <row r="515" spans="6:6" ht="23.25" customHeight="1" x14ac:dyDescent="0.25">
      <c r="F515" s="71"/>
    </row>
    <row r="516" spans="6:6" ht="23.25" customHeight="1" x14ac:dyDescent="0.25">
      <c r="F516" s="71"/>
    </row>
    <row r="517" spans="6:6" ht="23.25" customHeight="1" x14ac:dyDescent="0.25">
      <c r="F517" s="71"/>
    </row>
    <row r="518" spans="6:6" ht="23.25" customHeight="1" x14ac:dyDescent="0.25">
      <c r="F518" s="71"/>
    </row>
    <row r="519" spans="6:6" ht="23.25" customHeight="1" x14ac:dyDescent="0.25">
      <c r="F519" s="71"/>
    </row>
    <row r="520" spans="6:6" ht="23.25" customHeight="1" x14ac:dyDescent="0.25">
      <c r="F520" s="71"/>
    </row>
    <row r="521" spans="6:6" ht="23.25" customHeight="1" x14ac:dyDescent="0.25">
      <c r="F521" s="71"/>
    </row>
    <row r="522" spans="6:6" ht="23.25" customHeight="1" x14ac:dyDescent="0.25">
      <c r="F522" s="71"/>
    </row>
    <row r="523" spans="6:6" ht="23.25" customHeight="1" x14ac:dyDescent="0.25">
      <c r="F523" s="71"/>
    </row>
    <row r="524" spans="6:6" ht="23.25" customHeight="1" x14ac:dyDescent="0.25">
      <c r="F524" s="71"/>
    </row>
    <row r="525" spans="6:6" ht="23.25" customHeight="1" x14ac:dyDescent="0.25">
      <c r="F525" s="71"/>
    </row>
    <row r="526" spans="6:6" ht="23.25" customHeight="1" x14ac:dyDescent="0.25">
      <c r="F526" s="71"/>
    </row>
    <row r="527" spans="6:6" ht="23.25" customHeight="1" x14ac:dyDescent="0.25">
      <c r="F527" s="71"/>
    </row>
    <row r="528" spans="6:6" ht="23.25" customHeight="1" x14ac:dyDescent="0.25">
      <c r="F528" s="71"/>
    </row>
    <row r="529" spans="6:6" ht="23.25" customHeight="1" x14ac:dyDescent="0.25">
      <c r="F529" s="71"/>
    </row>
    <row r="530" spans="6:6" ht="23.25" customHeight="1" x14ac:dyDescent="0.25">
      <c r="F530" s="71"/>
    </row>
    <row r="531" spans="6:6" ht="23.25" customHeight="1" x14ac:dyDescent="0.25">
      <c r="F531" s="71"/>
    </row>
    <row r="532" spans="6:6" ht="23.25" customHeight="1" x14ac:dyDescent="0.25">
      <c r="F532" s="71"/>
    </row>
    <row r="533" spans="6:6" ht="23.25" customHeight="1" x14ac:dyDescent="0.25">
      <c r="F533" s="71"/>
    </row>
    <row r="534" spans="6:6" ht="23.25" customHeight="1" x14ac:dyDescent="0.25">
      <c r="F534" s="71"/>
    </row>
    <row r="535" spans="6:6" ht="23.25" customHeight="1" x14ac:dyDescent="0.25">
      <c r="F535" s="71"/>
    </row>
    <row r="536" spans="6:6" ht="23.25" customHeight="1" x14ac:dyDescent="0.25">
      <c r="F536" s="71"/>
    </row>
    <row r="537" spans="6:6" ht="23.25" customHeight="1" x14ac:dyDescent="0.25">
      <c r="F537" s="71"/>
    </row>
    <row r="538" spans="6:6" ht="23.25" customHeight="1" x14ac:dyDescent="0.25">
      <c r="F538" s="71"/>
    </row>
    <row r="539" spans="6:6" ht="23.25" customHeight="1" x14ac:dyDescent="0.25">
      <c r="F539" s="71"/>
    </row>
    <row r="540" spans="6:6" ht="23.25" customHeight="1" x14ac:dyDescent="0.25">
      <c r="F540" s="71"/>
    </row>
    <row r="541" spans="6:6" ht="23.25" customHeight="1" x14ac:dyDescent="0.25">
      <c r="F541" s="71"/>
    </row>
    <row r="542" spans="6:6" ht="23.25" customHeight="1" x14ac:dyDescent="0.25">
      <c r="F542" s="71"/>
    </row>
    <row r="543" spans="6:6" ht="23.25" customHeight="1" x14ac:dyDescent="0.25">
      <c r="F543" s="71"/>
    </row>
    <row r="544" spans="6:6" ht="23.25" customHeight="1" x14ac:dyDescent="0.25">
      <c r="F544" s="71"/>
    </row>
    <row r="545" spans="6:6" ht="23.25" customHeight="1" x14ac:dyDescent="0.25">
      <c r="F545" s="71"/>
    </row>
    <row r="546" spans="6:6" ht="23.25" customHeight="1" x14ac:dyDescent="0.25">
      <c r="F546" s="71"/>
    </row>
    <row r="547" spans="6:6" ht="23.25" customHeight="1" x14ac:dyDescent="0.25">
      <c r="F547" s="71"/>
    </row>
    <row r="548" spans="6:6" ht="23.25" customHeight="1" x14ac:dyDescent="0.25">
      <c r="F548" s="71"/>
    </row>
    <row r="549" spans="6:6" ht="23.25" customHeight="1" x14ac:dyDescent="0.25">
      <c r="F549" s="71"/>
    </row>
    <row r="550" spans="6:6" ht="23.25" customHeight="1" x14ac:dyDescent="0.25">
      <c r="F550" s="71"/>
    </row>
    <row r="551" spans="6:6" ht="23.25" customHeight="1" x14ac:dyDescent="0.25">
      <c r="F551" s="71"/>
    </row>
    <row r="552" spans="6:6" ht="23.25" customHeight="1" x14ac:dyDescent="0.25">
      <c r="F552" s="71"/>
    </row>
    <row r="553" spans="6:6" ht="23.25" customHeight="1" x14ac:dyDescent="0.25">
      <c r="F553" s="71"/>
    </row>
    <row r="554" spans="6:6" ht="23.25" customHeight="1" x14ac:dyDescent="0.25">
      <c r="F554" s="71"/>
    </row>
    <row r="555" spans="6:6" ht="23.25" customHeight="1" x14ac:dyDescent="0.25">
      <c r="F555" s="71"/>
    </row>
    <row r="556" spans="6:6" ht="23.25" customHeight="1" x14ac:dyDescent="0.25">
      <c r="F556" s="71"/>
    </row>
    <row r="557" spans="6:6" ht="23.25" customHeight="1" x14ac:dyDescent="0.25">
      <c r="F557" s="71"/>
    </row>
    <row r="558" spans="6:6" ht="23.25" customHeight="1" x14ac:dyDescent="0.25">
      <c r="F558" s="71"/>
    </row>
    <row r="559" spans="6:6" ht="23.25" customHeight="1" x14ac:dyDescent="0.25">
      <c r="F559" s="71"/>
    </row>
    <row r="560" spans="6:6" ht="23.25" customHeight="1" x14ac:dyDescent="0.25">
      <c r="F560" s="71"/>
    </row>
    <row r="561" spans="6:6" ht="23.25" customHeight="1" x14ac:dyDescent="0.25">
      <c r="F561" s="71"/>
    </row>
    <row r="562" spans="6:6" ht="23.25" customHeight="1" x14ac:dyDescent="0.25">
      <c r="F562" s="71"/>
    </row>
    <row r="563" spans="6:6" ht="23.25" customHeight="1" x14ac:dyDescent="0.25">
      <c r="F563" s="71"/>
    </row>
    <row r="564" spans="6:6" ht="23.25" customHeight="1" x14ac:dyDescent="0.25">
      <c r="F564" s="71"/>
    </row>
    <row r="565" spans="6:6" ht="23.25" customHeight="1" x14ac:dyDescent="0.25">
      <c r="F565" s="71"/>
    </row>
    <row r="566" spans="6:6" ht="23.25" customHeight="1" x14ac:dyDescent="0.25">
      <c r="F566" s="71"/>
    </row>
    <row r="567" spans="6:6" ht="23.25" customHeight="1" x14ac:dyDescent="0.25">
      <c r="F567" s="71"/>
    </row>
    <row r="568" spans="6:6" ht="23.25" customHeight="1" x14ac:dyDescent="0.25">
      <c r="F568" s="71"/>
    </row>
    <row r="569" spans="6:6" ht="23.25" customHeight="1" x14ac:dyDescent="0.25">
      <c r="F569" s="71"/>
    </row>
    <row r="570" spans="6:6" ht="23.25" customHeight="1" x14ac:dyDescent="0.25">
      <c r="F570" s="71"/>
    </row>
    <row r="571" spans="6:6" ht="23.25" customHeight="1" x14ac:dyDescent="0.25">
      <c r="F571" s="71"/>
    </row>
    <row r="572" spans="6:6" ht="23.25" customHeight="1" x14ac:dyDescent="0.25">
      <c r="F572" s="71"/>
    </row>
    <row r="573" spans="6:6" ht="23.25" customHeight="1" x14ac:dyDescent="0.25">
      <c r="F573" s="71"/>
    </row>
    <row r="574" spans="6:6" ht="23.25" customHeight="1" x14ac:dyDescent="0.25">
      <c r="F574" s="71"/>
    </row>
    <row r="575" spans="6:6" ht="23.25" customHeight="1" x14ac:dyDescent="0.25">
      <c r="F575" s="71"/>
    </row>
    <row r="576" spans="6:6" ht="23.25" customHeight="1" x14ac:dyDescent="0.25">
      <c r="F576" s="71"/>
    </row>
    <row r="577" spans="6:6" ht="23.25" customHeight="1" x14ac:dyDescent="0.25">
      <c r="F577" s="71"/>
    </row>
    <row r="578" spans="6:6" ht="23.25" customHeight="1" x14ac:dyDescent="0.25">
      <c r="F578" s="71"/>
    </row>
    <row r="579" spans="6:6" ht="23.25" customHeight="1" x14ac:dyDescent="0.25">
      <c r="F579" s="71"/>
    </row>
    <row r="580" spans="6:6" ht="23.25" customHeight="1" x14ac:dyDescent="0.25">
      <c r="F580" s="71"/>
    </row>
    <row r="581" spans="6:6" ht="23.25" customHeight="1" x14ac:dyDescent="0.25">
      <c r="F581" s="71"/>
    </row>
    <row r="582" spans="6:6" ht="23.25" customHeight="1" x14ac:dyDescent="0.25">
      <c r="F582" s="71"/>
    </row>
    <row r="583" spans="6:6" ht="23.25" customHeight="1" x14ac:dyDescent="0.25">
      <c r="F583" s="71"/>
    </row>
    <row r="584" spans="6:6" ht="23.25" customHeight="1" x14ac:dyDescent="0.25">
      <c r="F584" s="71"/>
    </row>
    <row r="585" spans="6:6" ht="23.25" customHeight="1" x14ac:dyDescent="0.25">
      <c r="F585" s="71"/>
    </row>
    <row r="586" spans="6:6" ht="23.25" customHeight="1" x14ac:dyDescent="0.25">
      <c r="F586" s="71"/>
    </row>
    <row r="587" spans="6:6" ht="23.25" customHeight="1" x14ac:dyDescent="0.25">
      <c r="F587" s="71"/>
    </row>
    <row r="588" spans="6:6" ht="23.25" customHeight="1" x14ac:dyDescent="0.25">
      <c r="F588" s="71"/>
    </row>
    <row r="589" spans="6:6" ht="23.25" customHeight="1" x14ac:dyDescent="0.25">
      <c r="F589" s="71"/>
    </row>
    <row r="590" spans="6:6" ht="23.25" customHeight="1" x14ac:dyDescent="0.25">
      <c r="F590" s="71"/>
    </row>
    <row r="591" spans="6:6" ht="23.25" customHeight="1" x14ac:dyDescent="0.25">
      <c r="F591" s="71"/>
    </row>
    <row r="592" spans="6:6" ht="23.25" customHeight="1" x14ac:dyDescent="0.25">
      <c r="F592" s="71"/>
    </row>
    <row r="593" spans="6:6" ht="23.25" customHeight="1" x14ac:dyDescent="0.25">
      <c r="F593" s="71"/>
    </row>
    <row r="594" spans="6:6" ht="23.25" customHeight="1" x14ac:dyDescent="0.25">
      <c r="F594" s="71"/>
    </row>
    <row r="595" spans="6:6" ht="23.25" customHeight="1" x14ac:dyDescent="0.25">
      <c r="F595" s="71"/>
    </row>
    <row r="596" spans="6:6" ht="23.25" customHeight="1" x14ac:dyDescent="0.25">
      <c r="F596" s="71"/>
    </row>
    <row r="597" spans="6:6" ht="23.25" customHeight="1" x14ac:dyDescent="0.25">
      <c r="F597" s="71"/>
    </row>
    <row r="598" spans="6:6" ht="23.25" customHeight="1" x14ac:dyDescent="0.25">
      <c r="F598" s="71"/>
    </row>
    <row r="599" spans="6:6" ht="23.25" customHeight="1" x14ac:dyDescent="0.25">
      <c r="F599" s="71"/>
    </row>
    <row r="600" spans="6:6" ht="23.25" customHeight="1" x14ac:dyDescent="0.25">
      <c r="F600" s="71"/>
    </row>
    <row r="601" spans="6:6" ht="23.25" customHeight="1" x14ac:dyDescent="0.25">
      <c r="F601" s="71"/>
    </row>
    <row r="602" spans="6:6" ht="23.25" customHeight="1" x14ac:dyDescent="0.25">
      <c r="F602" s="71"/>
    </row>
    <row r="603" spans="6:6" ht="23.25" customHeight="1" x14ac:dyDescent="0.25">
      <c r="F603" s="71"/>
    </row>
    <row r="604" spans="6:6" ht="23.25" customHeight="1" x14ac:dyDescent="0.25">
      <c r="F604" s="71"/>
    </row>
    <row r="605" spans="6:6" ht="23.25" customHeight="1" x14ac:dyDescent="0.25">
      <c r="F605" s="71"/>
    </row>
    <row r="606" spans="6:6" ht="23.25" customHeight="1" x14ac:dyDescent="0.25">
      <c r="F606" s="71"/>
    </row>
    <row r="607" spans="6:6" ht="23.25" customHeight="1" x14ac:dyDescent="0.25">
      <c r="F607" s="71"/>
    </row>
    <row r="608" spans="6:6" ht="23.25" customHeight="1" x14ac:dyDescent="0.25">
      <c r="F608" s="71"/>
    </row>
    <row r="609" spans="6:6" ht="23.25" customHeight="1" x14ac:dyDescent="0.25">
      <c r="F609" s="71"/>
    </row>
    <row r="610" spans="6:6" ht="23.25" customHeight="1" x14ac:dyDescent="0.25">
      <c r="F610" s="71"/>
    </row>
    <row r="611" spans="6:6" ht="23.25" customHeight="1" x14ac:dyDescent="0.25">
      <c r="F611" s="71"/>
    </row>
    <row r="612" spans="6:6" ht="23.25" customHeight="1" x14ac:dyDescent="0.25">
      <c r="F612" s="71"/>
    </row>
    <row r="613" spans="6:6" ht="23.25" customHeight="1" x14ac:dyDescent="0.25">
      <c r="F613" s="71"/>
    </row>
    <row r="614" spans="6:6" ht="23.25" customHeight="1" x14ac:dyDescent="0.25">
      <c r="F614" s="71"/>
    </row>
    <row r="615" spans="6:6" ht="23.25" customHeight="1" x14ac:dyDescent="0.25">
      <c r="F615" s="71"/>
    </row>
    <row r="616" spans="6:6" ht="23.25" customHeight="1" x14ac:dyDescent="0.25">
      <c r="F616" s="71"/>
    </row>
    <row r="617" spans="6:6" ht="23.25" customHeight="1" x14ac:dyDescent="0.25">
      <c r="F617" s="71"/>
    </row>
    <row r="618" spans="6:6" ht="23.25" customHeight="1" x14ac:dyDescent="0.25">
      <c r="F618" s="71"/>
    </row>
    <row r="619" spans="6:6" ht="23.25" customHeight="1" x14ac:dyDescent="0.25">
      <c r="F619" s="71"/>
    </row>
    <row r="620" spans="6:6" ht="23.25" customHeight="1" x14ac:dyDescent="0.25">
      <c r="F620" s="71"/>
    </row>
    <row r="621" spans="6:6" ht="23.25" customHeight="1" x14ac:dyDescent="0.25">
      <c r="F621" s="71"/>
    </row>
    <row r="622" spans="6:6" ht="23.25" customHeight="1" x14ac:dyDescent="0.25">
      <c r="F622" s="71"/>
    </row>
    <row r="623" spans="6:6" ht="23.25" customHeight="1" x14ac:dyDescent="0.25">
      <c r="F623" s="71"/>
    </row>
    <row r="624" spans="6:6" ht="23.25" customHeight="1" x14ac:dyDescent="0.25">
      <c r="F624" s="71"/>
    </row>
    <row r="625" spans="6:6" ht="23.25" customHeight="1" x14ac:dyDescent="0.25">
      <c r="F625" s="71"/>
    </row>
    <row r="626" spans="6:6" ht="23.25" customHeight="1" x14ac:dyDescent="0.25">
      <c r="F626" s="71"/>
    </row>
    <row r="627" spans="6:6" ht="23.25" customHeight="1" x14ac:dyDescent="0.25">
      <c r="F627" s="71"/>
    </row>
    <row r="628" spans="6:6" ht="23.25" customHeight="1" x14ac:dyDescent="0.25">
      <c r="F628" s="71"/>
    </row>
    <row r="629" spans="6:6" ht="23.25" customHeight="1" x14ac:dyDescent="0.25">
      <c r="F629" s="71"/>
    </row>
    <row r="630" spans="6:6" ht="23.25" customHeight="1" x14ac:dyDescent="0.25">
      <c r="F630" s="71"/>
    </row>
    <row r="631" spans="6:6" ht="23.25" customHeight="1" x14ac:dyDescent="0.25">
      <c r="F631" s="71"/>
    </row>
    <row r="632" spans="6:6" ht="23.25" customHeight="1" x14ac:dyDescent="0.25">
      <c r="F632" s="71"/>
    </row>
    <row r="633" spans="6:6" ht="23.25" customHeight="1" x14ac:dyDescent="0.25">
      <c r="F633" s="71"/>
    </row>
    <row r="634" spans="6:6" ht="23.25" customHeight="1" x14ac:dyDescent="0.25">
      <c r="F634" s="71"/>
    </row>
    <row r="635" spans="6:6" ht="23.25" customHeight="1" x14ac:dyDescent="0.25">
      <c r="F635" s="71"/>
    </row>
    <row r="636" spans="6:6" ht="23.25" customHeight="1" x14ac:dyDescent="0.25">
      <c r="F636" s="71"/>
    </row>
    <row r="637" spans="6:6" ht="23.25" customHeight="1" x14ac:dyDescent="0.25">
      <c r="F637" s="71"/>
    </row>
    <row r="638" spans="6:6" ht="23.25" customHeight="1" x14ac:dyDescent="0.25">
      <c r="F638" s="71"/>
    </row>
    <row r="639" spans="6:6" ht="23.25" customHeight="1" x14ac:dyDescent="0.25">
      <c r="F639" s="71"/>
    </row>
    <row r="640" spans="6:6" ht="23.25" customHeight="1" x14ac:dyDescent="0.25">
      <c r="F640" s="71"/>
    </row>
    <row r="641" spans="6:6" ht="23.25" customHeight="1" x14ac:dyDescent="0.25">
      <c r="F641" s="71"/>
    </row>
    <row r="642" spans="6:6" ht="23.25" customHeight="1" x14ac:dyDescent="0.25">
      <c r="F642" s="71"/>
    </row>
    <row r="643" spans="6:6" ht="23.25" customHeight="1" x14ac:dyDescent="0.25">
      <c r="F643" s="71"/>
    </row>
    <row r="644" spans="6:6" ht="23.25" customHeight="1" x14ac:dyDescent="0.25">
      <c r="F644" s="71"/>
    </row>
    <row r="645" spans="6:6" ht="23.25" customHeight="1" x14ac:dyDescent="0.25">
      <c r="F645" s="71"/>
    </row>
    <row r="646" spans="6:6" ht="23.25" customHeight="1" x14ac:dyDescent="0.25">
      <c r="F646" s="71"/>
    </row>
    <row r="647" spans="6:6" ht="23.25" customHeight="1" x14ac:dyDescent="0.25">
      <c r="F647" s="71"/>
    </row>
    <row r="648" spans="6:6" ht="23.25" customHeight="1" x14ac:dyDescent="0.25">
      <c r="F648" s="71"/>
    </row>
    <row r="649" spans="6:6" ht="23.25" customHeight="1" x14ac:dyDescent="0.25">
      <c r="F649" s="71"/>
    </row>
    <row r="650" spans="6:6" ht="23.25" customHeight="1" x14ac:dyDescent="0.25">
      <c r="F650" s="71"/>
    </row>
    <row r="651" spans="6:6" ht="23.25" customHeight="1" x14ac:dyDescent="0.25">
      <c r="F651" s="71"/>
    </row>
    <row r="652" spans="6:6" ht="23.25" customHeight="1" x14ac:dyDescent="0.25">
      <c r="F652" s="71"/>
    </row>
    <row r="653" spans="6:6" ht="23.25" customHeight="1" x14ac:dyDescent="0.25">
      <c r="F653" s="71"/>
    </row>
    <row r="654" spans="6:6" ht="23.25" customHeight="1" x14ac:dyDescent="0.25">
      <c r="F654" s="71"/>
    </row>
    <row r="655" spans="6:6" ht="23.25" customHeight="1" x14ac:dyDescent="0.25">
      <c r="F655" s="71"/>
    </row>
    <row r="656" spans="6:6" ht="23.25" customHeight="1" x14ac:dyDescent="0.25">
      <c r="F656" s="71"/>
    </row>
    <row r="657" spans="6:6" ht="23.25" customHeight="1" x14ac:dyDescent="0.25">
      <c r="F657" s="71"/>
    </row>
    <row r="658" spans="6:6" ht="23.25" customHeight="1" x14ac:dyDescent="0.25">
      <c r="F658" s="71"/>
    </row>
    <row r="659" spans="6:6" ht="23.25" customHeight="1" x14ac:dyDescent="0.25">
      <c r="F659" s="71"/>
    </row>
    <row r="660" spans="6:6" ht="23.25" customHeight="1" x14ac:dyDescent="0.25">
      <c r="F660" s="71"/>
    </row>
    <row r="661" spans="6:6" ht="23.25" customHeight="1" x14ac:dyDescent="0.25">
      <c r="F661" s="71"/>
    </row>
    <row r="662" spans="6:6" ht="23.25" customHeight="1" x14ac:dyDescent="0.25">
      <c r="F662" s="71"/>
    </row>
    <row r="663" spans="6:6" ht="23.25" customHeight="1" x14ac:dyDescent="0.25">
      <c r="F663" s="71"/>
    </row>
    <row r="664" spans="6:6" ht="23.25" customHeight="1" x14ac:dyDescent="0.25">
      <c r="F664" s="71"/>
    </row>
    <row r="665" spans="6:6" ht="23.25" customHeight="1" x14ac:dyDescent="0.25">
      <c r="F665" s="71"/>
    </row>
    <row r="666" spans="6:6" ht="23.25" customHeight="1" x14ac:dyDescent="0.25">
      <c r="F666" s="71"/>
    </row>
    <row r="667" spans="6:6" ht="23.25" customHeight="1" x14ac:dyDescent="0.25">
      <c r="F667" s="71"/>
    </row>
    <row r="668" spans="6:6" ht="23.25" customHeight="1" x14ac:dyDescent="0.25">
      <c r="F668" s="71"/>
    </row>
    <row r="669" spans="6:6" ht="23.25" customHeight="1" x14ac:dyDescent="0.25">
      <c r="F669" s="71"/>
    </row>
    <row r="670" spans="6:6" ht="23.25" customHeight="1" x14ac:dyDescent="0.25">
      <c r="F670" s="71"/>
    </row>
    <row r="671" spans="6:6" ht="23.25" customHeight="1" x14ac:dyDescent="0.25">
      <c r="F671" s="71"/>
    </row>
    <row r="672" spans="6:6" ht="23.25" customHeight="1" x14ac:dyDescent="0.25">
      <c r="F672" s="71"/>
    </row>
    <row r="673" spans="6:6" ht="23.25" customHeight="1" x14ac:dyDescent="0.25">
      <c r="F673" s="71"/>
    </row>
    <row r="674" spans="6:6" ht="23.25" customHeight="1" x14ac:dyDescent="0.25">
      <c r="F674" s="71"/>
    </row>
    <row r="675" spans="6:6" ht="23.25" customHeight="1" x14ac:dyDescent="0.25">
      <c r="F675" s="71"/>
    </row>
    <row r="676" spans="6:6" ht="23.25" customHeight="1" x14ac:dyDescent="0.25">
      <c r="F676" s="71"/>
    </row>
    <row r="677" spans="6:6" ht="23.25" customHeight="1" x14ac:dyDescent="0.25">
      <c r="F677" s="71"/>
    </row>
    <row r="678" spans="6:6" ht="23.25" customHeight="1" x14ac:dyDescent="0.25">
      <c r="F678" s="71"/>
    </row>
    <row r="679" spans="6:6" ht="23.25" customHeight="1" x14ac:dyDescent="0.25">
      <c r="F679" s="71"/>
    </row>
    <row r="680" spans="6:6" ht="23.25" customHeight="1" x14ac:dyDescent="0.25">
      <c r="F680" s="71"/>
    </row>
    <row r="681" spans="6:6" ht="23.25" customHeight="1" x14ac:dyDescent="0.25">
      <c r="F681" s="71"/>
    </row>
    <row r="682" spans="6:6" ht="23.25" customHeight="1" x14ac:dyDescent="0.25">
      <c r="F682" s="71"/>
    </row>
    <row r="683" spans="6:6" ht="23.25" customHeight="1" x14ac:dyDescent="0.25">
      <c r="F683" s="71"/>
    </row>
    <row r="684" spans="6:6" ht="23.25" customHeight="1" x14ac:dyDescent="0.25">
      <c r="F684" s="71"/>
    </row>
    <row r="685" spans="6:6" ht="23.25" customHeight="1" x14ac:dyDescent="0.25">
      <c r="F685" s="71"/>
    </row>
    <row r="686" spans="6:6" ht="23.25" customHeight="1" x14ac:dyDescent="0.25">
      <c r="F686" s="71"/>
    </row>
    <row r="687" spans="6:6" ht="23.25" customHeight="1" x14ac:dyDescent="0.25">
      <c r="F687" s="71"/>
    </row>
    <row r="688" spans="6:6" ht="23.25" customHeight="1" x14ac:dyDescent="0.25">
      <c r="F688" s="71"/>
    </row>
    <row r="689" spans="6:6" ht="23.25" customHeight="1" x14ac:dyDescent="0.25">
      <c r="F689" s="71"/>
    </row>
    <row r="690" spans="6:6" ht="23.25" customHeight="1" x14ac:dyDescent="0.25">
      <c r="F690" s="71"/>
    </row>
    <row r="691" spans="6:6" ht="23.25" customHeight="1" x14ac:dyDescent="0.25">
      <c r="F691" s="71"/>
    </row>
    <row r="692" spans="6:6" ht="23.25" customHeight="1" x14ac:dyDescent="0.25">
      <c r="F692" s="71"/>
    </row>
    <row r="693" spans="6:6" ht="23.25" customHeight="1" x14ac:dyDescent="0.25">
      <c r="F693" s="71"/>
    </row>
    <row r="694" spans="6:6" ht="23.25" customHeight="1" x14ac:dyDescent="0.25">
      <c r="F694" s="71"/>
    </row>
    <row r="695" spans="6:6" ht="23.25" customHeight="1" x14ac:dyDescent="0.25">
      <c r="F695" s="71"/>
    </row>
    <row r="696" spans="6:6" ht="23.25" customHeight="1" x14ac:dyDescent="0.25">
      <c r="F696" s="71"/>
    </row>
    <row r="697" spans="6:6" ht="23.25" customHeight="1" x14ac:dyDescent="0.25">
      <c r="F697" s="71"/>
    </row>
    <row r="698" spans="6:6" ht="23.25" customHeight="1" x14ac:dyDescent="0.25">
      <c r="F698" s="71"/>
    </row>
    <row r="699" spans="6:6" ht="23.25" customHeight="1" x14ac:dyDescent="0.25">
      <c r="F699" s="71"/>
    </row>
    <row r="700" spans="6:6" ht="23.25" customHeight="1" x14ac:dyDescent="0.25">
      <c r="F700" s="71"/>
    </row>
    <row r="701" spans="6:6" ht="23.25" customHeight="1" x14ac:dyDescent="0.25">
      <c r="F701" s="71"/>
    </row>
    <row r="702" spans="6:6" ht="23.25" customHeight="1" x14ac:dyDescent="0.25">
      <c r="F702" s="71"/>
    </row>
    <row r="703" spans="6:6" ht="23.25" customHeight="1" x14ac:dyDescent="0.25">
      <c r="F703" s="71"/>
    </row>
    <row r="704" spans="6:6" ht="23.25" customHeight="1" x14ac:dyDescent="0.25">
      <c r="F704" s="71"/>
    </row>
    <row r="705" spans="6:6" ht="23.25" customHeight="1" x14ac:dyDescent="0.25">
      <c r="F705" s="71"/>
    </row>
    <row r="706" spans="6:6" ht="23.25" customHeight="1" x14ac:dyDescent="0.25">
      <c r="F706" s="71"/>
    </row>
    <row r="707" spans="6:6" ht="23.25" customHeight="1" x14ac:dyDescent="0.25">
      <c r="F707" s="71"/>
    </row>
    <row r="708" spans="6:6" ht="23.25" customHeight="1" x14ac:dyDescent="0.25">
      <c r="F708" s="71"/>
    </row>
    <row r="709" spans="6:6" ht="23.25" customHeight="1" x14ac:dyDescent="0.25">
      <c r="F709" s="71"/>
    </row>
    <row r="710" spans="6:6" ht="23.25" customHeight="1" x14ac:dyDescent="0.25">
      <c r="F710" s="71"/>
    </row>
    <row r="711" spans="6:6" ht="23.25" customHeight="1" x14ac:dyDescent="0.25">
      <c r="F711" s="71"/>
    </row>
    <row r="712" spans="6:6" ht="23.25" customHeight="1" x14ac:dyDescent="0.25">
      <c r="F712" s="71"/>
    </row>
    <row r="713" spans="6:6" ht="23.25" customHeight="1" x14ac:dyDescent="0.25">
      <c r="F713" s="71"/>
    </row>
    <row r="714" spans="6:6" ht="23.25" customHeight="1" x14ac:dyDescent="0.25">
      <c r="F714" s="71"/>
    </row>
    <row r="715" spans="6:6" ht="23.25" customHeight="1" x14ac:dyDescent="0.25">
      <c r="F715" s="71"/>
    </row>
    <row r="716" spans="6:6" ht="23.25" customHeight="1" x14ac:dyDescent="0.25">
      <c r="F716" s="71"/>
    </row>
    <row r="717" spans="6:6" ht="23.25" customHeight="1" x14ac:dyDescent="0.25">
      <c r="F717" s="71"/>
    </row>
    <row r="718" spans="6:6" ht="23.25" customHeight="1" x14ac:dyDescent="0.25">
      <c r="F718" s="71"/>
    </row>
    <row r="719" spans="6:6" ht="23.25" customHeight="1" x14ac:dyDescent="0.25">
      <c r="F719" s="71"/>
    </row>
    <row r="720" spans="6:6" ht="23.25" customHeight="1" x14ac:dyDescent="0.25">
      <c r="F720" s="71"/>
    </row>
    <row r="721" spans="6:6" ht="23.25" customHeight="1" x14ac:dyDescent="0.25">
      <c r="F721" s="71"/>
    </row>
    <row r="722" spans="6:6" ht="23.25" customHeight="1" x14ac:dyDescent="0.25">
      <c r="F722" s="71"/>
    </row>
    <row r="723" spans="6:6" ht="23.25" customHeight="1" x14ac:dyDescent="0.25">
      <c r="F723" s="71"/>
    </row>
    <row r="724" spans="6:6" ht="23.25" customHeight="1" x14ac:dyDescent="0.25">
      <c r="F724" s="71"/>
    </row>
    <row r="725" spans="6:6" ht="23.25" customHeight="1" x14ac:dyDescent="0.25">
      <c r="F725" s="71"/>
    </row>
    <row r="726" spans="6:6" ht="23.25" customHeight="1" x14ac:dyDescent="0.25">
      <c r="F726" s="71"/>
    </row>
    <row r="727" spans="6:6" ht="23.25" customHeight="1" x14ac:dyDescent="0.25">
      <c r="F727" s="71"/>
    </row>
    <row r="728" spans="6:6" ht="23.25" customHeight="1" x14ac:dyDescent="0.25">
      <c r="F728" s="71"/>
    </row>
    <row r="729" spans="6:6" ht="23.25" customHeight="1" x14ac:dyDescent="0.25">
      <c r="F729" s="71"/>
    </row>
    <row r="730" spans="6:6" ht="23.25" customHeight="1" x14ac:dyDescent="0.25">
      <c r="F730" s="71"/>
    </row>
    <row r="731" spans="6:6" ht="23.25" customHeight="1" x14ac:dyDescent="0.25">
      <c r="F731" s="71"/>
    </row>
    <row r="732" spans="6:6" ht="23.25" customHeight="1" x14ac:dyDescent="0.25">
      <c r="F732" s="71"/>
    </row>
    <row r="733" spans="6:6" ht="23.25" customHeight="1" x14ac:dyDescent="0.25">
      <c r="F733" s="71"/>
    </row>
    <row r="734" spans="6:6" ht="23.25" customHeight="1" x14ac:dyDescent="0.25">
      <c r="F734" s="71"/>
    </row>
    <row r="735" spans="6:6" ht="23.25" customHeight="1" x14ac:dyDescent="0.25">
      <c r="F735" s="71"/>
    </row>
    <row r="736" spans="6:6" ht="23.25" customHeight="1" x14ac:dyDescent="0.25">
      <c r="F736" s="71"/>
    </row>
    <row r="737" spans="6:6" ht="23.25" customHeight="1" x14ac:dyDescent="0.25">
      <c r="F737" s="71"/>
    </row>
    <row r="738" spans="6:6" ht="23.25" customHeight="1" x14ac:dyDescent="0.25">
      <c r="F738" s="71"/>
    </row>
    <row r="739" spans="6:6" ht="23.25" customHeight="1" x14ac:dyDescent="0.25">
      <c r="F739" s="71"/>
    </row>
    <row r="740" spans="6:6" ht="23.25" customHeight="1" x14ac:dyDescent="0.25">
      <c r="F740" s="71"/>
    </row>
    <row r="741" spans="6:6" ht="23.25" customHeight="1" x14ac:dyDescent="0.25">
      <c r="F741" s="71"/>
    </row>
    <row r="742" spans="6:6" ht="23.25" customHeight="1" x14ac:dyDescent="0.25">
      <c r="F742" s="71"/>
    </row>
    <row r="743" spans="6:6" ht="23.25" customHeight="1" x14ac:dyDescent="0.25">
      <c r="F743" s="71"/>
    </row>
    <row r="744" spans="6:6" ht="23.25" customHeight="1" x14ac:dyDescent="0.25">
      <c r="F744" s="71"/>
    </row>
    <row r="745" spans="6:6" ht="23.25" customHeight="1" x14ac:dyDescent="0.25">
      <c r="F745" s="71"/>
    </row>
    <row r="746" spans="6:6" ht="23.25" customHeight="1" x14ac:dyDescent="0.25">
      <c r="F746" s="71"/>
    </row>
    <row r="747" spans="6:6" ht="23.25" customHeight="1" x14ac:dyDescent="0.25">
      <c r="F747" s="71"/>
    </row>
    <row r="748" spans="6:6" ht="23.25" customHeight="1" x14ac:dyDescent="0.25">
      <c r="F748" s="71"/>
    </row>
    <row r="749" spans="6:6" ht="23.25" customHeight="1" x14ac:dyDescent="0.25">
      <c r="F749" s="71"/>
    </row>
    <row r="750" spans="6:6" ht="23.25" customHeight="1" x14ac:dyDescent="0.25">
      <c r="F750" s="71"/>
    </row>
    <row r="751" spans="6:6" ht="23.25" customHeight="1" x14ac:dyDescent="0.25">
      <c r="F751" s="71"/>
    </row>
    <row r="752" spans="6:6" ht="23.25" customHeight="1" x14ac:dyDescent="0.25">
      <c r="F752" s="71"/>
    </row>
    <row r="753" spans="6:6" ht="23.25" customHeight="1" x14ac:dyDescent="0.25">
      <c r="F753" s="71"/>
    </row>
    <row r="754" spans="6:6" ht="23.25" customHeight="1" x14ac:dyDescent="0.25">
      <c r="F754" s="71"/>
    </row>
    <row r="755" spans="6:6" ht="23.25" customHeight="1" x14ac:dyDescent="0.25">
      <c r="F755" s="71"/>
    </row>
    <row r="756" spans="6:6" ht="23.25" customHeight="1" x14ac:dyDescent="0.25">
      <c r="F756" s="71"/>
    </row>
    <row r="757" spans="6:6" ht="23.25" customHeight="1" x14ac:dyDescent="0.25">
      <c r="F757" s="71"/>
    </row>
    <row r="758" spans="6:6" ht="23.25" customHeight="1" x14ac:dyDescent="0.25">
      <c r="F758" s="71"/>
    </row>
    <row r="759" spans="6:6" ht="23.25" customHeight="1" x14ac:dyDescent="0.25">
      <c r="F759" s="71"/>
    </row>
    <row r="760" spans="6:6" ht="23.25" customHeight="1" x14ac:dyDescent="0.25">
      <c r="F760" s="71"/>
    </row>
    <row r="761" spans="6:6" ht="23.25" customHeight="1" x14ac:dyDescent="0.25">
      <c r="F761" s="71"/>
    </row>
    <row r="762" spans="6:6" ht="23.25" customHeight="1" x14ac:dyDescent="0.25">
      <c r="F762" s="71"/>
    </row>
    <row r="763" spans="6:6" ht="23.25" customHeight="1" x14ac:dyDescent="0.25">
      <c r="F763" s="71"/>
    </row>
    <row r="764" spans="6:6" ht="23.25" customHeight="1" x14ac:dyDescent="0.25">
      <c r="F764" s="71"/>
    </row>
    <row r="765" spans="6:6" ht="23.25" customHeight="1" x14ac:dyDescent="0.25">
      <c r="F765" s="71"/>
    </row>
    <row r="766" spans="6:6" ht="23.25" customHeight="1" x14ac:dyDescent="0.25">
      <c r="F766" s="71"/>
    </row>
    <row r="767" spans="6:6" ht="23.25" customHeight="1" x14ac:dyDescent="0.25">
      <c r="F767" s="71"/>
    </row>
    <row r="768" spans="6:6" ht="23.25" customHeight="1" x14ac:dyDescent="0.25">
      <c r="F768" s="71"/>
    </row>
    <row r="769" spans="6:6" ht="23.25" customHeight="1" x14ac:dyDescent="0.25">
      <c r="F769" s="71"/>
    </row>
    <row r="770" spans="6:6" ht="23.25" customHeight="1" x14ac:dyDescent="0.25">
      <c r="F770" s="71"/>
    </row>
    <row r="771" spans="6:6" ht="23.25" customHeight="1" x14ac:dyDescent="0.25">
      <c r="F771" s="71"/>
    </row>
    <row r="772" spans="6:6" ht="23.25" customHeight="1" x14ac:dyDescent="0.25">
      <c r="F772" s="71"/>
    </row>
    <row r="773" spans="6:6" ht="23.25" customHeight="1" x14ac:dyDescent="0.25">
      <c r="F773" s="71"/>
    </row>
    <row r="774" spans="6:6" ht="23.25" customHeight="1" x14ac:dyDescent="0.25">
      <c r="F774" s="71"/>
    </row>
    <row r="775" spans="6:6" ht="23.25" customHeight="1" x14ac:dyDescent="0.25">
      <c r="F775" s="71"/>
    </row>
    <row r="776" spans="6:6" ht="23.25" customHeight="1" x14ac:dyDescent="0.25">
      <c r="F776" s="71"/>
    </row>
    <row r="777" spans="6:6" ht="23.25" customHeight="1" x14ac:dyDescent="0.25">
      <c r="F777" s="71"/>
    </row>
    <row r="778" spans="6:6" ht="23.25" customHeight="1" x14ac:dyDescent="0.25">
      <c r="F778" s="71"/>
    </row>
    <row r="779" spans="6:6" ht="23.25" customHeight="1" x14ac:dyDescent="0.25">
      <c r="F779" s="71"/>
    </row>
    <row r="780" spans="6:6" ht="23.25" customHeight="1" x14ac:dyDescent="0.25">
      <c r="F780" s="71"/>
    </row>
    <row r="781" spans="6:6" ht="23.25" customHeight="1" x14ac:dyDescent="0.25">
      <c r="F781" s="71"/>
    </row>
    <row r="782" spans="6:6" ht="23.25" customHeight="1" x14ac:dyDescent="0.25">
      <c r="F782" s="71"/>
    </row>
    <row r="783" spans="6:6" ht="23.25" customHeight="1" x14ac:dyDescent="0.25">
      <c r="F783" s="71"/>
    </row>
    <row r="784" spans="6:6" ht="23.25" customHeight="1" x14ac:dyDescent="0.25">
      <c r="F784" s="71"/>
    </row>
    <row r="785" spans="6:6" ht="23.25" customHeight="1" x14ac:dyDescent="0.25">
      <c r="F785" s="71"/>
    </row>
    <row r="786" spans="6:6" ht="23.25" customHeight="1" x14ac:dyDescent="0.25">
      <c r="F786" s="71"/>
    </row>
    <row r="787" spans="6:6" ht="23.25" customHeight="1" x14ac:dyDescent="0.25">
      <c r="F787" s="71"/>
    </row>
    <row r="788" spans="6:6" ht="23.25" customHeight="1" x14ac:dyDescent="0.25">
      <c r="F788" s="71"/>
    </row>
    <row r="789" spans="6:6" ht="23.25" customHeight="1" x14ac:dyDescent="0.25">
      <c r="F789" s="71"/>
    </row>
    <row r="790" spans="6:6" ht="23.25" customHeight="1" x14ac:dyDescent="0.25">
      <c r="F790" s="71"/>
    </row>
    <row r="791" spans="6:6" ht="23.25" customHeight="1" x14ac:dyDescent="0.25">
      <c r="F791" s="71"/>
    </row>
    <row r="792" spans="6:6" ht="23.25" customHeight="1" x14ac:dyDescent="0.25">
      <c r="F792" s="71"/>
    </row>
    <row r="793" spans="6:6" ht="23.25" customHeight="1" x14ac:dyDescent="0.25">
      <c r="F793" s="71"/>
    </row>
    <row r="794" spans="6:6" ht="23.25" customHeight="1" x14ac:dyDescent="0.25">
      <c r="F794" s="71"/>
    </row>
    <row r="795" spans="6:6" ht="23.25" customHeight="1" x14ac:dyDescent="0.25">
      <c r="F795" s="71"/>
    </row>
    <row r="796" spans="6:6" ht="23.25" customHeight="1" x14ac:dyDescent="0.25">
      <c r="F796" s="71"/>
    </row>
    <row r="797" spans="6:6" ht="23.25" customHeight="1" x14ac:dyDescent="0.25">
      <c r="F797" s="71"/>
    </row>
    <row r="798" spans="6:6" ht="23.25" customHeight="1" x14ac:dyDescent="0.25">
      <c r="F798" s="71"/>
    </row>
    <row r="799" spans="6:6" ht="23.25" customHeight="1" x14ac:dyDescent="0.25">
      <c r="F799" s="71"/>
    </row>
    <row r="800" spans="6:6" ht="23.25" customHeight="1" x14ac:dyDescent="0.25">
      <c r="F800" s="71"/>
    </row>
    <row r="801" spans="6:6" ht="23.25" customHeight="1" x14ac:dyDescent="0.25">
      <c r="F801" s="71"/>
    </row>
    <row r="802" spans="6:6" ht="23.25" customHeight="1" x14ac:dyDescent="0.25">
      <c r="F802" s="71"/>
    </row>
    <row r="803" spans="6:6" ht="23.25" customHeight="1" x14ac:dyDescent="0.25">
      <c r="F803" s="71"/>
    </row>
    <row r="804" spans="6:6" ht="23.25" customHeight="1" x14ac:dyDescent="0.25">
      <c r="F804" s="71"/>
    </row>
    <row r="805" spans="6:6" ht="23.25" customHeight="1" x14ac:dyDescent="0.25">
      <c r="F805" s="71"/>
    </row>
    <row r="806" spans="6:6" ht="23.25" customHeight="1" x14ac:dyDescent="0.25">
      <c r="F806" s="71"/>
    </row>
    <row r="807" spans="6:6" ht="23.25" customHeight="1" x14ac:dyDescent="0.25">
      <c r="F807" s="71"/>
    </row>
    <row r="808" spans="6:6" ht="23.25" customHeight="1" x14ac:dyDescent="0.25">
      <c r="F808" s="71"/>
    </row>
    <row r="809" spans="6:6" ht="23.25" customHeight="1" x14ac:dyDescent="0.25">
      <c r="F809" s="71"/>
    </row>
    <row r="810" spans="6:6" ht="23.25" customHeight="1" x14ac:dyDescent="0.25">
      <c r="F810" s="71"/>
    </row>
    <row r="811" spans="6:6" ht="23.25" customHeight="1" x14ac:dyDescent="0.25">
      <c r="F811" s="71"/>
    </row>
    <row r="812" spans="6:6" ht="23.25" customHeight="1" x14ac:dyDescent="0.25">
      <c r="F812" s="71"/>
    </row>
    <row r="813" spans="6:6" ht="23.25" customHeight="1" x14ac:dyDescent="0.25">
      <c r="F813" s="71"/>
    </row>
    <row r="814" spans="6:6" ht="23.25" customHeight="1" x14ac:dyDescent="0.25">
      <c r="F814" s="71"/>
    </row>
    <row r="815" spans="6:6" ht="23.25" customHeight="1" x14ac:dyDescent="0.25">
      <c r="F815" s="71"/>
    </row>
    <row r="816" spans="6:6" ht="23.25" customHeight="1" x14ac:dyDescent="0.25">
      <c r="F816" s="71"/>
    </row>
    <row r="817" spans="6:6" ht="23.25" customHeight="1" x14ac:dyDescent="0.25">
      <c r="F817" s="71"/>
    </row>
    <row r="818" spans="6:6" ht="23.25" customHeight="1" x14ac:dyDescent="0.25">
      <c r="F818" s="71"/>
    </row>
    <row r="819" spans="6:6" ht="23.25" customHeight="1" x14ac:dyDescent="0.25">
      <c r="F819" s="71"/>
    </row>
    <row r="820" spans="6:6" ht="23.25" customHeight="1" x14ac:dyDescent="0.25">
      <c r="F820" s="71"/>
    </row>
    <row r="821" spans="6:6" ht="23.25" customHeight="1" x14ac:dyDescent="0.25">
      <c r="F821" s="71"/>
    </row>
    <row r="822" spans="6:6" ht="23.25" customHeight="1" x14ac:dyDescent="0.25">
      <c r="F822" s="71"/>
    </row>
    <row r="823" spans="6:6" ht="23.25" customHeight="1" x14ac:dyDescent="0.25">
      <c r="F823" s="71"/>
    </row>
    <row r="824" spans="6:6" ht="23.25" customHeight="1" x14ac:dyDescent="0.25">
      <c r="F824" s="71"/>
    </row>
    <row r="825" spans="6:6" ht="23.25" customHeight="1" x14ac:dyDescent="0.25">
      <c r="F825" s="71"/>
    </row>
    <row r="826" spans="6:6" ht="23.25" customHeight="1" x14ac:dyDescent="0.25">
      <c r="F826" s="71"/>
    </row>
    <row r="827" spans="6:6" ht="23.25" customHeight="1" x14ac:dyDescent="0.25">
      <c r="F827" s="71"/>
    </row>
    <row r="828" spans="6:6" ht="23.25" customHeight="1" x14ac:dyDescent="0.25">
      <c r="F828" s="71"/>
    </row>
    <row r="829" spans="6:6" ht="23.25" customHeight="1" x14ac:dyDescent="0.25">
      <c r="F829" s="71"/>
    </row>
    <row r="830" spans="6:6" ht="23.25" customHeight="1" x14ac:dyDescent="0.25">
      <c r="F830" s="71"/>
    </row>
    <row r="831" spans="6:6" ht="23.25" customHeight="1" x14ac:dyDescent="0.25">
      <c r="F831" s="71"/>
    </row>
    <row r="832" spans="6:6" ht="23.25" customHeight="1" x14ac:dyDescent="0.25">
      <c r="F832" s="71"/>
    </row>
    <row r="833" spans="6:6" ht="23.25" customHeight="1" x14ac:dyDescent="0.25">
      <c r="F833" s="71"/>
    </row>
    <row r="834" spans="6:6" ht="23.25" customHeight="1" x14ac:dyDescent="0.25">
      <c r="F834" s="71"/>
    </row>
    <row r="835" spans="6:6" ht="23.25" customHeight="1" x14ac:dyDescent="0.25">
      <c r="F835" s="71"/>
    </row>
    <row r="836" spans="6:6" ht="23.25" customHeight="1" x14ac:dyDescent="0.25">
      <c r="F836" s="71"/>
    </row>
    <row r="837" spans="6:6" ht="23.25" customHeight="1" x14ac:dyDescent="0.25">
      <c r="F837" s="71"/>
    </row>
    <row r="838" spans="6:6" ht="23.25" customHeight="1" x14ac:dyDescent="0.25">
      <c r="F838" s="71"/>
    </row>
    <row r="839" spans="6:6" ht="23.25" customHeight="1" x14ac:dyDescent="0.25">
      <c r="F839" s="71"/>
    </row>
    <row r="840" spans="6:6" ht="23.25" customHeight="1" x14ac:dyDescent="0.25">
      <c r="F840" s="71"/>
    </row>
    <row r="841" spans="6:6" ht="23.25" customHeight="1" x14ac:dyDescent="0.25">
      <c r="F841" s="71"/>
    </row>
    <row r="842" spans="6:6" ht="23.25" customHeight="1" x14ac:dyDescent="0.25">
      <c r="F842" s="71"/>
    </row>
    <row r="843" spans="6:6" ht="23.25" customHeight="1" x14ac:dyDescent="0.25">
      <c r="F843" s="71"/>
    </row>
    <row r="844" spans="6:6" ht="23.25" customHeight="1" x14ac:dyDescent="0.25">
      <c r="F844" s="71"/>
    </row>
    <row r="845" spans="6:6" ht="23.25" customHeight="1" x14ac:dyDescent="0.25">
      <c r="F845" s="71"/>
    </row>
    <row r="846" spans="6:6" ht="23.25" customHeight="1" x14ac:dyDescent="0.25">
      <c r="F846" s="71"/>
    </row>
    <row r="847" spans="6:6" ht="23.25" customHeight="1" x14ac:dyDescent="0.25">
      <c r="F847" s="71"/>
    </row>
    <row r="848" spans="6:6" ht="23.25" customHeight="1" x14ac:dyDescent="0.25">
      <c r="F848" s="71"/>
    </row>
    <row r="849" spans="6:6" ht="23.25" customHeight="1" x14ac:dyDescent="0.25">
      <c r="F849" s="71"/>
    </row>
    <row r="850" spans="6:6" ht="23.25" customHeight="1" x14ac:dyDescent="0.25">
      <c r="F850" s="71"/>
    </row>
    <row r="851" spans="6:6" ht="23.25" customHeight="1" x14ac:dyDescent="0.25">
      <c r="F851" s="71"/>
    </row>
    <row r="852" spans="6:6" ht="23.25" customHeight="1" x14ac:dyDescent="0.25">
      <c r="F852" s="71"/>
    </row>
    <row r="853" spans="6:6" ht="23.25" customHeight="1" x14ac:dyDescent="0.25">
      <c r="F853" s="71"/>
    </row>
    <row r="854" spans="6:6" ht="23.25" customHeight="1" x14ac:dyDescent="0.25">
      <c r="F854" s="71"/>
    </row>
    <row r="855" spans="6:6" ht="23.25" customHeight="1" x14ac:dyDescent="0.25">
      <c r="F855" s="71"/>
    </row>
    <row r="856" spans="6:6" ht="23.25" customHeight="1" x14ac:dyDescent="0.25">
      <c r="F856" s="71"/>
    </row>
    <row r="857" spans="6:6" ht="23.25" customHeight="1" x14ac:dyDescent="0.25">
      <c r="F857" s="71"/>
    </row>
    <row r="858" spans="6:6" ht="23.25" customHeight="1" x14ac:dyDescent="0.25">
      <c r="F858" s="71"/>
    </row>
    <row r="859" spans="6:6" ht="23.25" customHeight="1" x14ac:dyDescent="0.25">
      <c r="F859" s="71"/>
    </row>
    <row r="860" spans="6:6" ht="23.25" customHeight="1" x14ac:dyDescent="0.25">
      <c r="F860" s="71"/>
    </row>
    <row r="861" spans="6:6" ht="23.25" customHeight="1" x14ac:dyDescent="0.25">
      <c r="F861" s="71"/>
    </row>
    <row r="862" spans="6:6" ht="23.25" customHeight="1" x14ac:dyDescent="0.25">
      <c r="F862" s="71"/>
    </row>
    <row r="863" spans="6:6" ht="23.25" customHeight="1" x14ac:dyDescent="0.25">
      <c r="F863" s="71"/>
    </row>
    <row r="864" spans="6:6" ht="23.25" customHeight="1" x14ac:dyDescent="0.25">
      <c r="F864" s="71"/>
    </row>
    <row r="865" spans="6:6" ht="23.25" customHeight="1" x14ac:dyDescent="0.25">
      <c r="F865" s="71"/>
    </row>
    <row r="866" spans="6:6" ht="23.25" customHeight="1" x14ac:dyDescent="0.25">
      <c r="F866" s="71"/>
    </row>
    <row r="867" spans="6:6" ht="23.25" customHeight="1" x14ac:dyDescent="0.25">
      <c r="F867" s="71"/>
    </row>
    <row r="868" spans="6:6" ht="23.25" customHeight="1" x14ac:dyDescent="0.25">
      <c r="F868" s="71"/>
    </row>
    <row r="869" spans="6:6" ht="23.25" customHeight="1" x14ac:dyDescent="0.25">
      <c r="F869" s="71"/>
    </row>
    <row r="870" spans="6:6" ht="23.25" customHeight="1" x14ac:dyDescent="0.25">
      <c r="F870" s="71"/>
    </row>
    <row r="871" spans="6:6" ht="23.25" customHeight="1" x14ac:dyDescent="0.25">
      <c r="F871" s="71"/>
    </row>
    <row r="872" spans="6:6" ht="23.25" customHeight="1" x14ac:dyDescent="0.25">
      <c r="F872" s="71"/>
    </row>
    <row r="873" spans="6:6" ht="23.25" customHeight="1" x14ac:dyDescent="0.25">
      <c r="F873" s="71"/>
    </row>
    <row r="874" spans="6:6" ht="23.25" customHeight="1" x14ac:dyDescent="0.25">
      <c r="F874" s="71"/>
    </row>
    <row r="875" spans="6:6" ht="23.25" customHeight="1" x14ac:dyDescent="0.25">
      <c r="F875" s="71"/>
    </row>
    <row r="876" spans="6:6" ht="23.25" customHeight="1" x14ac:dyDescent="0.25">
      <c r="F876" s="71"/>
    </row>
    <row r="877" spans="6:6" ht="23.25" customHeight="1" x14ac:dyDescent="0.25">
      <c r="F877" s="71"/>
    </row>
    <row r="878" spans="6:6" ht="23.25" customHeight="1" x14ac:dyDescent="0.25">
      <c r="F878" s="71"/>
    </row>
    <row r="879" spans="6:6" ht="23.25" customHeight="1" x14ac:dyDescent="0.25">
      <c r="F879" s="71"/>
    </row>
    <row r="880" spans="6:6" ht="23.25" customHeight="1" x14ac:dyDescent="0.25">
      <c r="F880" s="71"/>
    </row>
    <row r="881" spans="6:6" ht="23.25" customHeight="1" x14ac:dyDescent="0.25">
      <c r="F881" s="71"/>
    </row>
    <row r="882" spans="6:6" ht="23.25" customHeight="1" x14ac:dyDescent="0.25">
      <c r="F882" s="71"/>
    </row>
    <row r="883" spans="6:6" ht="23.25" customHeight="1" x14ac:dyDescent="0.25">
      <c r="F883" s="71"/>
    </row>
    <row r="884" spans="6:6" ht="23.25" customHeight="1" x14ac:dyDescent="0.25">
      <c r="F884" s="71"/>
    </row>
    <row r="885" spans="6:6" ht="23.25" customHeight="1" x14ac:dyDescent="0.25">
      <c r="F885" s="71"/>
    </row>
    <row r="886" spans="6:6" ht="23.25" customHeight="1" x14ac:dyDescent="0.25">
      <c r="F886" s="71"/>
    </row>
    <row r="887" spans="6:6" ht="23.25" customHeight="1" x14ac:dyDescent="0.25">
      <c r="F887" s="71"/>
    </row>
    <row r="888" spans="6:6" ht="23.25" customHeight="1" x14ac:dyDescent="0.25">
      <c r="F888" s="71"/>
    </row>
    <row r="889" spans="6:6" ht="23.25" customHeight="1" x14ac:dyDescent="0.25">
      <c r="F889" s="71"/>
    </row>
    <row r="890" spans="6:6" ht="23.25" customHeight="1" x14ac:dyDescent="0.25">
      <c r="F890" s="71"/>
    </row>
    <row r="891" spans="6:6" ht="23.25" customHeight="1" x14ac:dyDescent="0.25">
      <c r="F891" s="71"/>
    </row>
    <row r="892" spans="6:6" ht="23.25" customHeight="1" x14ac:dyDescent="0.25">
      <c r="F892" s="71"/>
    </row>
    <row r="893" spans="6:6" ht="23.25" customHeight="1" x14ac:dyDescent="0.25">
      <c r="F893" s="71"/>
    </row>
    <row r="894" spans="6:6" ht="23.25" customHeight="1" x14ac:dyDescent="0.25">
      <c r="F894" s="71"/>
    </row>
    <row r="895" spans="6:6" ht="23.25" customHeight="1" x14ac:dyDescent="0.25">
      <c r="F895" s="71"/>
    </row>
    <row r="896" spans="6:6" ht="23.25" customHeight="1" x14ac:dyDescent="0.25">
      <c r="F896" s="71"/>
    </row>
    <row r="897" spans="6:6" ht="23.25" customHeight="1" x14ac:dyDescent="0.25">
      <c r="F897" s="71"/>
    </row>
    <row r="898" spans="6:6" ht="23.25" customHeight="1" x14ac:dyDescent="0.25">
      <c r="F898" s="71"/>
    </row>
  </sheetData>
  <autoFilter ref="B251:L268"/>
  <mergeCells count="62">
    <mergeCell ref="B241:I241"/>
    <mergeCell ref="D4:K4"/>
    <mergeCell ref="B209:B219"/>
    <mergeCell ref="B222:B230"/>
    <mergeCell ref="B239:J239"/>
    <mergeCell ref="B240:I240"/>
    <mergeCell ref="H178:H198"/>
    <mergeCell ref="I178:I198"/>
    <mergeCell ref="J178:J198"/>
    <mergeCell ref="B202:B208"/>
    <mergeCell ref="B157:B159"/>
    <mergeCell ref="B162:B163"/>
    <mergeCell ref="B164:B165"/>
    <mergeCell ref="B27:B38"/>
    <mergeCell ref="B39:B41"/>
    <mergeCell ref="B42:B44"/>
    <mergeCell ref="D2:G2"/>
    <mergeCell ref="D3:G3"/>
    <mergeCell ref="B15:B21"/>
    <mergeCell ref="H11:I11"/>
    <mergeCell ref="E11:E12"/>
    <mergeCell ref="D11:D12"/>
    <mergeCell ref="C11:C12"/>
    <mergeCell ref="B11:B12"/>
    <mergeCell ref="B8:D8"/>
    <mergeCell ref="T11:U11"/>
    <mergeCell ref="V11:W11"/>
    <mergeCell ref="G11:G12"/>
    <mergeCell ref="F11:F12"/>
    <mergeCell ref="J11:K11"/>
    <mergeCell ref="L11:M11"/>
    <mergeCell ref="N11:O11"/>
    <mergeCell ref="P11:Q11"/>
    <mergeCell ref="R11:S11"/>
    <mergeCell ref="B47:B48"/>
    <mergeCell ref="B49:B50"/>
    <mergeCell ref="E65:E85"/>
    <mergeCell ref="F65:F85"/>
    <mergeCell ref="G65:G85"/>
    <mergeCell ref="H65:H85"/>
    <mergeCell ref="I65:I85"/>
    <mergeCell ref="B52:B53"/>
    <mergeCell ref="B56:B57"/>
    <mergeCell ref="B58:B60"/>
    <mergeCell ref="B62:B63"/>
    <mergeCell ref="B65:B85"/>
    <mergeCell ref="B236:C236"/>
    <mergeCell ref="B238:J238"/>
    <mergeCell ref="B125:M125"/>
    <mergeCell ref="B243:J243"/>
    <mergeCell ref="J65:J85"/>
    <mergeCell ref="K65:K85"/>
    <mergeCell ref="B90:B96"/>
    <mergeCell ref="B97:B107"/>
    <mergeCell ref="B110:B118"/>
    <mergeCell ref="B170:B171"/>
    <mergeCell ref="B172:B174"/>
    <mergeCell ref="D134:K134"/>
    <mergeCell ref="D135:K135"/>
    <mergeCell ref="D136:K136"/>
    <mergeCell ref="B142:B153"/>
    <mergeCell ref="B154:B156"/>
  </mergeCells>
  <hyperlinks>
    <hyperlink ref="G13" r:id="rId1"/>
    <hyperlink ref="E15" r:id="rId2"/>
    <hyperlink ref="G15" r:id="rId3"/>
    <hyperlink ref="G18" r:id="rId4"/>
    <hyperlink ref="G19" r:id="rId5"/>
    <hyperlink ref="G20" r:id="rId6"/>
    <hyperlink ref="G21" r:id="rId7"/>
    <hyperlink ref="C6" r:id="rId8"/>
    <hyperlink ref="G14" r:id="rId9"/>
    <hyperlink ref="G16" r:id="rId10"/>
    <hyperlink ref="BG126" r:id="rId11"/>
  </hyperlinks>
  <pageMargins left="0.7" right="0.7" top="0.75" bottom="0.75" header="0" footer="0"/>
  <pageSetup orientation="landscape" r:id="rId12"/>
  <drawing r:id="rId1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2:O56"/>
  <sheetViews>
    <sheetView showGridLines="0" workbookViewId="0">
      <selection activeCell="B54" sqref="B54:H54"/>
    </sheetView>
  </sheetViews>
  <sheetFormatPr baseColWidth="10" defaultRowHeight="12.75" x14ac:dyDescent="0.2"/>
  <cols>
    <col min="1" max="1" width="11.42578125" style="1"/>
    <col min="2" max="2" width="42.28515625" style="1" customWidth="1"/>
    <col min="3" max="3" width="14.5703125" style="1" customWidth="1"/>
    <col min="4" max="4" width="49.28515625" style="1" customWidth="1"/>
    <col min="5" max="5" width="15" style="1" customWidth="1"/>
    <col min="6" max="13" width="11.42578125" style="1"/>
    <col min="14" max="14" width="39.42578125" style="1" customWidth="1"/>
    <col min="15" max="16384" width="11.42578125" style="1"/>
  </cols>
  <sheetData>
    <row r="2" spans="1:15" ht="15" customHeight="1" x14ac:dyDescent="0.2">
      <c r="D2" s="750"/>
      <c r="E2" s="751" t="s">
        <v>0</v>
      </c>
      <c r="F2" s="751"/>
      <c r="G2" s="751"/>
      <c r="H2" s="751"/>
      <c r="I2" s="751"/>
      <c r="J2" s="751"/>
      <c r="K2" s="751"/>
      <c r="L2" s="750"/>
    </row>
    <row r="3" spans="1:15" ht="15" customHeight="1" x14ac:dyDescent="0.2">
      <c r="D3" s="750"/>
      <c r="E3" s="752" t="s">
        <v>102</v>
      </c>
      <c r="F3" s="752"/>
      <c r="G3" s="752"/>
      <c r="H3" s="752"/>
      <c r="I3" s="752"/>
      <c r="J3" s="752"/>
      <c r="K3" s="752"/>
      <c r="L3" s="750"/>
    </row>
    <row r="4" spans="1:15" ht="12.75" customHeight="1" x14ac:dyDescent="0.2">
      <c r="D4" s="753" t="s">
        <v>511</v>
      </c>
      <c r="E4" s="753"/>
      <c r="F4" s="753"/>
      <c r="G4" s="753"/>
      <c r="H4" s="753"/>
      <c r="I4" s="753"/>
      <c r="J4" s="753"/>
      <c r="K4" s="753"/>
      <c r="L4" s="753"/>
    </row>
    <row r="6" spans="1:15" x14ac:dyDescent="0.2">
      <c r="B6" s="57" t="s">
        <v>110</v>
      </c>
      <c r="C6" s="56" t="s">
        <v>80</v>
      </c>
      <c r="D6" s="57"/>
      <c r="E6" s="57"/>
    </row>
    <row r="8" spans="1:15" x14ac:dyDescent="0.2">
      <c r="A8" s="731" t="s">
        <v>679</v>
      </c>
      <c r="B8" s="731"/>
      <c r="C8" s="731"/>
      <c r="D8" s="731"/>
      <c r="E8" s="731"/>
      <c r="F8" s="731"/>
      <c r="G8" s="731"/>
      <c r="H8" s="731"/>
      <c r="I8" s="731"/>
      <c r="J8" s="731"/>
      <c r="K8" s="731"/>
      <c r="L8" s="731"/>
      <c r="M8" s="731"/>
      <c r="N8" s="361"/>
      <c r="O8" s="361"/>
    </row>
    <row r="9" spans="1:15" ht="38.25" x14ac:dyDescent="0.2">
      <c r="A9" s="32" t="s">
        <v>4</v>
      </c>
      <c r="B9" s="32" t="s">
        <v>5</v>
      </c>
      <c r="C9" s="32" t="s">
        <v>6</v>
      </c>
      <c r="D9" s="33" t="s">
        <v>7</v>
      </c>
      <c r="E9" s="33" t="s">
        <v>8</v>
      </c>
      <c r="F9" s="32">
        <v>2018</v>
      </c>
      <c r="G9" s="32">
        <v>2019</v>
      </c>
      <c r="H9" s="32">
        <v>2020</v>
      </c>
      <c r="I9" s="32">
        <v>2021</v>
      </c>
      <c r="J9" s="32">
        <v>2022</v>
      </c>
      <c r="K9" s="32">
        <v>2023</v>
      </c>
      <c r="L9" s="32">
        <v>2024</v>
      </c>
      <c r="M9" s="32">
        <v>2025</v>
      </c>
    </row>
    <row r="10" spans="1:15" ht="68.25" customHeight="1" x14ac:dyDescent="0.2">
      <c r="A10" s="12"/>
      <c r="B10" s="385" t="s">
        <v>237</v>
      </c>
      <c r="C10" s="385" t="s">
        <v>25</v>
      </c>
      <c r="D10" s="385" t="s">
        <v>26</v>
      </c>
      <c r="E10" s="386" t="s">
        <v>27</v>
      </c>
      <c r="F10" s="387"/>
      <c r="G10" s="387">
        <v>11187</v>
      </c>
      <c r="H10" s="387">
        <v>1929</v>
      </c>
      <c r="I10" s="387">
        <v>2002</v>
      </c>
      <c r="J10" s="387">
        <v>2362</v>
      </c>
      <c r="K10" s="387">
        <v>2616</v>
      </c>
      <c r="L10" s="387">
        <v>3322</v>
      </c>
      <c r="M10" s="387">
        <v>3435</v>
      </c>
    </row>
    <row r="11" spans="1:15" ht="68.25" customHeight="1" x14ac:dyDescent="0.2">
      <c r="B11" s="16" t="s">
        <v>236</v>
      </c>
      <c r="C11" s="16" t="s">
        <v>25</v>
      </c>
      <c r="D11" s="16" t="s">
        <v>26</v>
      </c>
      <c r="E11" s="13" t="s">
        <v>27</v>
      </c>
      <c r="F11" s="17"/>
      <c r="G11" s="17"/>
      <c r="H11" s="17">
        <f>13979-1929</f>
        <v>12050</v>
      </c>
      <c r="I11" s="17">
        <v>13397</v>
      </c>
      <c r="J11" s="17">
        <f>17046-3262</f>
        <v>13784</v>
      </c>
      <c r="K11" s="17">
        <v>15710</v>
      </c>
      <c r="L11" s="17">
        <v>19882</v>
      </c>
      <c r="M11" s="17">
        <v>20615</v>
      </c>
    </row>
    <row r="12" spans="1:15" ht="109.5" customHeight="1" x14ac:dyDescent="0.2">
      <c r="B12" s="16" t="s">
        <v>42</v>
      </c>
      <c r="C12" s="16" t="s">
        <v>43</v>
      </c>
      <c r="D12" s="21" t="s">
        <v>44</v>
      </c>
      <c r="E12" s="13" t="s">
        <v>27</v>
      </c>
      <c r="F12" s="17">
        <v>0</v>
      </c>
      <c r="G12" s="17">
        <v>0</v>
      </c>
      <c r="H12" s="17">
        <v>4170</v>
      </c>
      <c r="I12" s="17">
        <v>4172</v>
      </c>
      <c r="J12" s="17">
        <v>10135</v>
      </c>
      <c r="K12" s="17">
        <v>10135</v>
      </c>
      <c r="L12" s="17">
        <v>10135</v>
      </c>
      <c r="M12" s="17">
        <v>10135</v>
      </c>
    </row>
    <row r="13" spans="1:15" ht="52.5" customHeight="1" x14ac:dyDescent="0.2">
      <c r="B13" s="16" t="s">
        <v>235</v>
      </c>
      <c r="C13" s="16" t="s">
        <v>25</v>
      </c>
      <c r="D13" s="16" t="s">
        <v>26</v>
      </c>
      <c r="E13" s="13" t="s">
        <v>27</v>
      </c>
      <c r="F13" s="35"/>
      <c r="G13" s="17"/>
      <c r="H13" s="17"/>
      <c r="I13" s="17"/>
      <c r="J13" s="17"/>
      <c r="K13" s="17">
        <v>1119</v>
      </c>
      <c r="L13" s="17">
        <v>5777</v>
      </c>
      <c r="M13" s="17">
        <v>7354</v>
      </c>
    </row>
    <row r="14" spans="1:15" ht="38.25" x14ac:dyDescent="0.2">
      <c r="B14" s="16" t="s">
        <v>46</v>
      </c>
      <c r="C14" s="16" t="s">
        <v>25</v>
      </c>
      <c r="D14" s="16" t="s">
        <v>26</v>
      </c>
      <c r="E14" s="13" t="s">
        <v>27</v>
      </c>
      <c r="F14" s="35"/>
      <c r="G14" s="17"/>
      <c r="H14" s="17">
        <v>5738</v>
      </c>
      <c r="I14" s="17">
        <v>6444</v>
      </c>
      <c r="J14" s="17">
        <v>6444</v>
      </c>
      <c r="K14" s="17">
        <v>6568</v>
      </c>
      <c r="L14" s="17">
        <v>6619</v>
      </c>
      <c r="M14" s="17">
        <v>6622</v>
      </c>
    </row>
    <row r="15" spans="1:15" ht="38.25" x14ac:dyDescent="0.2">
      <c r="B15" s="152" t="s">
        <v>47</v>
      </c>
      <c r="C15" s="152" t="s">
        <v>25</v>
      </c>
      <c r="D15" s="152" t="s">
        <v>48</v>
      </c>
      <c r="E15" s="155" t="s">
        <v>27</v>
      </c>
      <c r="F15" s="153"/>
      <c r="G15" s="154"/>
      <c r="H15" s="154"/>
      <c r="I15" s="154"/>
      <c r="J15" s="154"/>
      <c r="K15" s="154"/>
      <c r="L15" s="154">
        <v>48945</v>
      </c>
      <c r="M15" s="154">
        <v>48945</v>
      </c>
    </row>
    <row r="16" spans="1:15" ht="28.5" customHeight="1" x14ac:dyDescent="0.2">
      <c r="B16" s="36" t="s">
        <v>234</v>
      </c>
      <c r="C16" s="16" t="s">
        <v>25</v>
      </c>
      <c r="D16" s="36"/>
      <c r="E16" s="16" t="s">
        <v>27</v>
      </c>
      <c r="F16" s="36"/>
      <c r="G16" s="36"/>
      <c r="H16" s="36"/>
      <c r="I16" s="36">
        <v>1</v>
      </c>
      <c r="J16" s="36"/>
      <c r="K16" s="36">
        <v>11</v>
      </c>
      <c r="L16" s="36">
        <v>11</v>
      </c>
      <c r="M16" s="36">
        <v>84</v>
      </c>
    </row>
    <row r="21" spans="2:11" x14ac:dyDescent="0.2">
      <c r="B21" s="729" t="s">
        <v>0</v>
      </c>
      <c r="C21" s="729"/>
      <c r="D21" s="729"/>
      <c r="E21" s="729"/>
      <c r="F21" s="729"/>
      <c r="G21" s="729"/>
      <c r="H21" s="729"/>
      <c r="I21" s="729"/>
      <c r="J21" s="729"/>
      <c r="K21" s="729"/>
    </row>
    <row r="22" spans="2:11" x14ac:dyDescent="0.2">
      <c r="B22" s="729" t="s">
        <v>468</v>
      </c>
      <c r="C22" s="729"/>
      <c r="D22" s="729"/>
      <c r="E22" s="729"/>
      <c r="F22" s="729"/>
      <c r="G22" s="729"/>
      <c r="H22" s="729"/>
      <c r="I22" s="729"/>
      <c r="J22" s="729"/>
      <c r="K22" s="729"/>
    </row>
    <row r="23" spans="2:11" x14ac:dyDescent="0.2">
      <c r="B23" s="729" t="s">
        <v>469</v>
      </c>
      <c r="C23" s="729"/>
      <c r="D23" s="729"/>
      <c r="E23" s="729"/>
      <c r="F23" s="729"/>
      <c r="G23" s="729"/>
      <c r="H23" s="729"/>
      <c r="I23" s="729"/>
      <c r="J23" s="729"/>
      <c r="K23" s="729"/>
    </row>
    <row r="24" spans="2:11" x14ac:dyDescent="0.2">
      <c r="B24" s="161"/>
      <c r="C24" s="161"/>
      <c r="D24" s="161"/>
      <c r="E24" s="161"/>
      <c r="F24" s="161"/>
      <c r="G24" s="161"/>
      <c r="H24" s="161"/>
      <c r="I24" s="161"/>
      <c r="J24" s="161"/>
      <c r="K24" s="161"/>
    </row>
    <row r="25" spans="2:11" x14ac:dyDescent="0.2">
      <c r="B25" s="184" t="s">
        <v>110</v>
      </c>
      <c r="C25" s="56" t="s">
        <v>80</v>
      </c>
      <c r="D25" s="163"/>
      <c r="E25" s="163"/>
      <c r="F25" s="163"/>
      <c r="G25" s="163"/>
      <c r="H25" s="163"/>
      <c r="I25" s="163"/>
      <c r="J25" s="162"/>
      <c r="K25" s="162"/>
    </row>
    <row r="26" spans="2:11" x14ac:dyDescent="0.2">
      <c r="B26" s="184" t="s">
        <v>470</v>
      </c>
      <c r="C26" s="56" t="s">
        <v>471</v>
      </c>
      <c r="D26" s="163"/>
      <c r="E26" s="163"/>
      <c r="F26" s="163"/>
      <c r="G26" s="163"/>
      <c r="H26" s="163"/>
      <c r="I26" s="163"/>
      <c r="J26" s="162"/>
      <c r="K26" s="162"/>
    </row>
    <row r="27" spans="2:11" x14ac:dyDescent="0.2">
      <c r="B27" s="195"/>
      <c r="C27" s="161"/>
      <c r="D27" s="161"/>
      <c r="E27" s="161"/>
      <c r="F27" s="161"/>
      <c r="G27" s="161"/>
      <c r="H27" s="161"/>
      <c r="I27" s="161"/>
      <c r="J27" s="161"/>
      <c r="K27" s="161"/>
    </row>
    <row r="28" spans="2:11" x14ac:dyDescent="0.2">
      <c r="B28" s="732" t="s">
        <v>472</v>
      </c>
      <c r="C28" s="733"/>
      <c r="D28" s="733"/>
      <c r="E28" s="733"/>
      <c r="F28" s="733"/>
      <c r="G28" s="733"/>
      <c r="H28" s="733"/>
      <c r="I28" s="161"/>
      <c r="J28" s="161"/>
      <c r="K28" s="161"/>
    </row>
    <row r="29" spans="2:11" x14ac:dyDescent="0.2">
      <c r="B29" s="196" t="s">
        <v>473</v>
      </c>
      <c r="C29" s="197">
        <v>2021</v>
      </c>
      <c r="D29" s="198">
        <v>2022</v>
      </c>
      <c r="E29" s="198">
        <v>2023</v>
      </c>
      <c r="F29" s="198">
        <v>2024</v>
      </c>
      <c r="G29" s="198">
        <v>2025</v>
      </c>
      <c r="H29" s="198" t="s">
        <v>49</v>
      </c>
      <c r="I29" s="161"/>
      <c r="J29" s="191"/>
      <c r="K29" s="199"/>
    </row>
    <row r="30" spans="2:11" x14ac:dyDescent="0.2">
      <c r="B30" s="200" t="s">
        <v>474</v>
      </c>
      <c r="C30" s="201">
        <v>361945</v>
      </c>
      <c r="D30" s="201">
        <v>445909</v>
      </c>
      <c r="E30" s="201">
        <v>109832</v>
      </c>
      <c r="F30" s="202">
        <v>277186</v>
      </c>
      <c r="G30" s="364">
        <v>11731</v>
      </c>
      <c r="H30" s="201">
        <f>+SUM(C30:G30)</f>
        <v>1206603</v>
      </c>
      <c r="I30" s="161"/>
      <c r="J30" s="191"/>
      <c r="K30" s="199"/>
    </row>
    <row r="31" spans="2:11" x14ac:dyDescent="0.2">
      <c r="B31" s="200" t="s">
        <v>475</v>
      </c>
      <c r="C31" s="201">
        <v>224056</v>
      </c>
      <c r="D31" s="201">
        <v>256292</v>
      </c>
      <c r="E31" s="201">
        <v>56866</v>
      </c>
      <c r="F31" s="202">
        <v>426116</v>
      </c>
      <c r="G31" s="364"/>
      <c r="H31" s="201">
        <f>+SUM(C31:G31)</f>
        <v>963330</v>
      </c>
      <c r="I31" s="161"/>
      <c r="J31" s="191"/>
      <c r="K31" s="199"/>
    </row>
    <row r="32" spans="2:11" x14ac:dyDescent="0.2">
      <c r="B32" s="203" t="s">
        <v>476</v>
      </c>
      <c r="C32" s="204">
        <v>543614</v>
      </c>
      <c r="D32" s="205">
        <v>635283</v>
      </c>
      <c r="E32" s="205">
        <v>152640</v>
      </c>
      <c r="F32" s="206">
        <v>598144</v>
      </c>
      <c r="G32" s="365">
        <v>27450</v>
      </c>
      <c r="H32" s="201">
        <f>+SUM(C32:G32)</f>
        <v>1957131</v>
      </c>
      <c r="I32" s="161"/>
      <c r="J32" s="161"/>
      <c r="K32" s="161"/>
    </row>
    <row r="33" spans="2:11" x14ac:dyDescent="0.2">
      <c r="B33" s="203" t="s">
        <v>477</v>
      </c>
      <c r="C33" s="204">
        <f>+C47</f>
        <v>350568</v>
      </c>
      <c r="D33" s="204">
        <f>+D47</f>
        <v>432590</v>
      </c>
      <c r="E33" s="204">
        <f>+E47</f>
        <v>106292</v>
      </c>
      <c r="F33" s="204">
        <f>+F47</f>
        <v>524065</v>
      </c>
      <c r="G33" s="366">
        <v>104801</v>
      </c>
      <c r="H33" s="201">
        <f>+SUM(C33:G33)</f>
        <v>1518316</v>
      </c>
      <c r="I33" s="161"/>
      <c r="J33" s="161"/>
      <c r="K33" s="161"/>
    </row>
    <row r="34" spans="2:11" ht="48" customHeight="1" x14ac:dyDescent="0.2">
      <c r="B34" s="734" t="s">
        <v>478</v>
      </c>
      <c r="C34" s="734"/>
      <c r="D34" s="734"/>
      <c r="E34" s="734"/>
      <c r="F34" s="734"/>
      <c r="G34" s="734"/>
      <c r="H34" s="734"/>
      <c r="I34" s="207"/>
      <c r="J34" s="207"/>
      <c r="K34" s="207"/>
    </row>
    <row r="35" spans="2:11" x14ac:dyDescent="0.2">
      <c r="B35" s="161"/>
      <c r="C35" s="161"/>
      <c r="D35" s="161"/>
      <c r="E35" s="161"/>
      <c r="F35" s="161"/>
      <c r="G35" s="161"/>
      <c r="H35" s="161"/>
      <c r="I35" s="161"/>
      <c r="J35" s="161"/>
      <c r="K35" s="161"/>
    </row>
    <row r="36" spans="2:11" x14ac:dyDescent="0.2">
      <c r="B36" s="161"/>
      <c r="C36" s="161"/>
      <c r="D36" s="161"/>
      <c r="E36" s="161"/>
      <c r="F36" s="161"/>
      <c r="G36" s="161"/>
      <c r="H36" s="161"/>
      <c r="I36" s="161"/>
      <c r="J36" s="161"/>
      <c r="K36" s="161"/>
    </row>
    <row r="37" spans="2:11" x14ac:dyDescent="0.2">
      <c r="B37" s="161"/>
      <c r="C37" s="161"/>
      <c r="D37" s="161"/>
      <c r="E37" s="161"/>
      <c r="F37" s="161"/>
      <c r="G37" s="161"/>
      <c r="H37" s="161"/>
      <c r="I37" s="161"/>
      <c r="J37" s="161"/>
      <c r="K37" s="161"/>
    </row>
    <row r="38" spans="2:11" x14ac:dyDescent="0.2">
      <c r="B38" s="730" t="s">
        <v>479</v>
      </c>
      <c r="C38" s="730"/>
      <c r="D38" s="730"/>
      <c r="E38" s="730"/>
      <c r="F38" s="730"/>
      <c r="G38" s="730"/>
      <c r="H38" s="161"/>
      <c r="I38" s="161"/>
      <c r="J38" s="161"/>
      <c r="K38" s="161"/>
    </row>
    <row r="39" spans="2:11" x14ac:dyDescent="0.2">
      <c r="B39" s="730" t="s">
        <v>480</v>
      </c>
      <c r="C39" s="730"/>
      <c r="D39" s="730"/>
      <c r="E39" s="730"/>
      <c r="F39" s="730"/>
      <c r="G39" s="730"/>
      <c r="H39" s="161"/>
      <c r="I39" s="161"/>
      <c r="J39" s="161"/>
      <c r="K39" s="161"/>
    </row>
    <row r="40" spans="2:11" ht="25.5" x14ac:dyDescent="0.2">
      <c r="B40" s="208" t="s">
        <v>481</v>
      </c>
      <c r="C40" s="208">
        <v>2021</v>
      </c>
      <c r="D40" s="208">
        <v>2022</v>
      </c>
      <c r="E40" s="208">
        <v>2023</v>
      </c>
      <c r="F40" s="208">
        <v>2024</v>
      </c>
      <c r="G40" s="208" t="s">
        <v>49</v>
      </c>
      <c r="H40" s="161"/>
      <c r="I40" s="161"/>
      <c r="J40" s="161"/>
      <c r="K40" s="161"/>
    </row>
    <row r="41" spans="2:11" x14ac:dyDescent="0.2">
      <c r="B41" s="209" t="s">
        <v>482</v>
      </c>
      <c r="C41" s="210">
        <f>13127+13318</f>
        <v>26445</v>
      </c>
      <c r="D41" s="210">
        <f>16937+17298</f>
        <v>34235</v>
      </c>
      <c r="E41" s="210">
        <f>3991+4167</f>
        <v>8158</v>
      </c>
      <c r="F41" s="211">
        <f>14229+18138</f>
        <v>32367</v>
      </c>
      <c r="G41" s="210">
        <f t="shared" ref="G41:G46" si="0">+SUM(C41:F41)</f>
        <v>101205</v>
      </c>
      <c r="H41" s="161"/>
      <c r="I41" s="161"/>
      <c r="J41" s="161"/>
      <c r="K41" s="161"/>
    </row>
    <row r="42" spans="2:11" x14ac:dyDescent="0.2">
      <c r="B42" s="209" t="s">
        <v>483</v>
      </c>
      <c r="C42" s="212">
        <v>280160</v>
      </c>
      <c r="D42" s="212">
        <v>339679</v>
      </c>
      <c r="E42" s="210">
        <v>81965</v>
      </c>
      <c r="F42" s="213">
        <v>392380</v>
      </c>
      <c r="G42" s="210">
        <f>+SUM(C42:F42)</f>
        <v>1094184</v>
      </c>
      <c r="H42" s="161"/>
      <c r="I42" s="161"/>
      <c r="J42" s="161"/>
      <c r="K42" s="161"/>
    </row>
    <row r="43" spans="2:11" x14ac:dyDescent="0.2">
      <c r="B43" s="209" t="s">
        <v>484</v>
      </c>
      <c r="C43" s="210">
        <v>43963</v>
      </c>
      <c r="D43" s="210">
        <v>58676</v>
      </c>
      <c r="E43" s="210">
        <v>16169</v>
      </c>
      <c r="F43" s="213">
        <v>85131</v>
      </c>
      <c r="G43" s="210">
        <f>+SUM(C43:F43)</f>
        <v>203939</v>
      </c>
      <c r="H43" s="161"/>
      <c r="I43" s="161"/>
      <c r="J43" s="161"/>
      <c r="K43" s="161"/>
    </row>
    <row r="44" spans="2:11" x14ac:dyDescent="0.2">
      <c r="B44" s="214" t="s">
        <v>485</v>
      </c>
      <c r="C44" s="215"/>
      <c r="D44" s="215"/>
      <c r="E44" s="215"/>
      <c r="F44" s="211">
        <v>11617</v>
      </c>
      <c r="G44" s="210">
        <f t="shared" si="0"/>
        <v>11617</v>
      </c>
      <c r="H44" s="161"/>
      <c r="I44" s="161"/>
      <c r="J44" s="161"/>
      <c r="K44" s="161"/>
    </row>
    <row r="45" spans="2:11" x14ac:dyDescent="0.2">
      <c r="B45" s="214" t="s">
        <v>234</v>
      </c>
      <c r="C45" s="215"/>
      <c r="D45" s="215"/>
      <c r="E45" s="215"/>
      <c r="F45" s="211">
        <v>2487</v>
      </c>
      <c r="G45" s="210">
        <f t="shared" si="0"/>
        <v>2487</v>
      </c>
      <c r="H45" s="161"/>
      <c r="I45" s="161"/>
      <c r="J45" s="161"/>
      <c r="K45" s="161"/>
    </row>
    <row r="46" spans="2:11" x14ac:dyDescent="0.2">
      <c r="B46" s="214" t="s">
        <v>486</v>
      </c>
      <c r="C46" s="216"/>
      <c r="D46" s="216"/>
      <c r="E46" s="216"/>
      <c r="F46" s="216">
        <v>83</v>
      </c>
      <c r="G46" s="216">
        <f t="shared" si="0"/>
        <v>83</v>
      </c>
      <c r="H46" s="161"/>
      <c r="I46" s="161"/>
      <c r="J46" s="161"/>
      <c r="K46" s="161"/>
    </row>
    <row r="47" spans="2:11" ht="25.5" x14ac:dyDescent="0.2">
      <c r="B47" s="217" t="s">
        <v>481</v>
      </c>
      <c r="C47" s="218">
        <f>+SUM(C41:C46)</f>
        <v>350568</v>
      </c>
      <c r="D47" s="218">
        <f>+SUM(D41:D46)</f>
        <v>432590</v>
      </c>
      <c r="E47" s="218">
        <f>+SUM(E41:E46)</f>
        <v>106292</v>
      </c>
      <c r="F47" s="218">
        <f>+SUM(F41:F46)</f>
        <v>524065</v>
      </c>
      <c r="G47" s="218">
        <f>+SUM(G41:G46)</f>
        <v>1413515</v>
      </c>
      <c r="H47" s="161"/>
      <c r="I47" s="161"/>
      <c r="J47" s="161"/>
      <c r="K47" s="161"/>
    </row>
    <row r="51" spans="2:9" ht="12.75" customHeight="1" x14ac:dyDescent="0.2">
      <c r="B51" s="727" t="s">
        <v>680</v>
      </c>
      <c r="C51" s="728"/>
      <c r="D51" s="728"/>
      <c r="E51" s="728"/>
      <c r="F51" s="728"/>
      <c r="G51" s="728"/>
      <c r="H51" s="728"/>
      <c r="I51" s="728"/>
    </row>
    <row r="52" spans="2:9" x14ac:dyDescent="0.2">
      <c r="B52" s="239" t="s">
        <v>512</v>
      </c>
      <c r="C52" s="241">
        <v>2020</v>
      </c>
      <c r="D52" s="241">
        <v>2021</v>
      </c>
      <c r="E52" s="241">
        <v>2022</v>
      </c>
      <c r="F52" s="241">
        <v>2023</v>
      </c>
      <c r="G52" s="362">
        <v>2024</v>
      </c>
      <c r="H52" s="241">
        <v>2025</v>
      </c>
      <c r="I52" s="363" t="s">
        <v>49</v>
      </c>
    </row>
    <row r="53" spans="2:9" ht="22.5" customHeight="1" x14ac:dyDescent="0.2">
      <c r="B53" s="582" t="s">
        <v>621</v>
      </c>
      <c r="C53" s="384">
        <v>2734</v>
      </c>
      <c r="D53" s="811">
        <v>99190</v>
      </c>
      <c r="E53" s="811">
        <v>123159</v>
      </c>
      <c r="F53" s="811">
        <v>134325</v>
      </c>
      <c r="G53" s="811">
        <v>171279</v>
      </c>
      <c r="H53" s="811">
        <v>13796</v>
      </c>
      <c r="I53" s="316">
        <f>+SUM(C53:H53)</f>
        <v>544483</v>
      </c>
    </row>
    <row r="54" spans="2:9" ht="22.5" customHeight="1" x14ac:dyDescent="0.2">
      <c r="B54" s="580" t="s">
        <v>835</v>
      </c>
      <c r="C54" s="489">
        <v>86</v>
      </c>
      <c r="D54" s="406">
        <v>2259</v>
      </c>
      <c r="E54" s="406">
        <v>2941</v>
      </c>
      <c r="F54" s="812">
        <v>3761</v>
      </c>
      <c r="G54" s="581">
        <v>5460</v>
      </c>
      <c r="H54" s="568">
        <v>804</v>
      </c>
      <c r="I54" s="316">
        <f>+SUM(C54:H54)</f>
        <v>15311</v>
      </c>
    </row>
    <row r="56" spans="2:9" x14ac:dyDescent="0.2">
      <c r="B56" s="1" t="s">
        <v>706</v>
      </c>
    </row>
  </sheetData>
  <mergeCells count="12">
    <mergeCell ref="B51:I51"/>
    <mergeCell ref="E2:K2"/>
    <mergeCell ref="E3:K3"/>
    <mergeCell ref="B21:K21"/>
    <mergeCell ref="B39:G39"/>
    <mergeCell ref="D4:L4"/>
    <mergeCell ref="A8:M8"/>
    <mergeCell ref="B28:H28"/>
    <mergeCell ref="B34:H34"/>
    <mergeCell ref="B22:K22"/>
    <mergeCell ref="B23:K23"/>
    <mergeCell ref="B38:G38"/>
  </mergeCells>
  <hyperlinks>
    <hyperlink ref="C6" r:id="rId1"/>
    <hyperlink ref="C25" r:id="rId2"/>
  </hyperlinks>
  <pageMargins left="0.7" right="0.7" top="0.75" bottom="0.75" header="0.3" footer="0.3"/>
  <pageSetup orientation="portrait" verticalDpi="300" r:id="rId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2:K1006"/>
  <sheetViews>
    <sheetView showGridLines="0" workbookViewId="0">
      <selection activeCell="K128" sqref="K128"/>
    </sheetView>
  </sheetViews>
  <sheetFormatPr baseColWidth="10" defaultColWidth="14.42578125" defaultRowHeight="15" customHeight="1" x14ac:dyDescent="0.2"/>
  <cols>
    <col min="1" max="1" width="10" style="178" customWidth="1"/>
    <col min="2" max="2" width="20" style="178" customWidth="1"/>
    <col min="3" max="3" width="56.85546875" style="178" customWidth="1"/>
    <col min="4" max="8" width="10" style="182" customWidth="1"/>
    <col min="9" max="10" width="10" style="178" customWidth="1"/>
    <col min="11" max="11" width="36.42578125" style="178" customWidth="1"/>
    <col min="12" max="23" width="10" style="178" customWidth="1"/>
    <col min="24" max="16384" width="14.42578125" style="178"/>
  </cols>
  <sheetData>
    <row r="2" spans="2:11" ht="12.75" customHeight="1" x14ac:dyDescent="0.2">
      <c r="C2" s="179"/>
      <c r="D2" s="735" t="s">
        <v>0</v>
      </c>
      <c r="E2" s="735"/>
      <c r="F2" s="735"/>
      <c r="G2" s="735"/>
      <c r="H2" s="735"/>
      <c r="I2" s="179"/>
    </row>
    <row r="3" spans="2:11" ht="12.75" customHeight="1" x14ac:dyDescent="0.2">
      <c r="C3" s="179"/>
      <c r="D3" s="691" t="s">
        <v>373</v>
      </c>
      <c r="E3" s="691"/>
      <c r="F3" s="691"/>
      <c r="G3" s="691"/>
      <c r="H3" s="691"/>
      <c r="I3" s="179"/>
    </row>
    <row r="4" spans="2:11" ht="12.75" customHeight="1" x14ac:dyDescent="0.2">
      <c r="B4" s="180"/>
      <c r="C4" s="179"/>
      <c r="D4" s="736" t="s">
        <v>374</v>
      </c>
      <c r="E4" s="736"/>
      <c r="F4" s="736"/>
      <c r="G4" s="736"/>
      <c r="H4" s="736"/>
      <c r="I4" s="181"/>
      <c r="J4" s="181"/>
      <c r="K4" s="181"/>
    </row>
    <row r="5" spans="2:11" ht="12.75" x14ac:dyDescent="0.2">
      <c r="D5" s="178"/>
      <c r="E5" s="178"/>
      <c r="F5" s="178"/>
      <c r="G5" s="178"/>
      <c r="H5" s="178"/>
    </row>
    <row r="6" spans="2:11" ht="12.75" x14ac:dyDescent="0.2"/>
    <row r="7" spans="2:11" ht="12.75" x14ac:dyDescent="0.2">
      <c r="B7" s="164" t="s">
        <v>240</v>
      </c>
      <c r="C7" s="56" t="s">
        <v>241</v>
      </c>
      <c r="D7" s="178"/>
      <c r="E7" s="183"/>
      <c r="F7" s="183"/>
      <c r="G7" s="183"/>
    </row>
    <row r="8" spans="2:11" ht="12.75" x14ac:dyDescent="0.2">
      <c r="B8" s="184" t="s">
        <v>375</v>
      </c>
      <c r="C8" s="56" t="s">
        <v>376</v>
      </c>
      <c r="D8" s="178"/>
      <c r="E8" s="185"/>
      <c r="F8" s="185"/>
      <c r="G8" s="185"/>
      <c r="H8" s="183"/>
    </row>
    <row r="9" spans="2:11" ht="12.75" x14ac:dyDescent="0.2">
      <c r="D9" s="186"/>
      <c r="E9" s="186"/>
      <c r="F9" s="186"/>
      <c r="G9" s="186"/>
      <c r="H9" s="183"/>
    </row>
    <row r="10" spans="2:11" ht="12.75" x14ac:dyDescent="0.2">
      <c r="B10" s="187" t="s">
        <v>377</v>
      </c>
      <c r="C10" s="186"/>
      <c r="D10" s="186"/>
      <c r="E10" s="186"/>
      <c r="F10" s="186"/>
      <c r="G10" s="186"/>
      <c r="H10" s="183"/>
    </row>
    <row r="11" spans="2:11" ht="12.75" x14ac:dyDescent="0.2">
      <c r="B11" s="367" t="s">
        <v>378</v>
      </c>
      <c r="C11" s="367" t="s">
        <v>379</v>
      </c>
      <c r="D11" s="368">
        <v>2018</v>
      </c>
      <c r="E11" s="368">
        <v>2019</v>
      </c>
      <c r="F11" s="368">
        <v>2022</v>
      </c>
      <c r="G11" s="368">
        <v>2023</v>
      </c>
      <c r="H11" s="368">
        <v>2024</v>
      </c>
      <c r="I11" s="368">
        <v>2025</v>
      </c>
    </row>
    <row r="12" spans="2:11" ht="12.75" x14ac:dyDescent="0.2">
      <c r="B12" s="369">
        <v>1</v>
      </c>
      <c r="C12" s="370" t="s">
        <v>380</v>
      </c>
      <c r="D12" s="371" t="s">
        <v>99</v>
      </c>
      <c r="E12" s="371" t="s">
        <v>99</v>
      </c>
      <c r="F12" s="371" t="s">
        <v>99</v>
      </c>
      <c r="G12" s="372" t="s">
        <v>63</v>
      </c>
      <c r="H12" s="371" t="s">
        <v>63</v>
      </c>
      <c r="I12" s="371"/>
    </row>
    <row r="13" spans="2:11" ht="12.75" x14ac:dyDescent="0.2">
      <c r="B13" s="369">
        <v>2</v>
      </c>
      <c r="C13" s="370" t="s">
        <v>381</v>
      </c>
      <c r="D13" s="371" t="s">
        <v>99</v>
      </c>
      <c r="E13" s="371" t="s">
        <v>99</v>
      </c>
      <c r="F13" s="371" t="s">
        <v>63</v>
      </c>
      <c r="G13" s="372" t="s">
        <v>63</v>
      </c>
      <c r="H13" s="371" t="s">
        <v>63</v>
      </c>
      <c r="I13" s="371"/>
    </row>
    <row r="14" spans="2:11" ht="27" customHeight="1" x14ac:dyDescent="0.2">
      <c r="B14" s="369">
        <v>3</v>
      </c>
      <c r="C14" s="370" t="s">
        <v>382</v>
      </c>
      <c r="D14" s="371" t="s">
        <v>99</v>
      </c>
      <c r="E14" s="371" t="s">
        <v>99</v>
      </c>
      <c r="F14" s="371" t="s">
        <v>63</v>
      </c>
      <c r="G14" s="372" t="s">
        <v>63</v>
      </c>
      <c r="H14" s="371" t="s">
        <v>63</v>
      </c>
      <c r="I14" s="371"/>
    </row>
    <row r="15" spans="2:11" ht="12.75" x14ac:dyDescent="0.2">
      <c r="B15" s="369">
        <v>4</v>
      </c>
      <c r="C15" s="370" t="s">
        <v>383</v>
      </c>
      <c r="D15" s="371" t="s">
        <v>99</v>
      </c>
      <c r="E15" s="371" t="s">
        <v>99</v>
      </c>
      <c r="F15" s="371" t="s">
        <v>99</v>
      </c>
      <c r="G15" s="372" t="s">
        <v>63</v>
      </c>
      <c r="H15" s="371" t="s">
        <v>99</v>
      </c>
      <c r="I15" s="371"/>
    </row>
    <row r="16" spans="2:11" ht="12.75" x14ac:dyDescent="0.2">
      <c r="B16" s="369">
        <v>5</v>
      </c>
      <c r="C16" s="370" t="s">
        <v>384</v>
      </c>
      <c r="D16" s="371" t="s">
        <v>99</v>
      </c>
      <c r="E16" s="371" t="s">
        <v>99</v>
      </c>
      <c r="F16" s="371" t="s">
        <v>99</v>
      </c>
      <c r="G16" s="372" t="s">
        <v>63</v>
      </c>
      <c r="H16" s="371" t="s">
        <v>63</v>
      </c>
      <c r="I16" s="371"/>
    </row>
    <row r="17" spans="2:9" ht="12.75" x14ac:dyDescent="0.2">
      <c r="B17" s="369">
        <v>6</v>
      </c>
      <c r="C17" s="370" t="s">
        <v>681</v>
      </c>
      <c r="D17" s="371" t="s">
        <v>99</v>
      </c>
      <c r="E17" s="371" t="s">
        <v>99</v>
      </c>
      <c r="F17" s="371" t="s">
        <v>63</v>
      </c>
      <c r="G17" s="372" t="s">
        <v>63</v>
      </c>
      <c r="H17" s="371" t="s">
        <v>99</v>
      </c>
      <c r="I17" s="371" t="s">
        <v>98</v>
      </c>
    </row>
    <row r="18" spans="2:9" ht="12.75" x14ac:dyDescent="0.2">
      <c r="B18" s="369">
        <v>7</v>
      </c>
      <c r="C18" s="370" t="s">
        <v>385</v>
      </c>
      <c r="D18" s="371" t="s">
        <v>99</v>
      </c>
      <c r="E18" s="371" t="s">
        <v>99</v>
      </c>
      <c r="F18" s="371" t="s">
        <v>99</v>
      </c>
      <c r="G18" s="372" t="s">
        <v>63</v>
      </c>
      <c r="H18" s="371" t="s">
        <v>99</v>
      </c>
      <c r="I18" s="371"/>
    </row>
    <row r="19" spans="2:9" ht="12.75" x14ac:dyDescent="0.2">
      <c r="B19" s="369">
        <v>8</v>
      </c>
      <c r="C19" s="370" t="s">
        <v>386</v>
      </c>
      <c r="D19" s="371" t="s">
        <v>99</v>
      </c>
      <c r="E19" s="371" t="s">
        <v>99</v>
      </c>
      <c r="F19" s="371" t="s">
        <v>99</v>
      </c>
      <c r="G19" s="372" t="s">
        <v>99</v>
      </c>
      <c r="H19" s="371" t="s">
        <v>63</v>
      </c>
      <c r="I19" s="371"/>
    </row>
    <row r="20" spans="2:9" ht="12.75" x14ac:dyDescent="0.2">
      <c r="B20" s="369">
        <v>9</v>
      </c>
      <c r="C20" s="370" t="s">
        <v>387</v>
      </c>
      <c r="D20" s="371" t="s">
        <v>99</v>
      </c>
      <c r="E20" s="371" t="s">
        <v>99</v>
      </c>
      <c r="F20" s="371" t="s">
        <v>63</v>
      </c>
      <c r="G20" s="372" t="s">
        <v>63</v>
      </c>
      <c r="H20" s="371" t="s">
        <v>63</v>
      </c>
      <c r="I20" s="371"/>
    </row>
    <row r="21" spans="2:9" ht="12.75" x14ac:dyDescent="0.2">
      <c r="B21" s="369">
        <v>10</v>
      </c>
      <c r="C21" s="370" t="s">
        <v>388</v>
      </c>
      <c r="D21" s="371" t="s">
        <v>99</v>
      </c>
      <c r="E21" s="371" t="s">
        <v>99</v>
      </c>
      <c r="F21" s="371" t="s">
        <v>99</v>
      </c>
      <c r="G21" s="372" t="s">
        <v>63</v>
      </c>
      <c r="H21" s="371" t="s">
        <v>98</v>
      </c>
      <c r="I21" s="371" t="s">
        <v>98</v>
      </c>
    </row>
    <row r="22" spans="2:9" ht="12.75" x14ac:dyDescent="0.2">
      <c r="B22" s="369">
        <v>11</v>
      </c>
      <c r="C22" s="370" t="s">
        <v>389</v>
      </c>
      <c r="D22" s="371" t="s">
        <v>99</v>
      </c>
      <c r="E22" s="371" t="s">
        <v>99</v>
      </c>
      <c r="F22" s="371" t="s">
        <v>99</v>
      </c>
      <c r="G22" s="372" t="s">
        <v>63</v>
      </c>
      <c r="H22" s="371" t="s">
        <v>99</v>
      </c>
      <c r="I22" s="371" t="s">
        <v>98</v>
      </c>
    </row>
    <row r="23" spans="2:9" ht="12.75" x14ac:dyDescent="0.2">
      <c r="B23" s="369">
        <v>12</v>
      </c>
      <c r="C23" s="370" t="s">
        <v>390</v>
      </c>
      <c r="D23" s="371" t="s">
        <v>99</v>
      </c>
      <c r="E23" s="371" t="s">
        <v>99</v>
      </c>
      <c r="F23" s="371" t="s">
        <v>99</v>
      </c>
      <c r="G23" s="372" t="s">
        <v>99</v>
      </c>
      <c r="H23" s="371" t="s">
        <v>99</v>
      </c>
      <c r="I23" s="371"/>
    </row>
    <row r="24" spans="2:9" ht="12.75" x14ac:dyDescent="0.2">
      <c r="B24" s="369">
        <v>13</v>
      </c>
      <c r="C24" s="370" t="s">
        <v>391</v>
      </c>
      <c r="D24" s="371" t="s">
        <v>99</v>
      </c>
      <c r="E24" s="371" t="s">
        <v>99</v>
      </c>
      <c r="F24" s="371" t="s">
        <v>63</v>
      </c>
      <c r="G24" s="372" t="s">
        <v>63</v>
      </c>
      <c r="H24" s="371" t="s">
        <v>99</v>
      </c>
      <c r="I24" s="371"/>
    </row>
    <row r="25" spans="2:9" ht="12.75" x14ac:dyDescent="0.2">
      <c r="B25" s="369">
        <v>14</v>
      </c>
      <c r="C25" s="370" t="s">
        <v>392</v>
      </c>
      <c r="D25" s="371" t="s">
        <v>99</v>
      </c>
      <c r="E25" s="371" t="s">
        <v>99</v>
      </c>
      <c r="F25" s="371" t="s">
        <v>99</v>
      </c>
      <c r="G25" s="372" t="s">
        <v>63</v>
      </c>
      <c r="H25" s="371" t="s">
        <v>63</v>
      </c>
      <c r="I25" s="371" t="s">
        <v>98</v>
      </c>
    </row>
    <row r="26" spans="2:9" ht="15.75" customHeight="1" x14ac:dyDescent="0.2">
      <c r="B26" s="369">
        <v>15</v>
      </c>
      <c r="C26" s="370" t="s">
        <v>393</v>
      </c>
      <c r="D26" s="371" t="s">
        <v>99</v>
      </c>
      <c r="E26" s="371" t="s">
        <v>99</v>
      </c>
      <c r="F26" s="371" t="s">
        <v>99</v>
      </c>
      <c r="G26" s="372" t="s">
        <v>63</v>
      </c>
      <c r="H26" s="371" t="s">
        <v>99</v>
      </c>
      <c r="I26" s="371"/>
    </row>
    <row r="27" spans="2:9" ht="15.75" customHeight="1" x14ac:dyDescent="0.2">
      <c r="B27" s="369">
        <v>16</v>
      </c>
      <c r="C27" s="370" t="s">
        <v>394</v>
      </c>
      <c r="D27" s="371" t="s">
        <v>99</v>
      </c>
      <c r="E27" s="371" t="s">
        <v>99</v>
      </c>
      <c r="F27" s="371" t="s">
        <v>63</v>
      </c>
      <c r="G27" s="372" t="s">
        <v>63</v>
      </c>
      <c r="H27" s="371" t="s">
        <v>63</v>
      </c>
      <c r="I27" s="371"/>
    </row>
    <row r="28" spans="2:9" ht="15.75" customHeight="1" x14ac:dyDescent="0.2">
      <c r="B28" s="369">
        <v>17</v>
      </c>
      <c r="C28" s="370" t="s">
        <v>395</v>
      </c>
      <c r="D28" s="371" t="s">
        <v>99</v>
      </c>
      <c r="E28" s="371" t="s">
        <v>99</v>
      </c>
      <c r="F28" s="371" t="s">
        <v>63</v>
      </c>
      <c r="G28" s="372" t="s">
        <v>63</v>
      </c>
      <c r="H28" s="371" t="s">
        <v>99</v>
      </c>
      <c r="I28" s="371"/>
    </row>
    <row r="29" spans="2:9" ht="15.75" customHeight="1" x14ac:dyDescent="0.2">
      <c r="B29" s="369">
        <v>18</v>
      </c>
      <c r="C29" s="370" t="s">
        <v>396</v>
      </c>
      <c r="D29" s="371" t="s">
        <v>99</v>
      </c>
      <c r="E29" s="371" t="s">
        <v>99</v>
      </c>
      <c r="F29" s="371" t="s">
        <v>99</v>
      </c>
      <c r="G29" s="372" t="s">
        <v>63</v>
      </c>
      <c r="H29" s="371" t="s">
        <v>99</v>
      </c>
      <c r="I29" s="371"/>
    </row>
    <row r="30" spans="2:9" ht="15.75" customHeight="1" x14ac:dyDescent="0.2">
      <c r="B30" s="369">
        <v>19</v>
      </c>
      <c r="C30" s="370" t="s">
        <v>397</v>
      </c>
      <c r="D30" s="371" t="s">
        <v>99</v>
      </c>
      <c r="E30" s="371" t="s">
        <v>99</v>
      </c>
      <c r="F30" s="371" t="s">
        <v>99</v>
      </c>
      <c r="G30" s="372" t="s">
        <v>99</v>
      </c>
      <c r="H30" s="371" t="s">
        <v>99</v>
      </c>
      <c r="I30" s="371"/>
    </row>
    <row r="31" spans="2:9" ht="15.75" customHeight="1" x14ac:dyDescent="0.2">
      <c r="B31" s="369">
        <v>20</v>
      </c>
      <c r="C31" s="370" t="s">
        <v>398</v>
      </c>
      <c r="D31" s="371" t="s">
        <v>99</v>
      </c>
      <c r="E31" s="371" t="s">
        <v>99</v>
      </c>
      <c r="F31" s="371" t="s">
        <v>63</v>
      </c>
      <c r="G31" s="372" t="s">
        <v>63</v>
      </c>
      <c r="H31" s="371" t="s">
        <v>99</v>
      </c>
      <c r="I31" s="371"/>
    </row>
    <row r="32" spans="2:9" ht="15.75" customHeight="1" x14ac:dyDescent="0.2">
      <c r="B32" s="369">
        <v>21</v>
      </c>
      <c r="C32" s="370" t="s">
        <v>399</v>
      </c>
      <c r="D32" s="371" t="s">
        <v>99</v>
      </c>
      <c r="E32" s="371" t="s">
        <v>99</v>
      </c>
      <c r="F32" s="371" t="s">
        <v>63</v>
      </c>
      <c r="G32" s="372" t="s">
        <v>99</v>
      </c>
      <c r="H32" s="371" t="s">
        <v>99</v>
      </c>
      <c r="I32" s="371"/>
    </row>
    <row r="33" spans="2:9" ht="15.75" customHeight="1" x14ac:dyDescent="0.2">
      <c r="B33" s="369">
        <v>22</v>
      </c>
      <c r="C33" s="370" t="s">
        <v>682</v>
      </c>
      <c r="D33" s="371" t="s">
        <v>99</v>
      </c>
      <c r="E33" s="371" t="s">
        <v>99</v>
      </c>
      <c r="F33" s="371" t="s">
        <v>63</v>
      </c>
      <c r="G33" s="372" t="s">
        <v>63</v>
      </c>
      <c r="H33" s="371" t="s">
        <v>99</v>
      </c>
      <c r="I33" s="371" t="s">
        <v>98</v>
      </c>
    </row>
    <row r="34" spans="2:9" ht="15.75" customHeight="1" x14ac:dyDescent="0.2">
      <c r="B34" s="369">
        <v>23</v>
      </c>
      <c r="C34" s="370" t="s">
        <v>400</v>
      </c>
      <c r="D34" s="371" t="s">
        <v>99</v>
      </c>
      <c r="E34" s="371" t="s">
        <v>99</v>
      </c>
      <c r="F34" s="371" t="s">
        <v>63</v>
      </c>
      <c r="G34" s="372" t="s">
        <v>99</v>
      </c>
      <c r="H34" s="371" t="s">
        <v>99</v>
      </c>
      <c r="I34" s="371" t="s">
        <v>98</v>
      </c>
    </row>
    <row r="35" spans="2:9" ht="15.75" customHeight="1" x14ac:dyDescent="0.2">
      <c r="B35" s="369">
        <v>24</v>
      </c>
      <c r="C35" s="370" t="s">
        <v>401</v>
      </c>
      <c r="D35" s="371" t="s">
        <v>99</v>
      </c>
      <c r="E35" s="371" t="s">
        <v>99</v>
      </c>
      <c r="F35" s="371" t="s">
        <v>63</v>
      </c>
      <c r="G35" s="372" t="s">
        <v>63</v>
      </c>
      <c r="H35" s="371" t="s">
        <v>63</v>
      </c>
      <c r="I35" s="371"/>
    </row>
    <row r="36" spans="2:9" ht="15.75" customHeight="1" x14ac:dyDescent="0.2">
      <c r="B36" s="369">
        <v>25</v>
      </c>
      <c r="C36" s="370" t="s">
        <v>402</v>
      </c>
      <c r="D36" s="371" t="s">
        <v>99</v>
      </c>
      <c r="E36" s="371" t="s">
        <v>99</v>
      </c>
      <c r="F36" s="371" t="s">
        <v>99</v>
      </c>
      <c r="G36" s="372" t="s">
        <v>63</v>
      </c>
      <c r="H36" s="371" t="s">
        <v>63</v>
      </c>
      <c r="I36" s="371"/>
    </row>
    <row r="37" spans="2:9" ht="15.75" customHeight="1" x14ac:dyDescent="0.2">
      <c r="B37" s="369">
        <v>26</v>
      </c>
      <c r="C37" s="370" t="s">
        <v>403</v>
      </c>
      <c r="D37" s="371" t="s">
        <v>99</v>
      </c>
      <c r="E37" s="371" t="s">
        <v>99</v>
      </c>
      <c r="F37" s="371" t="s">
        <v>99</v>
      </c>
      <c r="G37" s="372" t="s">
        <v>99</v>
      </c>
      <c r="H37" s="371" t="s">
        <v>99</v>
      </c>
      <c r="I37" s="371"/>
    </row>
    <row r="38" spans="2:9" ht="15.75" customHeight="1" x14ac:dyDescent="0.2">
      <c r="B38" s="369">
        <v>27</v>
      </c>
      <c r="C38" s="370" t="s">
        <v>404</v>
      </c>
      <c r="D38" s="371" t="s">
        <v>99</v>
      </c>
      <c r="E38" s="371" t="s">
        <v>99</v>
      </c>
      <c r="F38" s="371" t="s">
        <v>99</v>
      </c>
      <c r="G38" s="372" t="s">
        <v>63</v>
      </c>
      <c r="H38" s="371" t="s">
        <v>99</v>
      </c>
      <c r="I38" s="371"/>
    </row>
    <row r="39" spans="2:9" ht="15.75" customHeight="1" x14ac:dyDescent="0.2">
      <c r="B39" s="369">
        <v>28</v>
      </c>
      <c r="C39" s="370" t="s">
        <v>405</v>
      </c>
      <c r="D39" s="371" t="s">
        <v>99</v>
      </c>
      <c r="E39" s="371" t="s">
        <v>99</v>
      </c>
      <c r="F39" s="371" t="s">
        <v>99</v>
      </c>
      <c r="G39" s="372" t="s">
        <v>63</v>
      </c>
      <c r="H39" s="371" t="s">
        <v>99</v>
      </c>
      <c r="I39" s="371" t="s">
        <v>98</v>
      </c>
    </row>
    <row r="40" spans="2:9" ht="15.75" customHeight="1" x14ac:dyDescent="0.2">
      <c r="B40" s="369">
        <v>29</v>
      </c>
      <c r="C40" s="370" t="s">
        <v>406</v>
      </c>
      <c r="D40" s="371" t="s">
        <v>99</v>
      </c>
      <c r="E40" s="371" t="s">
        <v>99</v>
      </c>
      <c r="F40" s="371" t="s">
        <v>99</v>
      </c>
      <c r="G40" s="372" t="s">
        <v>63</v>
      </c>
      <c r="H40" s="371" t="s">
        <v>99</v>
      </c>
      <c r="I40" s="371"/>
    </row>
    <row r="41" spans="2:9" ht="15.75" customHeight="1" x14ac:dyDescent="0.2">
      <c r="B41" s="369">
        <v>30</v>
      </c>
      <c r="C41" s="370" t="s">
        <v>407</v>
      </c>
      <c r="D41" s="371" t="s">
        <v>99</v>
      </c>
      <c r="E41" s="371" t="s">
        <v>99</v>
      </c>
      <c r="F41" s="371" t="s">
        <v>99</v>
      </c>
      <c r="G41" s="372" t="s">
        <v>63</v>
      </c>
      <c r="H41" s="371" t="s">
        <v>99</v>
      </c>
      <c r="I41" s="371" t="s">
        <v>98</v>
      </c>
    </row>
    <row r="42" spans="2:9" ht="15.75" customHeight="1" x14ac:dyDescent="0.2">
      <c r="B42" s="369">
        <v>31</v>
      </c>
      <c r="C42" s="370" t="s">
        <v>408</v>
      </c>
      <c r="D42" s="371" t="s">
        <v>99</v>
      </c>
      <c r="E42" s="371" t="s">
        <v>99</v>
      </c>
      <c r="F42" s="371" t="s">
        <v>99</v>
      </c>
      <c r="G42" s="372" t="s">
        <v>63</v>
      </c>
      <c r="H42" s="371" t="s">
        <v>99</v>
      </c>
      <c r="I42" s="371" t="s">
        <v>98</v>
      </c>
    </row>
    <row r="43" spans="2:9" ht="15.75" customHeight="1" x14ac:dyDescent="0.2">
      <c r="B43" s="369">
        <v>32</v>
      </c>
      <c r="C43" s="370" t="s">
        <v>409</v>
      </c>
      <c r="D43" s="371" t="s">
        <v>99</v>
      </c>
      <c r="E43" s="371" t="s">
        <v>99</v>
      </c>
      <c r="F43" s="371" t="s">
        <v>99</v>
      </c>
      <c r="G43" s="372" t="s">
        <v>63</v>
      </c>
      <c r="H43" s="371" t="s">
        <v>63</v>
      </c>
      <c r="I43" s="371"/>
    </row>
    <row r="44" spans="2:9" ht="15.75" customHeight="1" x14ac:dyDescent="0.2">
      <c r="B44" s="369">
        <v>33</v>
      </c>
      <c r="C44" s="370" t="s">
        <v>410</v>
      </c>
      <c r="D44" s="371" t="s">
        <v>99</v>
      </c>
      <c r="E44" s="371" t="s">
        <v>99</v>
      </c>
      <c r="F44" s="371" t="s">
        <v>63</v>
      </c>
      <c r="G44" s="372" t="s">
        <v>99</v>
      </c>
      <c r="H44" s="371" t="s">
        <v>99</v>
      </c>
      <c r="I44" s="371"/>
    </row>
    <row r="45" spans="2:9" ht="15.75" customHeight="1" x14ac:dyDescent="0.2">
      <c r="B45" s="369">
        <v>34</v>
      </c>
      <c r="C45" s="370" t="s">
        <v>411</v>
      </c>
      <c r="D45" s="371" t="s">
        <v>99</v>
      </c>
      <c r="E45" s="371" t="s">
        <v>99</v>
      </c>
      <c r="F45" s="371" t="s">
        <v>99</v>
      </c>
      <c r="G45" s="372" t="s">
        <v>63</v>
      </c>
      <c r="H45" s="371" t="s">
        <v>63</v>
      </c>
      <c r="I45" s="371"/>
    </row>
    <row r="46" spans="2:9" ht="15.75" customHeight="1" x14ac:dyDescent="0.2">
      <c r="B46" s="369">
        <v>35</v>
      </c>
      <c r="C46" s="370" t="s">
        <v>683</v>
      </c>
      <c r="D46" s="371" t="s">
        <v>99</v>
      </c>
      <c r="E46" s="371" t="s">
        <v>99</v>
      </c>
      <c r="F46" s="371" t="s">
        <v>99</v>
      </c>
      <c r="G46" s="372" t="s">
        <v>99</v>
      </c>
      <c r="H46" s="371" t="s">
        <v>99</v>
      </c>
      <c r="I46" s="371" t="s">
        <v>98</v>
      </c>
    </row>
    <row r="47" spans="2:9" ht="15.75" customHeight="1" x14ac:dyDescent="0.2">
      <c r="B47" s="369">
        <v>36</v>
      </c>
      <c r="C47" s="370" t="s">
        <v>412</v>
      </c>
      <c r="D47" s="371" t="s">
        <v>99</v>
      </c>
      <c r="E47" s="371" t="s">
        <v>99</v>
      </c>
      <c r="F47" s="371" t="s">
        <v>63</v>
      </c>
      <c r="G47" s="372" t="s">
        <v>99</v>
      </c>
      <c r="H47" s="371" t="s">
        <v>99</v>
      </c>
      <c r="I47" s="371"/>
    </row>
    <row r="48" spans="2:9" ht="15.75" customHeight="1" x14ac:dyDescent="0.2">
      <c r="B48" s="369">
        <v>37</v>
      </c>
      <c r="C48" s="370" t="s">
        <v>413</v>
      </c>
      <c r="D48" s="371" t="s">
        <v>99</v>
      </c>
      <c r="E48" s="371" t="s">
        <v>99</v>
      </c>
      <c r="F48" s="371" t="s">
        <v>99</v>
      </c>
      <c r="G48" s="372" t="s">
        <v>99</v>
      </c>
      <c r="H48" s="371" t="s">
        <v>99</v>
      </c>
      <c r="I48" s="371"/>
    </row>
    <row r="49" spans="2:9" ht="15.75" customHeight="1" x14ac:dyDescent="0.2">
      <c r="B49" s="369">
        <v>38</v>
      </c>
      <c r="C49" s="370" t="s">
        <v>414</v>
      </c>
      <c r="D49" s="371" t="s">
        <v>99</v>
      </c>
      <c r="E49" s="371" t="s">
        <v>99</v>
      </c>
      <c r="F49" s="371" t="s">
        <v>99</v>
      </c>
      <c r="G49" s="372" t="s">
        <v>99</v>
      </c>
      <c r="H49" s="371" t="s">
        <v>99</v>
      </c>
      <c r="I49" s="371"/>
    </row>
    <row r="50" spans="2:9" ht="15.75" customHeight="1" x14ac:dyDescent="0.2">
      <c r="B50" s="369">
        <v>39</v>
      </c>
      <c r="C50" s="370" t="s">
        <v>415</v>
      </c>
      <c r="D50" s="371" t="s">
        <v>99</v>
      </c>
      <c r="E50" s="371" t="s">
        <v>99</v>
      </c>
      <c r="F50" s="371" t="s">
        <v>63</v>
      </c>
      <c r="G50" s="372" t="s">
        <v>99</v>
      </c>
      <c r="H50" s="371" t="s">
        <v>99</v>
      </c>
      <c r="I50" s="371" t="s">
        <v>98</v>
      </c>
    </row>
    <row r="51" spans="2:9" ht="15.75" customHeight="1" x14ac:dyDescent="0.2">
      <c r="B51" s="369">
        <v>40</v>
      </c>
      <c r="C51" s="370" t="s">
        <v>416</v>
      </c>
      <c r="D51" s="371" t="s">
        <v>99</v>
      </c>
      <c r="E51" s="371" t="s">
        <v>99</v>
      </c>
      <c r="F51" s="371" t="s">
        <v>63</v>
      </c>
      <c r="G51" s="372" t="s">
        <v>99</v>
      </c>
      <c r="H51" s="371" t="s">
        <v>99</v>
      </c>
      <c r="I51" s="371"/>
    </row>
    <row r="52" spans="2:9" ht="15.75" customHeight="1" x14ac:dyDescent="0.2">
      <c r="B52" s="369">
        <v>41</v>
      </c>
      <c r="C52" s="370" t="s">
        <v>417</v>
      </c>
      <c r="D52" s="371" t="s">
        <v>99</v>
      </c>
      <c r="E52" s="371" t="s">
        <v>99</v>
      </c>
      <c r="F52" s="371" t="s">
        <v>63</v>
      </c>
      <c r="G52" s="372" t="s">
        <v>99</v>
      </c>
      <c r="H52" s="371" t="s">
        <v>99</v>
      </c>
      <c r="I52" s="371"/>
    </row>
    <row r="53" spans="2:9" ht="15.75" customHeight="1" x14ac:dyDescent="0.2">
      <c r="B53" s="369">
        <v>42</v>
      </c>
      <c r="C53" s="370" t="s">
        <v>418</v>
      </c>
      <c r="D53" s="371" t="s">
        <v>99</v>
      </c>
      <c r="E53" s="371" t="s">
        <v>99</v>
      </c>
      <c r="F53" s="371" t="s">
        <v>99</v>
      </c>
      <c r="G53" s="372" t="s">
        <v>99</v>
      </c>
      <c r="H53" s="371" t="s">
        <v>99</v>
      </c>
      <c r="I53" s="371"/>
    </row>
    <row r="54" spans="2:9" ht="15.75" customHeight="1" x14ac:dyDescent="0.2">
      <c r="B54" s="369">
        <v>43</v>
      </c>
      <c r="C54" s="370" t="s">
        <v>419</v>
      </c>
      <c r="D54" s="371" t="s">
        <v>99</v>
      </c>
      <c r="E54" s="371" t="s">
        <v>99</v>
      </c>
      <c r="F54" s="371" t="s">
        <v>99</v>
      </c>
      <c r="G54" s="372" t="s">
        <v>99</v>
      </c>
      <c r="H54" s="371" t="s">
        <v>63</v>
      </c>
      <c r="I54" s="371"/>
    </row>
    <row r="55" spans="2:9" ht="15.75" customHeight="1" x14ac:dyDescent="0.2">
      <c r="B55" s="369">
        <v>44</v>
      </c>
      <c r="C55" s="370" t="s">
        <v>420</v>
      </c>
      <c r="D55" s="371" t="s">
        <v>99</v>
      </c>
      <c r="E55" s="371" t="s">
        <v>99</v>
      </c>
      <c r="F55" s="371" t="s">
        <v>99</v>
      </c>
      <c r="G55" s="372" t="s">
        <v>99</v>
      </c>
      <c r="H55" s="371" t="s">
        <v>63</v>
      </c>
      <c r="I55" s="371"/>
    </row>
    <row r="56" spans="2:9" ht="15.75" customHeight="1" x14ac:dyDescent="0.2">
      <c r="B56" s="369">
        <v>45</v>
      </c>
      <c r="C56" s="370" t="s">
        <v>421</v>
      </c>
      <c r="D56" s="371" t="s">
        <v>99</v>
      </c>
      <c r="E56" s="371" t="s">
        <v>99</v>
      </c>
      <c r="F56" s="371" t="s">
        <v>99</v>
      </c>
      <c r="G56" s="372" t="s">
        <v>99</v>
      </c>
      <c r="H56" s="371" t="s">
        <v>99</v>
      </c>
      <c r="I56" s="371" t="s">
        <v>98</v>
      </c>
    </row>
    <row r="57" spans="2:9" ht="15.75" customHeight="1" x14ac:dyDescent="0.2">
      <c r="B57" s="369">
        <v>46</v>
      </c>
      <c r="C57" s="370" t="s">
        <v>422</v>
      </c>
      <c r="D57" s="371" t="s">
        <v>99</v>
      </c>
      <c r="E57" s="371" t="s">
        <v>99</v>
      </c>
      <c r="F57" s="371" t="s">
        <v>63</v>
      </c>
      <c r="G57" s="372" t="s">
        <v>99</v>
      </c>
      <c r="H57" s="371" t="s">
        <v>99</v>
      </c>
      <c r="I57" s="371" t="s">
        <v>98</v>
      </c>
    </row>
    <row r="58" spans="2:9" ht="15.75" customHeight="1" x14ac:dyDescent="0.2">
      <c r="B58" s="369">
        <v>47</v>
      </c>
      <c r="C58" s="370" t="s">
        <v>423</v>
      </c>
      <c r="D58" s="371" t="s">
        <v>99</v>
      </c>
      <c r="E58" s="371" t="s">
        <v>99</v>
      </c>
      <c r="F58" s="371" t="s">
        <v>99</v>
      </c>
      <c r="G58" s="372" t="s">
        <v>99</v>
      </c>
      <c r="H58" s="371" t="s">
        <v>99</v>
      </c>
      <c r="I58" s="371" t="s">
        <v>98</v>
      </c>
    </row>
    <row r="59" spans="2:9" ht="15.75" customHeight="1" x14ac:dyDescent="0.2">
      <c r="B59" s="369">
        <v>48</v>
      </c>
      <c r="C59" s="370" t="s">
        <v>424</v>
      </c>
      <c r="D59" s="371" t="s">
        <v>99</v>
      </c>
      <c r="E59" s="371" t="s">
        <v>99</v>
      </c>
      <c r="F59" s="371" t="s">
        <v>63</v>
      </c>
      <c r="G59" s="372" t="s">
        <v>99</v>
      </c>
      <c r="H59" s="371" t="s">
        <v>99</v>
      </c>
      <c r="I59" s="371"/>
    </row>
    <row r="60" spans="2:9" ht="15.75" customHeight="1" x14ac:dyDescent="0.2">
      <c r="B60" s="369">
        <v>49</v>
      </c>
      <c r="C60" s="370" t="s">
        <v>684</v>
      </c>
      <c r="D60" s="371" t="s">
        <v>99</v>
      </c>
      <c r="E60" s="371" t="s">
        <v>99</v>
      </c>
      <c r="F60" s="371" t="s">
        <v>99</v>
      </c>
      <c r="G60" s="372" t="s">
        <v>99</v>
      </c>
      <c r="H60" s="371" t="s">
        <v>99</v>
      </c>
      <c r="I60" s="371" t="s">
        <v>98</v>
      </c>
    </row>
    <row r="61" spans="2:9" ht="15.75" customHeight="1" x14ac:dyDescent="0.2">
      <c r="B61" s="369">
        <v>50</v>
      </c>
      <c r="C61" s="370" t="s">
        <v>425</v>
      </c>
      <c r="D61" s="371" t="s">
        <v>99</v>
      </c>
      <c r="E61" s="371" t="s">
        <v>99</v>
      </c>
      <c r="F61" s="371" t="s">
        <v>99</v>
      </c>
      <c r="G61" s="372" t="s">
        <v>99</v>
      </c>
      <c r="H61" s="371" t="s">
        <v>99</v>
      </c>
      <c r="I61" s="371"/>
    </row>
    <row r="62" spans="2:9" ht="15.75" customHeight="1" x14ac:dyDescent="0.2">
      <c r="B62" s="369">
        <v>51</v>
      </c>
      <c r="C62" s="370" t="s">
        <v>426</v>
      </c>
      <c r="D62" s="371" t="s">
        <v>99</v>
      </c>
      <c r="E62" s="371" t="s">
        <v>99</v>
      </c>
      <c r="F62" s="371" t="s">
        <v>99</v>
      </c>
      <c r="G62" s="372" t="s">
        <v>99</v>
      </c>
      <c r="H62" s="371" t="s">
        <v>99</v>
      </c>
      <c r="I62" s="371"/>
    </row>
    <row r="63" spans="2:9" ht="15.75" customHeight="1" x14ac:dyDescent="0.2">
      <c r="B63" s="369">
        <v>52</v>
      </c>
      <c r="C63" s="370" t="s">
        <v>427</v>
      </c>
      <c r="D63" s="371" t="s">
        <v>99</v>
      </c>
      <c r="E63" s="371" t="s">
        <v>99</v>
      </c>
      <c r="F63" s="371" t="s">
        <v>63</v>
      </c>
      <c r="G63" s="372" t="s">
        <v>99</v>
      </c>
      <c r="H63" s="371" t="s">
        <v>99</v>
      </c>
      <c r="I63" s="371" t="s">
        <v>98</v>
      </c>
    </row>
    <row r="64" spans="2:9" ht="15.75" customHeight="1" x14ac:dyDescent="0.2">
      <c r="B64" s="369">
        <v>53</v>
      </c>
      <c r="C64" s="370" t="s">
        <v>428</v>
      </c>
      <c r="D64" s="371" t="s">
        <v>99</v>
      </c>
      <c r="E64" s="371" t="s">
        <v>99</v>
      </c>
      <c r="F64" s="371" t="s">
        <v>99</v>
      </c>
      <c r="G64" s="372" t="s">
        <v>99</v>
      </c>
      <c r="H64" s="371" t="s">
        <v>99</v>
      </c>
      <c r="I64" s="371" t="s">
        <v>98</v>
      </c>
    </row>
    <row r="65" spans="2:9" ht="15.75" customHeight="1" x14ac:dyDescent="0.2">
      <c r="B65" s="369">
        <v>54</v>
      </c>
      <c r="C65" s="370" t="s">
        <v>429</v>
      </c>
      <c r="D65" s="371" t="s">
        <v>99</v>
      </c>
      <c r="E65" s="371" t="s">
        <v>99</v>
      </c>
      <c r="F65" s="371" t="s">
        <v>99</v>
      </c>
      <c r="G65" s="372" t="s">
        <v>99</v>
      </c>
      <c r="H65" s="371" t="s">
        <v>99</v>
      </c>
      <c r="I65" s="371" t="s">
        <v>98</v>
      </c>
    </row>
    <row r="66" spans="2:9" ht="15.75" customHeight="1" x14ac:dyDescent="0.2">
      <c r="B66" s="369">
        <v>55</v>
      </c>
      <c r="C66" s="370" t="s">
        <v>430</v>
      </c>
      <c r="D66" s="371" t="s">
        <v>99</v>
      </c>
      <c r="E66" s="371" t="s">
        <v>99</v>
      </c>
      <c r="F66" s="371" t="s">
        <v>99</v>
      </c>
      <c r="G66" s="372" t="s">
        <v>99</v>
      </c>
      <c r="H66" s="371" t="s">
        <v>99</v>
      </c>
      <c r="I66" s="371"/>
    </row>
    <row r="67" spans="2:9" ht="15.75" customHeight="1" x14ac:dyDescent="0.2">
      <c r="B67" s="369">
        <v>56</v>
      </c>
      <c r="C67" s="370" t="s">
        <v>431</v>
      </c>
      <c r="D67" s="371" t="s">
        <v>99</v>
      </c>
      <c r="E67" s="371" t="s">
        <v>99</v>
      </c>
      <c r="F67" s="371" t="s">
        <v>99</v>
      </c>
      <c r="G67" s="372" t="s">
        <v>99</v>
      </c>
      <c r="H67" s="371" t="s">
        <v>63</v>
      </c>
      <c r="I67" s="371" t="s">
        <v>98</v>
      </c>
    </row>
    <row r="68" spans="2:9" ht="15.75" customHeight="1" x14ac:dyDescent="0.2">
      <c r="B68" s="369">
        <v>57</v>
      </c>
      <c r="C68" s="370" t="s">
        <v>432</v>
      </c>
      <c r="D68" s="371" t="s">
        <v>99</v>
      </c>
      <c r="E68" s="371" t="s">
        <v>99</v>
      </c>
      <c r="F68" s="371" t="s">
        <v>99</v>
      </c>
      <c r="G68" s="372" t="s">
        <v>99</v>
      </c>
      <c r="H68" s="371" t="s">
        <v>99</v>
      </c>
      <c r="I68" s="371" t="s">
        <v>98</v>
      </c>
    </row>
    <row r="69" spans="2:9" ht="15.75" customHeight="1" x14ac:dyDescent="0.2">
      <c r="B69" s="369">
        <v>58</v>
      </c>
      <c r="C69" s="370" t="s">
        <v>433</v>
      </c>
      <c r="D69" s="371" t="s">
        <v>99</v>
      </c>
      <c r="E69" s="371" t="s">
        <v>99</v>
      </c>
      <c r="F69" s="371" t="s">
        <v>63</v>
      </c>
      <c r="G69" s="372" t="s">
        <v>99</v>
      </c>
      <c r="H69" s="371" t="s">
        <v>99</v>
      </c>
      <c r="I69" s="371"/>
    </row>
    <row r="70" spans="2:9" ht="15.75" customHeight="1" x14ac:dyDescent="0.2">
      <c r="B70" s="369">
        <v>59</v>
      </c>
      <c r="C70" s="370" t="s">
        <v>434</v>
      </c>
      <c r="D70" s="371" t="s">
        <v>99</v>
      </c>
      <c r="E70" s="371" t="s">
        <v>99</v>
      </c>
      <c r="F70" s="371" t="s">
        <v>99</v>
      </c>
      <c r="G70" s="372" t="s">
        <v>99</v>
      </c>
      <c r="H70" s="371" t="s">
        <v>99</v>
      </c>
      <c r="I70" s="371" t="s">
        <v>98</v>
      </c>
    </row>
    <row r="71" spans="2:9" ht="15.75" customHeight="1" x14ac:dyDescent="0.2">
      <c r="B71" s="369">
        <v>60</v>
      </c>
      <c r="C71" s="370" t="s">
        <v>435</v>
      </c>
      <c r="D71" s="371" t="s">
        <v>99</v>
      </c>
      <c r="E71" s="371" t="s">
        <v>99</v>
      </c>
      <c r="F71" s="371" t="s">
        <v>99</v>
      </c>
      <c r="G71" s="372" t="s">
        <v>99</v>
      </c>
      <c r="H71" s="371" t="s">
        <v>99</v>
      </c>
      <c r="I71" s="371" t="s">
        <v>98</v>
      </c>
    </row>
    <row r="72" spans="2:9" ht="15.75" customHeight="1" x14ac:dyDescent="0.2">
      <c r="B72" s="369">
        <v>61</v>
      </c>
      <c r="C72" s="370" t="s">
        <v>436</v>
      </c>
      <c r="D72" s="371" t="s">
        <v>99</v>
      </c>
      <c r="E72" s="371" t="s">
        <v>99</v>
      </c>
      <c r="F72" s="371" t="s">
        <v>63</v>
      </c>
      <c r="G72" s="372" t="s">
        <v>99</v>
      </c>
      <c r="H72" s="371" t="s">
        <v>63</v>
      </c>
      <c r="I72" s="371" t="s">
        <v>98</v>
      </c>
    </row>
    <row r="73" spans="2:9" ht="15.75" customHeight="1" x14ac:dyDescent="0.2">
      <c r="B73" s="369">
        <v>62</v>
      </c>
      <c r="C73" s="370" t="s">
        <v>437</v>
      </c>
      <c r="D73" s="371" t="s">
        <v>99</v>
      </c>
      <c r="E73" s="371" t="s">
        <v>99</v>
      </c>
      <c r="F73" s="371" t="s">
        <v>99</v>
      </c>
      <c r="G73" s="372" t="s">
        <v>99</v>
      </c>
      <c r="H73" s="371" t="s">
        <v>99</v>
      </c>
      <c r="I73" s="371"/>
    </row>
    <row r="74" spans="2:9" ht="15.75" customHeight="1" x14ac:dyDescent="0.2">
      <c r="B74" s="369">
        <v>63</v>
      </c>
      <c r="C74" s="370" t="s">
        <v>438</v>
      </c>
      <c r="D74" s="371" t="s">
        <v>99</v>
      </c>
      <c r="E74" s="371" t="s">
        <v>99</v>
      </c>
      <c r="F74" s="371" t="s">
        <v>99</v>
      </c>
      <c r="G74" s="372" t="s">
        <v>99</v>
      </c>
      <c r="H74" s="371" t="s">
        <v>99</v>
      </c>
      <c r="I74" s="371"/>
    </row>
    <row r="75" spans="2:9" ht="15.75" customHeight="1" x14ac:dyDescent="0.2">
      <c r="B75" s="369">
        <v>64</v>
      </c>
      <c r="C75" s="370" t="s">
        <v>439</v>
      </c>
      <c r="D75" s="371" t="s">
        <v>99</v>
      </c>
      <c r="E75" s="371" t="s">
        <v>99</v>
      </c>
      <c r="F75" s="371" t="s">
        <v>99</v>
      </c>
      <c r="G75" s="372" t="s">
        <v>99</v>
      </c>
      <c r="H75" s="371" t="s">
        <v>99</v>
      </c>
      <c r="I75" s="371" t="s">
        <v>98</v>
      </c>
    </row>
    <row r="76" spans="2:9" ht="15.75" customHeight="1" x14ac:dyDescent="0.2">
      <c r="B76" s="369">
        <v>65</v>
      </c>
      <c r="C76" s="370" t="s">
        <v>440</v>
      </c>
      <c r="D76" s="371" t="s">
        <v>99</v>
      </c>
      <c r="E76" s="371" t="s">
        <v>99</v>
      </c>
      <c r="F76" s="371" t="s">
        <v>99</v>
      </c>
      <c r="G76" s="372" t="s">
        <v>99</v>
      </c>
      <c r="H76" s="371" t="s">
        <v>99</v>
      </c>
      <c r="I76" s="371"/>
    </row>
    <row r="77" spans="2:9" ht="15.75" customHeight="1" x14ac:dyDescent="0.2">
      <c r="B77" s="369">
        <v>66</v>
      </c>
      <c r="C77" s="370" t="s">
        <v>441</v>
      </c>
      <c r="D77" s="371" t="s">
        <v>99</v>
      </c>
      <c r="E77" s="371" t="s">
        <v>99</v>
      </c>
      <c r="F77" s="371" t="s">
        <v>99</v>
      </c>
      <c r="G77" s="372" t="s">
        <v>99</v>
      </c>
      <c r="H77" s="371" t="s">
        <v>99</v>
      </c>
      <c r="I77" s="371" t="s">
        <v>98</v>
      </c>
    </row>
    <row r="78" spans="2:9" ht="15.75" customHeight="1" x14ac:dyDescent="0.2">
      <c r="B78" s="369">
        <v>67</v>
      </c>
      <c r="C78" s="370" t="s">
        <v>442</v>
      </c>
      <c r="D78" s="371" t="s">
        <v>99</v>
      </c>
      <c r="E78" s="371" t="s">
        <v>99</v>
      </c>
      <c r="F78" s="371" t="s">
        <v>63</v>
      </c>
      <c r="G78" s="372" t="s">
        <v>99</v>
      </c>
      <c r="H78" s="371" t="s">
        <v>99</v>
      </c>
      <c r="I78" s="371"/>
    </row>
    <row r="79" spans="2:9" ht="15.75" customHeight="1" x14ac:dyDescent="0.2">
      <c r="B79" s="369">
        <v>68</v>
      </c>
      <c r="C79" s="370" t="s">
        <v>443</v>
      </c>
      <c r="D79" s="371" t="s">
        <v>99</v>
      </c>
      <c r="E79" s="371" t="s">
        <v>99</v>
      </c>
      <c r="F79" s="371" t="s">
        <v>99</v>
      </c>
      <c r="G79" s="372" t="s">
        <v>99</v>
      </c>
      <c r="H79" s="371" t="s">
        <v>99</v>
      </c>
      <c r="I79" s="371"/>
    </row>
    <row r="80" spans="2:9" ht="15.75" customHeight="1" x14ac:dyDescent="0.2">
      <c r="B80" s="369">
        <v>69</v>
      </c>
      <c r="C80" s="370" t="s">
        <v>444</v>
      </c>
      <c r="D80" s="371" t="s">
        <v>99</v>
      </c>
      <c r="E80" s="371" t="s">
        <v>99</v>
      </c>
      <c r="F80" s="371" t="s">
        <v>99</v>
      </c>
      <c r="G80" s="372" t="s">
        <v>99</v>
      </c>
      <c r="H80" s="371" t="s">
        <v>63</v>
      </c>
      <c r="I80" s="371" t="s">
        <v>98</v>
      </c>
    </row>
    <row r="81" spans="2:9" ht="15.75" customHeight="1" x14ac:dyDescent="0.2">
      <c r="B81" s="369">
        <v>70</v>
      </c>
      <c r="C81" s="370" t="s">
        <v>445</v>
      </c>
      <c r="D81" s="371" t="s">
        <v>99</v>
      </c>
      <c r="E81" s="371" t="s">
        <v>99</v>
      </c>
      <c r="F81" s="371" t="s">
        <v>63</v>
      </c>
      <c r="G81" s="371" t="s">
        <v>99</v>
      </c>
      <c r="H81" s="371" t="s">
        <v>99</v>
      </c>
      <c r="I81" s="371" t="s">
        <v>98</v>
      </c>
    </row>
    <row r="82" spans="2:9" ht="15.75" customHeight="1" x14ac:dyDescent="0.2">
      <c r="B82" s="369">
        <v>71</v>
      </c>
      <c r="C82" s="370" t="s">
        <v>446</v>
      </c>
      <c r="D82" s="371" t="s">
        <v>99</v>
      </c>
      <c r="E82" s="371" t="s">
        <v>99</v>
      </c>
      <c r="F82" s="371" t="s">
        <v>63</v>
      </c>
      <c r="G82" s="371" t="s">
        <v>99</v>
      </c>
      <c r="H82" s="371" t="s">
        <v>99</v>
      </c>
      <c r="I82" s="371" t="s">
        <v>98</v>
      </c>
    </row>
    <row r="83" spans="2:9" ht="15.75" customHeight="1" x14ac:dyDescent="0.2">
      <c r="B83" s="369">
        <v>72</v>
      </c>
      <c r="C83" s="370" t="s">
        <v>447</v>
      </c>
      <c r="D83" s="371" t="s">
        <v>99</v>
      </c>
      <c r="E83" s="371" t="s">
        <v>99</v>
      </c>
      <c r="F83" s="371" t="s">
        <v>99</v>
      </c>
      <c r="G83" s="372" t="s">
        <v>99</v>
      </c>
      <c r="H83" s="371" t="s">
        <v>63</v>
      </c>
      <c r="I83" s="371"/>
    </row>
    <row r="84" spans="2:9" ht="15.75" customHeight="1" x14ac:dyDescent="0.2">
      <c r="B84" s="369">
        <v>73</v>
      </c>
      <c r="C84" s="370" t="s">
        <v>448</v>
      </c>
      <c r="D84" s="371" t="s">
        <v>99</v>
      </c>
      <c r="E84" s="371" t="s">
        <v>99</v>
      </c>
      <c r="F84" s="371" t="s">
        <v>99</v>
      </c>
      <c r="G84" s="372" t="s">
        <v>99</v>
      </c>
      <c r="H84" s="371" t="s">
        <v>99</v>
      </c>
      <c r="I84" s="371"/>
    </row>
    <row r="85" spans="2:9" ht="15.75" customHeight="1" x14ac:dyDescent="0.2">
      <c r="B85" s="369">
        <v>74</v>
      </c>
      <c r="C85" s="370" t="s">
        <v>449</v>
      </c>
      <c r="D85" s="371" t="s">
        <v>99</v>
      </c>
      <c r="E85" s="371" t="s">
        <v>99</v>
      </c>
      <c r="F85" s="371" t="s">
        <v>99</v>
      </c>
      <c r="G85" s="372" t="s">
        <v>99</v>
      </c>
      <c r="H85" s="371" t="s">
        <v>99</v>
      </c>
      <c r="I85" s="371" t="s">
        <v>98</v>
      </c>
    </row>
    <row r="86" spans="2:9" ht="15.75" customHeight="1" x14ac:dyDescent="0.2">
      <c r="B86" s="369">
        <v>75</v>
      </c>
      <c r="C86" s="370" t="s">
        <v>450</v>
      </c>
      <c r="D86" s="371" t="s">
        <v>99</v>
      </c>
      <c r="E86" s="371" t="s">
        <v>99</v>
      </c>
      <c r="F86" s="371" t="s">
        <v>63</v>
      </c>
      <c r="G86" s="372" t="s">
        <v>99</v>
      </c>
      <c r="H86" s="371" t="s">
        <v>99</v>
      </c>
      <c r="I86" s="371"/>
    </row>
    <row r="87" spans="2:9" ht="15.75" customHeight="1" x14ac:dyDescent="0.2">
      <c r="B87" s="369">
        <v>76</v>
      </c>
      <c r="C87" s="370" t="s">
        <v>451</v>
      </c>
      <c r="D87" s="371" t="s">
        <v>99</v>
      </c>
      <c r="E87" s="371" t="s">
        <v>99</v>
      </c>
      <c r="F87" s="371" t="s">
        <v>63</v>
      </c>
      <c r="G87" s="372" t="s">
        <v>99</v>
      </c>
      <c r="H87" s="371" t="s">
        <v>99</v>
      </c>
      <c r="I87" s="371"/>
    </row>
    <row r="88" spans="2:9" ht="15.75" customHeight="1" x14ac:dyDescent="0.2">
      <c r="B88" s="369">
        <v>77</v>
      </c>
      <c r="C88" s="370" t="s">
        <v>452</v>
      </c>
      <c r="D88" s="371" t="s">
        <v>63</v>
      </c>
      <c r="E88" s="371" t="s">
        <v>63</v>
      </c>
      <c r="F88" s="371" t="s">
        <v>99</v>
      </c>
      <c r="G88" s="372" t="s">
        <v>99</v>
      </c>
      <c r="H88" s="371" t="s">
        <v>99</v>
      </c>
      <c r="I88" s="371" t="s">
        <v>98</v>
      </c>
    </row>
    <row r="89" spans="2:9" ht="15.75" customHeight="1" x14ac:dyDescent="0.2">
      <c r="B89" s="369">
        <v>78</v>
      </c>
      <c r="C89" s="370" t="s">
        <v>453</v>
      </c>
      <c r="D89" s="371" t="s">
        <v>63</v>
      </c>
      <c r="E89" s="371" t="s">
        <v>63</v>
      </c>
      <c r="F89" s="371" t="s">
        <v>63</v>
      </c>
      <c r="G89" s="372" t="s">
        <v>99</v>
      </c>
      <c r="H89" s="371" t="s">
        <v>63</v>
      </c>
      <c r="I89" s="371"/>
    </row>
    <row r="90" spans="2:9" ht="15.75" customHeight="1" x14ac:dyDescent="0.2">
      <c r="B90" s="369">
        <v>79</v>
      </c>
      <c r="C90" s="370" t="s">
        <v>454</v>
      </c>
      <c r="D90" s="371" t="s">
        <v>63</v>
      </c>
      <c r="E90" s="371" t="s">
        <v>63</v>
      </c>
      <c r="F90" s="371" t="s">
        <v>63</v>
      </c>
      <c r="G90" s="372" t="s">
        <v>99</v>
      </c>
      <c r="H90" s="371" t="s">
        <v>63</v>
      </c>
      <c r="I90" s="371" t="s">
        <v>98</v>
      </c>
    </row>
    <row r="91" spans="2:9" ht="15.75" customHeight="1" x14ac:dyDescent="0.2">
      <c r="B91" s="369">
        <v>80</v>
      </c>
      <c r="C91" s="370" t="s">
        <v>455</v>
      </c>
      <c r="D91" s="371" t="s">
        <v>63</v>
      </c>
      <c r="E91" s="371" t="s">
        <v>63</v>
      </c>
      <c r="F91" s="371" t="s">
        <v>63</v>
      </c>
      <c r="G91" s="372" t="s">
        <v>99</v>
      </c>
      <c r="H91" s="371" t="s">
        <v>63</v>
      </c>
      <c r="I91" s="371"/>
    </row>
    <row r="92" spans="2:9" ht="15.75" customHeight="1" x14ac:dyDescent="0.2">
      <c r="B92" s="369">
        <v>81</v>
      </c>
      <c r="C92" s="370" t="s">
        <v>456</v>
      </c>
      <c r="D92" s="371" t="s">
        <v>63</v>
      </c>
      <c r="E92" s="371" t="s">
        <v>63</v>
      </c>
      <c r="F92" s="371" t="s">
        <v>63</v>
      </c>
      <c r="G92" s="372" t="s">
        <v>99</v>
      </c>
      <c r="H92" s="371" t="s">
        <v>63</v>
      </c>
      <c r="I92" s="371"/>
    </row>
    <row r="93" spans="2:9" ht="15.75" customHeight="1" x14ac:dyDescent="0.2">
      <c r="B93" s="369">
        <v>82</v>
      </c>
      <c r="C93" s="370" t="s">
        <v>457</v>
      </c>
      <c r="D93" s="371" t="s">
        <v>63</v>
      </c>
      <c r="E93" s="371" t="s">
        <v>63</v>
      </c>
      <c r="F93" s="371" t="s">
        <v>63</v>
      </c>
      <c r="G93" s="372" t="s">
        <v>99</v>
      </c>
      <c r="H93" s="371" t="s">
        <v>63</v>
      </c>
      <c r="I93" s="371"/>
    </row>
    <row r="94" spans="2:9" ht="15.75" customHeight="1" x14ac:dyDescent="0.2">
      <c r="B94" s="369">
        <v>83</v>
      </c>
      <c r="C94" s="370" t="s">
        <v>458</v>
      </c>
      <c r="D94" s="371" t="s">
        <v>63</v>
      </c>
      <c r="E94" s="371" t="s">
        <v>63</v>
      </c>
      <c r="F94" s="371" t="s">
        <v>63</v>
      </c>
      <c r="G94" s="372" t="s">
        <v>99</v>
      </c>
      <c r="H94" s="371" t="s">
        <v>63</v>
      </c>
      <c r="I94" s="371"/>
    </row>
    <row r="95" spans="2:9" ht="27.75" customHeight="1" x14ac:dyDescent="0.2">
      <c r="B95" s="369">
        <v>84</v>
      </c>
      <c r="C95" s="370" t="s">
        <v>685</v>
      </c>
      <c r="D95" s="373"/>
      <c r="E95" s="371" t="s">
        <v>63</v>
      </c>
      <c r="F95" s="371" t="s">
        <v>63</v>
      </c>
      <c r="G95" s="372" t="s">
        <v>99</v>
      </c>
      <c r="H95" s="371" t="s">
        <v>63</v>
      </c>
      <c r="I95" s="371" t="s">
        <v>98</v>
      </c>
    </row>
    <row r="96" spans="2:9" ht="15.75" customHeight="1" x14ac:dyDescent="0.2">
      <c r="B96" s="369">
        <v>85</v>
      </c>
      <c r="C96" s="370" t="s">
        <v>459</v>
      </c>
      <c r="D96" s="371" t="s">
        <v>63</v>
      </c>
      <c r="E96" s="371" t="s">
        <v>63</v>
      </c>
      <c r="F96" s="371" t="s">
        <v>99</v>
      </c>
      <c r="G96" s="372" t="s">
        <v>99</v>
      </c>
      <c r="H96" s="371" t="s">
        <v>63</v>
      </c>
      <c r="I96" s="371"/>
    </row>
    <row r="97" spans="1:9" ht="15.75" customHeight="1" x14ac:dyDescent="0.2">
      <c r="B97" s="369">
        <v>86</v>
      </c>
      <c r="C97" s="370" t="s">
        <v>460</v>
      </c>
      <c r="D97" s="371" t="s">
        <v>63</v>
      </c>
      <c r="E97" s="371" t="s">
        <v>63</v>
      </c>
      <c r="F97" s="371" t="s">
        <v>63</v>
      </c>
      <c r="G97" s="371" t="s">
        <v>99</v>
      </c>
      <c r="H97" s="371" t="s">
        <v>63</v>
      </c>
      <c r="I97" s="371"/>
    </row>
    <row r="98" spans="1:9" ht="15.75" customHeight="1" x14ac:dyDescent="0.2">
      <c r="B98" s="369">
        <v>87</v>
      </c>
      <c r="C98" s="370" t="s">
        <v>461</v>
      </c>
      <c r="D98" s="371" t="s">
        <v>63</v>
      </c>
      <c r="E98" s="371" t="s">
        <v>63</v>
      </c>
      <c r="F98" s="371" t="s">
        <v>63</v>
      </c>
      <c r="G98" s="372" t="s">
        <v>99</v>
      </c>
      <c r="H98" s="371" t="s">
        <v>99</v>
      </c>
      <c r="I98" s="371" t="s">
        <v>98</v>
      </c>
    </row>
    <row r="99" spans="1:9" ht="15.75" customHeight="1" x14ac:dyDescent="0.2">
      <c r="A99" s="187"/>
      <c r="B99" s="369">
        <v>88</v>
      </c>
      <c r="C99" s="370" t="s">
        <v>462</v>
      </c>
      <c r="D99" s="371" t="s">
        <v>63</v>
      </c>
      <c r="E99" s="371" t="s">
        <v>63</v>
      </c>
      <c r="F99" s="371" t="s">
        <v>63</v>
      </c>
      <c r="G99" s="372" t="s">
        <v>99</v>
      </c>
      <c r="H99" s="371" t="s">
        <v>98</v>
      </c>
      <c r="I99" s="371" t="s">
        <v>98</v>
      </c>
    </row>
    <row r="100" spans="1:9" ht="15.75" customHeight="1" x14ac:dyDescent="0.2">
      <c r="A100" s="187"/>
      <c r="B100" s="369">
        <v>89</v>
      </c>
      <c r="C100" s="370" t="s">
        <v>686</v>
      </c>
      <c r="D100" s="371"/>
      <c r="E100" s="371"/>
      <c r="F100" s="371"/>
      <c r="G100" s="372"/>
      <c r="H100" s="371" t="s">
        <v>98</v>
      </c>
      <c r="I100" s="371" t="s">
        <v>98</v>
      </c>
    </row>
    <row r="101" spans="1:9" ht="15.75" customHeight="1" x14ac:dyDescent="0.2">
      <c r="A101" s="187"/>
      <c r="B101" s="369">
        <v>90</v>
      </c>
      <c r="C101" s="370" t="s">
        <v>687</v>
      </c>
      <c r="D101" s="374"/>
      <c r="E101" s="374"/>
      <c r="F101" s="374"/>
      <c r="G101" s="374"/>
      <c r="H101" s="374"/>
      <c r="I101" s="380" t="s">
        <v>98</v>
      </c>
    </row>
    <row r="102" spans="1:9" ht="15.75" customHeight="1" x14ac:dyDescent="0.2">
      <c r="B102" s="369">
        <v>91</v>
      </c>
      <c r="C102" s="370" t="s">
        <v>688</v>
      </c>
      <c r="D102" s="374"/>
      <c r="E102" s="374"/>
      <c r="F102" s="374"/>
      <c r="G102" s="374"/>
      <c r="H102" s="374"/>
      <c r="I102" s="380" t="s">
        <v>98</v>
      </c>
    </row>
    <row r="103" spans="1:9" ht="15.75" customHeight="1" x14ac:dyDescent="0.2">
      <c r="B103" s="369">
        <v>92</v>
      </c>
      <c r="C103" s="370" t="s">
        <v>689</v>
      </c>
      <c r="D103" s="374"/>
      <c r="E103" s="374"/>
      <c r="F103" s="374"/>
      <c r="G103" s="374"/>
      <c r="H103" s="374"/>
      <c r="I103" s="380" t="s">
        <v>98</v>
      </c>
    </row>
    <row r="104" spans="1:9" ht="15.75" customHeight="1" x14ac:dyDescent="0.2">
      <c r="B104" s="369">
        <v>93</v>
      </c>
      <c r="C104" s="370" t="s">
        <v>690</v>
      </c>
      <c r="D104" s="374"/>
      <c r="E104" s="374"/>
      <c r="F104" s="374"/>
      <c r="G104" s="374"/>
      <c r="H104" s="374"/>
      <c r="I104" s="380" t="s">
        <v>98</v>
      </c>
    </row>
    <row r="105" spans="1:9" ht="15.75" customHeight="1" x14ac:dyDescent="0.2">
      <c r="B105" s="369">
        <v>94</v>
      </c>
      <c r="C105" s="370" t="s">
        <v>691</v>
      </c>
      <c r="D105" s="374"/>
      <c r="E105" s="374"/>
      <c r="F105" s="374"/>
      <c r="G105" s="374"/>
      <c r="H105" s="374"/>
      <c r="I105" s="380" t="s">
        <v>98</v>
      </c>
    </row>
    <row r="106" spans="1:9" ht="15.75" customHeight="1" x14ac:dyDescent="0.2">
      <c r="B106" s="369">
        <v>95</v>
      </c>
      <c r="C106" s="370" t="s">
        <v>692</v>
      </c>
      <c r="D106" s="374"/>
      <c r="E106" s="374"/>
      <c r="F106" s="374"/>
      <c r="G106" s="374"/>
      <c r="H106" s="374"/>
      <c r="I106" s="380" t="s">
        <v>98</v>
      </c>
    </row>
    <row r="107" spans="1:9" ht="15.75" customHeight="1" x14ac:dyDescent="0.2">
      <c r="B107" s="369">
        <v>96</v>
      </c>
      <c r="C107" s="370" t="s">
        <v>693</v>
      </c>
      <c r="D107" s="374"/>
      <c r="E107" s="374"/>
      <c r="F107" s="374"/>
      <c r="G107" s="374"/>
      <c r="H107" s="374"/>
      <c r="I107" s="380" t="s">
        <v>98</v>
      </c>
    </row>
    <row r="108" spans="1:9" ht="15.75" customHeight="1" x14ac:dyDescent="0.2">
      <c r="B108" s="369">
        <v>97</v>
      </c>
      <c r="C108" s="370" t="s">
        <v>694</v>
      </c>
      <c r="D108" s="374"/>
      <c r="E108" s="374"/>
      <c r="F108" s="374"/>
      <c r="G108" s="374"/>
      <c r="H108" s="374"/>
      <c r="I108" s="380" t="s">
        <v>98</v>
      </c>
    </row>
    <row r="109" spans="1:9" ht="15.75" customHeight="1" x14ac:dyDescent="0.2">
      <c r="B109" s="369">
        <v>98</v>
      </c>
      <c r="C109" s="370" t="s">
        <v>695</v>
      </c>
      <c r="D109" s="375"/>
      <c r="E109" s="375"/>
      <c r="F109" s="375"/>
      <c r="G109" s="375"/>
      <c r="H109" s="375"/>
      <c r="I109" s="380" t="s">
        <v>98</v>
      </c>
    </row>
    <row r="110" spans="1:9" ht="15.75" customHeight="1" x14ac:dyDescent="0.2">
      <c r="B110" s="369">
        <v>99</v>
      </c>
      <c r="C110" s="370" t="s">
        <v>696</v>
      </c>
      <c r="D110" s="374"/>
      <c r="E110" s="374"/>
      <c r="F110" s="374"/>
      <c r="G110" s="374"/>
      <c r="H110" s="374"/>
      <c r="I110" s="380" t="s">
        <v>98</v>
      </c>
    </row>
    <row r="111" spans="1:9" ht="15.75" customHeight="1" x14ac:dyDescent="0.2">
      <c r="B111" s="369">
        <v>100</v>
      </c>
      <c r="C111" s="370" t="s">
        <v>697</v>
      </c>
      <c r="D111" s="375"/>
      <c r="E111" s="375"/>
      <c r="F111" s="375"/>
      <c r="G111" s="375"/>
      <c r="H111" s="375"/>
      <c r="I111" s="380" t="s">
        <v>98</v>
      </c>
    </row>
    <row r="112" spans="1:9" ht="15.75" customHeight="1" x14ac:dyDescent="0.2">
      <c r="B112" s="369">
        <v>101</v>
      </c>
      <c r="C112" s="370" t="s">
        <v>698</v>
      </c>
      <c r="D112" s="375"/>
      <c r="E112" s="375"/>
      <c r="F112" s="375"/>
      <c r="G112" s="375"/>
      <c r="H112" s="375"/>
      <c r="I112" s="380" t="s">
        <v>98</v>
      </c>
    </row>
    <row r="113" spans="2:9" ht="15.75" customHeight="1" x14ac:dyDescent="0.2">
      <c r="B113" s="369">
        <v>102</v>
      </c>
      <c r="C113" s="370" t="s">
        <v>699</v>
      </c>
      <c r="D113" s="375"/>
      <c r="E113" s="375"/>
      <c r="F113" s="375"/>
      <c r="G113" s="375"/>
      <c r="H113" s="375"/>
      <c r="I113" s="380" t="s">
        <v>98</v>
      </c>
    </row>
    <row r="114" spans="2:9" ht="15.75" customHeight="1" x14ac:dyDescent="0.2">
      <c r="B114" s="369">
        <v>103</v>
      </c>
      <c r="C114" s="370" t="s">
        <v>700</v>
      </c>
      <c r="D114" s="375"/>
      <c r="E114" s="375"/>
      <c r="F114" s="375"/>
      <c r="G114" s="375"/>
      <c r="H114" s="375"/>
      <c r="I114" s="380" t="s">
        <v>98</v>
      </c>
    </row>
    <row r="115" spans="2:9" ht="15.75" customHeight="1" x14ac:dyDescent="0.2">
      <c r="B115" s="369">
        <v>104</v>
      </c>
      <c r="C115" s="370" t="s">
        <v>701</v>
      </c>
      <c r="D115" s="376"/>
      <c r="E115" s="375"/>
      <c r="F115" s="375"/>
      <c r="G115" s="375"/>
      <c r="H115" s="375"/>
      <c r="I115" s="380" t="s">
        <v>98</v>
      </c>
    </row>
    <row r="116" spans="2:9" ht="15.75" customHeight="1" x14ac:dyDescent="0.2">
      <c r="B116" s="369">
        <v>105</v>
      </c>
      <c r="C116" s="370" t="s">
        <v>702</v>
      </c>
      <c r="D116" s="376"/>
      <c r="E116" s="375"/>
      <c r="F116" s="375"/>
      <c r="G116" s="375"/>
      <c r="H116" s="375"/>
      <c r="I116" s="380" t="s">
        <v>98</v>
      </c>
    </row>
    <row r="117" spans="2:9" ht="15.75" customHeight="1" x14ac:dyDescent="0.2">
      <c r="B117" s="377" t="s">
        <v>63</v>
      </c>
      <c r="C117" s="377" t="s">
        <v>463</v>
      </c>
      <c r="D117" s="377">
        <f t="shared" ref="D117:I117" si="0">+COUNTIF(D12:D116,"X")</f>
        <v>76</v>
      </c>
      <c r="E117" s="377">
        <f t="shared" si="0"/>
        <v>76</v>
      </c>
      <c r="F117" s="377">
        <f t="shared" si="0"/>
        <v>51</v>
      </c>
      <c r="G117" s="377">
        <f t="shared" si="0"/>
        <v>61</v>
      </c>
      <c r="H117" s="377">
        <f t="shared" si="0"/>
        <v>62</v>
      </c>
      <c r="I117" s="377">
        <f t="shared" si="0"/>
        <v>51</v>
      </c>
    </row>
    <row r="118" spans="2:9" ht="15.75" customHeight="1" x14ac:dyDescent="0.2">
      <c r="B118" s="378" t="s">
        <v>634</v>
      </c>
      <c r="C118" s="378"/>
      <c r="D118" s="379"/>
      <c r="E118" s="379"/>
      <c r="F118" s="379"/>
      <c r="G118" s="379"/>
      <c r="H118" s="379"/>
      <c r="I118" s="378"/>
    </row>
    <row r="119" spans="2:9" ht="15.75" customHeight="1" x14ac:dyDescent="0.2"/>
    <row r="120" spans="2:9" ht="15.75" customHeight="1" x14ac:dyDescent="0.2"/>
    <row r="121" spans="2:9" ht="15.75" customHeight="1" x14ac:dyDescent="0.2"/>
    <row r="122" spans="2:9" ht="15.75" customHeight="1" x14ac:dyDescent="0.2"/>
    <row r="123" spans="2:9" ht="15.75" customHeight="1" x14ac:dyDescent="0.2"/>
    <row r="124" spans="2:9" ht="15.75" customHeight="1" x14ac:dyDescent="0.2"/>
    <row r="125" spans="2:9" ht="15.75" customHeight="1" x14ac:dyDescent="0.2"/>
    <row r="126" spans="2:9" ht="15.75" customHeight="1" x14ac:dyDescent="0.2"/>
    <row r="127" spans="2:9" ht="15.75" customHeight="1" x14ac:dyDescent="0.2"/>
    <row r="128" spans="2:9"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sheetData>
  <mergeCells count="3">
    <mergeCell ref="D2:H2"/>
    <mergeCell ref="D3:H3"/>
    <mergeCell ref="D4:H4"/>
  </mergeCells>
  <hyperlinks>
    <hyperlink ref="C7" r:id="rId1"/>
  </hyperlinks>
  <pageMargins left="0.7" right="0.7" top="0.75" bottom="0.75" header="0" footer="0"/>
  <pageSetup orientation="landscape"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C2:H57"/>
  <sheetViews>
    <sheetView showGridLines="0" workbookViewId="0">
      <selection activeCell="D60" sqref="D60"/>
    </sheetView>
  </sheetViews>
  <sheetFormatPr baseColWidth="10" defaultRowHeight="12.75" x14ac:dyDescent="0.2"/>
  <cols>
    <col min="1" max="2" width="11.42578125" style="161"/>
    <col min="3" max="3" width="35.85546875" style="161" customWidth="1"/>
    <col min="4" max="4" width="75.28515625" style="161" customWidth="1"/>
    <col min="5" max="5" width="11.85546875" style="161" customWidth="1"/>
    <col min="6" max="16384" width="11.42578125" style="161"/>
  </cols>
  <sheetData>
    <row r="2" spans="3:8" ht="12.75" customHeight="1" x14ac:dyDescent="0.2">
      <c r="D2" s="740" t="s">
        <v>0</v>
      </c>
      <c r="E2" s="740"/>
      <c r="F2" s="740"/>
      <c r="G2" s="740"/>
      <c r="H2" s="219"/>
    </row>
    <row r="3" spans="3:8" ht="12.75" customHeight="1" x14ac:dyDescent="0.2">
      <c r="D3" s="740" t="s">
        <v>468</v>
      </c>
      <c r="E3" s="740"/>
      <c r="F3" s="740"/>
      <c r="G3" s="740"/>
      <c r="H3" s="219"/>
    </row>
    <row r="4" spans="3:8" ht="12.75" customHeight="1" x14ac:dyDescent="0.2">
      <c r="D4" s="740" t="s">
        <v>487</v>
      </c>
      <c r="E4" s="740"/>
      <c r="F4" s="740"/>
      <c r="G4" s="740"/>
      <c r="H4" s="220"/>
    </row>
    <row r="6" spans="3:8" s="221" customFormat="1" x14ac:dyDescent="0.2">
      <c r="C6" s="164" t="s">
        <v>240</v>
      </c>
      <c r="D6" s="56" t="s">
        <v>241</v>
      </c>
    </row>
    <row r="7" spans="3:8" x14ac:dyDescent="0.2">
      <c r="C7" s="184" t="s">
        <v>488</v>
      </c>
      <c r="D7" s="56" t="s">
        <v>489</v>
      </c>
    </row>
    <row r="9" spans="3:8" x14ac:dyDescent="0.2">
      <c r="C9" s="398" t="s">
        <v>314</v>
      </c>
      <c r="D9" s="399" t="s">
        <v>490</v>
      </c>
      <c r="E9" s="400">
        <v>2023</v>
      </c>
      <c r="F9" s="400">
        <v>2024</v>
      </c>
      <c r="G9" s="400">
        <v>2025</v>
      </c>
      <c r="H9" s="400" t="s">
        <v>49</v>
      </c>
    </row>
    <row r="10" spans="3:8" x14ac:dyDescent="0.2">
      <c r="C10" s="741" t="s">
        <v>491</v>
      </c>
      <c r="D10" s="556" t="s">
        <v>492</v>
      </c>
      <c r="E10" s="557">
        <v>669</v>
      </c>
      <c r="F10" s="557">
        <v>740</v>
      </c>
      <c r="G10" s="557">
        <v>978</v>
      </c>
      <c r="H10" s="383">
        <f>+SUM(E10:G10)</f>
        <v>2387</v>
      </c>
    </row>
    <row r="11" spans="3:8" x14ac:dyDescent="0.2">
      <c r="C11" s="741"/>
      <c r="D11" s="556" t="s">
        <v>493</v>
      </c>
      <c r="E11" s="557">
        <v>448</v>
      </c>
      <c r="F11" s="557">
        <v>552</v>
      </c>
      <c r="G11" s="557">
        <f>82+7</f>
        <v>89</v>
      </c>
      <c r="H11" s="383">
        <f t="shared" ref="H11:H36" si="0">+SUM(E11:G11)</f>
        <v>1089</v>
      </c>
    </row>
    <row r="12" spans="3:8" x14ac:dyDescent="0.2">
      <c r="C12" s="741"/>
      <c r="D12" s="556" t="s">
        <v>494</v>
      </c>
      <c r="E12" s="557">
        <v>357</v>
      </c>
      <c r="F12" s="557">
        <v>318</v>
      </c>
      <c r="G12" s="557">
        <v>292</v>
      </c>
      <c r="H12" s="383">
        <f t="shared" si="0"/>
        <v>967</v>
      </c>
    </row>
    <row r="13" spans="3:8" x14ac:dyDescent="0.2">
      <c r="C13" s="741"/>
      <c r="D13" s="556" t="s">
        <v>767</v>
      </c>
      <c r="E13" s="557" t="s">
        <v>63</v>
      </c>
      <c r="F13" s="557">
        <v>552</v>
      </c>
      <c r="G13" s="557">
        <v>443</v>
      </c>
      <c r="H13" s="383">
        <f t="shared" si="0"/>
        <v>995</v>
      </c>
    </row>
    <row r="14" spans="3:8" x14ac:dyDescent="0.2">
      <c r="C14" s="741"/>
      <c r="D14" s="556" t="s">
        <v>495</v>
      </c>
      <c r="E14" s="557">
        <v>382</v>
      </c>
      <c r="F14" s="557" t="s">
        <v>63</v>
      </c>
      <c r="G14" s="557" t="s">
        <v>63</v>
      </c>
      <c r="H14" s="383">
        <f t="shared" si="0"/>
        <v>382</v>
      </c>
    </row>
    <row r="15" spans="3:8" x14ac:dyDescent="0.2">
      <c r="C15" s="741"/>
      <c r="D15" s="556" t="s">
        <v>768</v>
      </c>
      <c r="E15" s="557">
        <v>234</v>
      </c>
      <c r="F15" s="557">
        <v>243</v>
      </c>
      <c r="G15" s="557">
        <v>533</v>
      </c>
      <c r="H15" s="383">
        <f t="shared" si="0"/>
        <v>1010</v>
      </c>
    </row>
    <row r="16" spans="3:8" ht="16.5" customHeight="1" x14ac:dyDescent="0.2">
      <c r="C16" s="741"/>
      <c r="D16" s="556" t="s">
        <v>769</v>
      </c>
      <c r="E16" s="557">
        <v>215</v>
      </c>
      <c r="F16" s="557">
        <v>248</v>
      </c>
      <c r="G16" s="557">
        <v>149</v>
      </c>
      <c r="H16" s="383">
        <f t="shared" si="0"/>
        <v>612</v>
      </c>
    </row>
    <row r="17" spans="3:8" x14ac:dyDescent="0.2">
      <c r="C17" s="741"/>
      <c r="D17" s="556" t="s">
        <v>496</v>
      </c>
      <c r="E17" s="557" t="s">
        <v>63</v>
      </c>
      <c r="F17" s="557">
        <v>5</v>
      </c>
      <c r="G17" s="557" t="s">
        <v>63</v>
      </c>
      <c r="H17" s="383">
        <f t="shared" si="0"/>
        <v>5</v>
      </c>
    </row>
    <row r="18" spans="3:8" x14ac:dyDescent="0.2">
      <c r="C18" s="741" t="s">
        <v>497</v>
      </c>
      <c r="D18" s="556" t="s">
        <v>770</v>
      </c>
      <c r="E18" s="557">
        <v>38</v>
      </c>
      <c r="F18" s="557">
        <v>93</v>
      </c>
      <c r="G18" s="557">
        <v>96</v>
      </c>
      <c r="H18" s="383">
        <f t="shared" si="0"/>
        <v>227</v>
      </c>
    </row>
    <row r="19" spans="3:8" x14ac:dyDescent="0.2">
      <c r="C19" s="741"/>
      <c r="D19" s="556" t="s">
        <v>771</v>
      </c>
      <c r="E19" s="557">
        <v>26</v>
      </c>
      <c r="F19" s="557">
        <v>67</v>
      </c>
      <c r="G19" s="557">
        <v>49</v>
      </c>
      <c r="H19" s="383">
        <f t="shared" si="0"/>
        <v>142</v>
      </c>
    </row>
    <row r="20" spans="3:8" x14ac:dyDescent="0.2">
      <c r="C20" s="741"/>
      <c r="D20" s="556" t="s">
        <v>498</v>
      </c>
      <c r="E20" s="557">
        <v>19</v>
      </c>
      <c r="F20" s="557">
        <v>68</v>
      </c>
      <c r="G20" s="557" t="s">
        <v>63</v>
      </c>
      <c r="H20" s="383">
        <f t="shared" si="0"/>
        <v>87</v>
      </c>
    </row>
    <row r="21" spans="3:8" ht="14.25" customHeight="1" x14ac:dyDescent="0.2">
      <c r="C21" s="741"/>
      <c r="D21" s="556" t="s">
        <v>499</v>
      </c>
      <c r="E21" s="557">
        <v>6</v>
      </c>
      <c r="F21" s="557">
        <v>27</v>
      </c>
      <c r="G21" s="557">
        <v>35</v>
      </c>
      <c r="H21" s="383">
        <f t="shared" si="0"/>
        <v>68</v>
      </c>
    </row>
    <row r="22" spans="3:8" x14ac:dyDescent="0.2">
      <c r="C22" s="741"/>
      <c r="D22" s="556" t="s">
        <v>500</v>
      </c>
      <c r="E22" s="557">
        <v>8</v>
      </c>
      <c r="F22" s="557" t="s">
        <v>63</v>
      </c>
      <c r="G22" s="557" t="s">
        <v>63</v>
      </c>
      <c r="H22" s="383">
        <f t="shared" si="0"/>
        <v>8</v>
      </c>
    </row>
    <row r="23" spans="3:8" x14ac:dyDescent="0.2">
      <c r="C23" s="741"/>
      <c r="D23" s="556" t="s">
        <v>501</v>
      </c>
      <c r="E23" s="557" t="s">
        <v>63</v>
      </c>
      <c r="F23" s="557">
        <v>4</v>
      </c>
      <c r="G23" s="557" t="s">
        <v>63</v>
      </c>
      <c r="H23" s="383">
        <f t="shared" si="0"/>
        <v>4</v>
      </c>
    </row>
    <row r="24" spans="3:8" x14ac:dyDescent="0.2">
      <c r="C24" s="741"/>
      <c r="D24" s="556" t="s">
        <v>772</v>
      </c>
      <c r="E24" s="557" t="s">
        <v>63</v>
      </c>
      <c r="F24" s="557" t="s">
        <v>63</v>
      </c>
      <c r="G24" s="557">
        <v>24</v>
      </c>
      <c r="H24" s="383">
        <f t="shared" si="0"/>
        <v>24</v>
      </c>
    </row>
    <row r="25" spans="3:8" x14ac:dyDescent="0.2">
      <c r="C25" s="741"/>
      <c r="D25" s="557" t="s">
        <v>773</v>
      </c>
      <c r="E25" s="557" t="s">
        <v>63</v>
      </c>
      <c r="F25" s="557" t="s">
        <v>63</v>
      </c>
      <c r="G25" s="557">
        <v>4</v>
      </c>
      <c r="H25" s="383">
        <f t="shared" si="0"/>
        <v>4</v>
      </c>
    </row>
    <row r="26" spans="3:8" ht="25.5" x14ac:dyDescent="0.2">
      <c r="C26" s="742" t="s">
        <v>502</v>
      </c>
      <c r="D26" s="556" t="s">
        <v>503</v>
      </c>
      <c r="E26" s="557" t="s">
        <v>63</v>
      </c>
      <c r="F26" s="557">
        <v>16</v>
      </c>
      <c r="G26" s="557">
        <v>22</v>
      </c>
      <c r="H26" s="383">
        <f>+SUM(E26:G26)</f>
        <v>38</v>
      </c>
    </row>
    <row r="27" spans="3:8" x14ac:dyDescent="0.2">
      <c r="C27" s="743"/>
      <c r="D27" s="556" t="s">
        <v>504</v>
      </c>
      <c r="E27" s="557">
        <v>1</v>
      </c>
      <c r="F27" s="557">
        <v>8</v>
      </c>
      <c r="G27" s="557">
        <v>2</v>
      </c>
      <c r="H27" s="383">
        <f t="shared" ref="H27:H34" si="1">+SUM(E27:G27)</f>
        <v>11</v>
      </c>
    </row>
    <row r="28" spans="3:8" x14ac:dyDescent="0.2">
      <c r="C28" s="743"/>
      <c r="D28" s="556" t="s">
        <v>774</v>
      </c>
      <c r="E28" s="557" t="s">
        <v>63</v>
      </c>
      <c r="F28" s="557">
        <v>30</v>
      </c>
      <c r="G28" s="557">
        <v>6</v>
      </c>
      <c r="H28" s="383">
        <f t="shared" si="1"/>
        <v>36</v>
      </c>
    </row>
    <row r="29" spans="3:8" x14ac:dyDescent="0.2">
      <c r="C29" s="743"/>
      <c r="D29" s="556" t="s">
        <v>505</v>
      </c>
      <c r="E29" s="557">
        <v>36</v>
      </c>
      <c r="F29" s="557">
        <v>9</v>
      </c>
      <c r="G29" s="557" t="s">
        <v>63</v>
      </c>
      <c r="H29" s="383">
        <f t="shared" si="1"/>
        <v>45</v>
      </c>
    </row>
    <row r="30" spans="3:8" x14ac:dyDescent="0.2">
      <c r="C30" s="743"/>
      <c r="D30" s="556" t="s">
        <v>775</v>
      </c>
      <c r="E30" s="557">
        <v>2</v>
      </c>
      <c r="F30" s="557">
        <v>5</v>
      </c>
      <c r="G30" s="557">
        <v>4</v>
      </c>
      <c r="H30" s="383">
        <f t="shared" si="1"/>
        <v>11</v>
      </c>
    </row>
    <row r="31" spans="3:8" x14ac:dyDescent="0.2">
      <c r="C31" s="743"/>
      <c r="D31" s="556" t="s">
        <v>776</v>
      </c>
      <c r="E31" s="557" t="s">
        <v>63</v>
      </c>
      <c r="F31" s="557" t="s">
        <v>63</v>
      </c>
      <c r="G31" s="557">
        <v>2</v>
      </c>
      <c r="H31" s="383">
        <f t="shared" si="1"/>
        <v>2</v>
      </c>
    </row>
    <row r="32" spans="3:8" x14ac:dyDescent="0.2">
      <c r="C32" s="743"/>
      <c r="D32" s="556" t="s">
        <v>777</v>
      </c>
      <c r="E32" s="557" t="s">
        <v>63</v>
      </c>
      <c r="F32" s="557" t="s">
        <v>63</v>
      </c>
      <c r="G32" s="557">
        <v>251</v>
      </c>
      <c r="H32" s="383">
        <f t="shared" si="1"/>
        <v>251</v>
      </c>
    </row>
    <row r="33" spans="3:8" x14ac:dyDescent="0.2">
      <c r="C33" s="743"/>
      <c r="D33" s="556" t="s">
        <v>778</v>
      </c>
      <c r="E33" s="557" t="s">
        <v>63</v>
      </c>
      <c r="F33" s="557" t="s">
        <v>63</v>
      </c>
      <c r="G33" s="557">
        <v>24</v>
      </c>
      <c r="H33" s="383">
        <f t="shared" si="1"/>
        <v>24</v>
      </c>
    </row>
    <row r="34" spans="3:8" x14ac:dyDescent="0.2">
      <c r="C34" s="744"/>
      <c r="D34" s="556" t="s">
        <v>779</v>
      </c>
      <c r="E34" s="557" t="s">
        <v>63</v>
      </c>
      <c r="F34" s="557" t="s">
        <v>63</v>
      </c>
      <c r="G34" s="557">
        <v>152</v>
      </c>
      <c r="H34" s="383">
        <f t="shared" si="1"/>
        <v>152</v>
      </c>
    </row>
    <row r="35" spans="3:8" x14ac:dyDescent="0.2">
      <c r="C35" s="741" t="s">
        <v>506</v>
      </c>
      <c r="D35" s="556" t="s">
        <v>507</v>
      </c>
      <c r="E35" s="557">
        <v>2</v>
      </c>
      <c r="F35" s="557" t="s">
        <v>63</v>
      </c>
      <c r="G35" s="557" t="s">
        <v>63</v>
      </c>
      <c r="H35" s="383">
        <f t="shared" si="0"/>
        <v>2</v>
      </c>
    </row>
    <row r="36" spans="3:8" x14ac:dyDescent="0.2">
      <c r="C36" s="741"/>
      <c r="D36" s="556" t="s">
        <v>508</v>
      </c>
      <c r="E36" s="557">
        <v>31</v>
      </c>
      <c r="F36" s="557" t="s">
        <v>63</v>
      </c>
      <c r="G36" s="557" t="s">
        <v>63</v>
      </c>
      <c r="H36" s="383">
        <f t="shared" si="0"/>
        <v>31</v>
      </c>
    </row>
    <row r="37" spans="3:8" x14ac:dyDescent="0.2">
      <c r="C37" s="737" t="s">
        <v>49</v>
      </c>
      <c r="D37" s="737"/>
      <c r="E37" s="397">
        <f>+SUM(E10:E36)</f>
        <v>2474</v>
      </c>
      <c r="F37" s="397">
        <f>+SUM(F10:F36)</f>
        <v>2985</v>
      </c>
      <c r="G37" s="397">
        <f>+SUM(G10:G36)</f>
        <v>3155</v>
      </c>
      <c r="H37" s="397">
        <f>+SUM(H10:H36)</f>
        <v>8614</v>
      </c>
    </row>
    <row r="38" spans="3:8" x14ac:dyDescent="0.2">
      <c r="C38" s="1" t="s">
        <v>787</v>
      </c>
      <c r="D38" s="1"/>
      <c r="E38" s="1"/>
      <c r="F38" s="1"/>
      <c r="G38" s="1"/>
      <c r="H38" s="1"/>
    </row>
    <row r="42" spans="3:8" ht="16.5" customHeight="1" x14ac:dyDescent="0.2">
      <c r="C42" s="739" t="s">
        <v>703</v>
      </c>
      <c r="D42" s="739"/>
      <c r="E42" s="739"/>
      <c r="F42" s="739"/>
      <c r="G42" s="739"/>
    </row>
    <row r="43" spans="3:8" x14ac:dyDescent="0.2">
      <c r="C43" s="238" t="s">
        <v>512</v>
      </c>
      <c r="D43" s="240">
        <v>2023</v>
      </c>
      <c r="E43" s="242">
        <v>2024</v>
      </c>
      <c r="F43" s="242">
        <v>2025</v>
      </c>
      <c r="G43" s="240" t="s">
        <v>49</v>
      </c>
    </row>
    <row r="44" spans="3:8" x14ac:dyDescent="0.2">
      <c r="C44" s="582" t="s">
        <v>621</v>
      </c>
      <c r="D44" s="813">
        <v>145</v>
      </c>
      <c r="E44" s="813">
        <v>444</v>
      </c>
      <c r="F44" s="813">
        <v>496</v>
      </c>
      <c r="G44" s="814">
        <f>+SUM(D44:F44)</f>
        <v>1085</v>
      </c>
    </row>
    <row r="47" spans="3:8" ht="16.5" x14ac:dyDescent="0.2">
      <c r="C47" s="738" t="s">
        <v>703</v>
      </c>
      <c r="D47" s="738"/>
      <c r="E47" s="738"/>
      <c r="F47" s="738"/>
      <c r="G47" s="738"/>
    </row>
    <row r="48" spans="3:8" x14ac:dyDescent="0.2">
      <c r="C48" s="238" t="s">
        <v>780</v>
      </c>
      <c r="D48" s="240">
        <v>2023</v>
      </c>
      <c r="E48" s="240">
        <v>2024</v>
      </c>
      <c r="F48" s="240">
        <v>2025</v>
      </c>
      <c r="G48" s="240" t="s">
        <v>49</v>
      </c>
    </row>
    <row r="49" spans="3:7" ht="25.5" x14ac:dyDescent="0.2">
      <c r="C49" s="815" t="s">
        <v>797</v>
      </c>
      <c r="D49" s="816"/>
      <c r="E49" s="816"/>
      <c r="F49" s="816">
        <v>1</v>
      </c>
      <c r="G49" s="216">
        <f t="shared" ref="G49:G50" si="2">+SUM(D49:F49)</f>
        <v>1</v>
      </c>
    </row>
    <row r="50" spans="3:7" ht="25.5" x14ac:dyDescent="0.2">
      <c r="C50" s="815" t="s">
        <v>836</v>
      </c>
      <c r="D50" s="816"/>
      <c r="E50" s="816"/>
      <c r="F50" s="816">
        <v>14</v>
      </c>
      <c r="G50" s="216">
        <f t="shared" si="2"/>
        <v>14</v>
      </c>
    </row>
    <row r="51" spans="3:7" s="403" customFormat="1" x14ac:dyDescent="0.2"/>
    <row r="52" spans="3:7" s="403" customFormat="1" x14ac:dyDescent="0.2"/>
    <row r="53" spans="3:7" s="403" customFormat="1" x14ac:dyDescent="0.2">
      <c r="C53" s="399" t="s">
        <v>490</v>
      </c>
      <c r="D53" s="400">
        <v>2023</v>
      </c>
      <c r="E53" s="400">
        <v>2024</v>
      </c>
      <c r="F53" s="400">
        <v>2025</v>
      </c>
      <c r="G53" s="400" t="s">
        <v>49</v>
      </c>
    </row>
    <row r="54" spans="3:7" ht="26.25" x14ac:dyDescent="0.25">
      <c r="C54" s="582" t="s">
        <v>494</v>
      </c>
      <c r="D54" s="402"/>
      <c r="E54" s="216"/>
      <c r="F54" s="401">
        <v>6</v>
      </c>
      <c r="G54" s="216">
        <f t="shared" ref="G54:G57" si="3">+SUM(D54:F54)</f>
        <v>6</v>
      </c>
    </row>
    <row r="55" spans="3:7" ht="26.25" x14ac:dyDescent="0.25">
      <c r="C55" s="582" t="s">
        <v>777</v>
      </c>
      <c r="D55" s="402"/>
      <c r="E55" s="216"/>
      <c r="F55" s="401">
        <v>7</v>
      </c>
      <c r="G55" s="216">
        <f t="shared" si="3"/>
        <v>7</v>
      </c>
    </row>
    <row r="56" spans="3:7" ht="26.25" x14ac:dyDescent="0.25">
      <c r="C56" s="582" t="s">
        <v>492</v>
      </c>
      <c r="D56" s="402"/>
      <c r="E56" s="216"/>
      <c r="F56" s="401">
        <v>1</v>
      </c>
      <c r="G56" s="216">
        <f t="shared" si="3"/>
        <v>1</v>
      </c>
    </row>
    <row r="57" spans="3:7" ht="26.25" x14ac:dyDescent="0.25">
      <c r="C57" s="582" t="s">
        <v>769</v>
      </c>
      <c r="D57" s="402"/>
      <c r="E57" s="216"/>
      <c r="F57" s="401">
        <v>1</v>
      </c>
      <c r="G57" s="216">
        <f t="shared" si="3"/>
        <v>1</v>
      </c>
    </row>
  </sheetData>
  <mergeCells count="10">
    <mergeCell ref="C37:D37"/>
    <mergeCell ref="C47:G47"/>
    <mergeCell ref="C42:G42"/>
    <mergeCell ref="D2:G2"/>
    <mergeCell ref="D3:G3"/>
    <mergeCell ref="D4:G4"/>
    <mergeCell ref="C10:C17"/>
    <mergeCell ref="C18:C25"/>
    <mergeCell ref="C26:C34"/>
    <mergeCell ref="C35:C36"/>
  </mergeCells>
  <hyperlinks>
    <hyperlink ref="D6" r:id="rId1"/>
  </hyperlink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A656"/>
  <sheetViews>
    <sheetView showGridLines="0" zoomScaleNormal="100" workbookViewId="0">
      <selection activeCell="C24" sqref="C24"/>
    </sheetView>
  </sheetViews>
  <sheetFormatPr baseColWidth="10" defaultColWidth="9.140625" defaultRowHeight="15" customHeight="1" x14ac:dyDescent="0.25"/>
  <cols>
    <col min="1" max="1" width="9.140625" style="243"/>
    <col min="2" max="2" width="34.5703125" style="243" customWidth="1"/>
    <col min="3" max="3" width="36.7109375" style="243" customWidth="1"/>
    <col min="4" max="4" width="31.28515625" style="243" customWidth="1"/>
    <col min="5" max="5" width="35" style="243" customWidth="1"/>
    <col min="6" max="12" width="19.5703125" style="243" customWidth="1"/>
    <col min="13" max="13" width="19.7109375" style="243" customWidth="1"/>
    <col min="14" max="14" width="16" style="243" customWidth="1"/>
    <col min="15" max="26" width="12.140625" style="243" customWidth="1"/>
    <col min="27" max="16384" width="9.140625" style="243"/>
  </cols>
  <sheetData>
    <row r="2" spans="2:26" ht="12.75" customHeight="1" x14ac:dyDescent="0.25">
      <c r="C2" s="244"/>
      <c r="D2" s="745" t="s">
        <v>0</v>
      </c>
      <c r="E2" s="745"/>
      <c r="F2" s="745"/>
      <c r="G2" s="745"/>
    </row>
    <row r="3" spans="2:26" ht="12.75" customHeight="1" x14ac:dyDescent="0.25">
      <c r="C3" s="244"/>
      <c r="D3" s="745" t="s">
        <v>522</v>
      </c>
      <c r="E3" s="745"/>
      <c r="F3" s="745"/>
      <c r="G3" s="745"/>
    </row>
    <row r="4" spans="2:26" ht="12.75" customHeight="1" x14ac:dyDescent="0.25">
      <c r="B4" s="245"/>
    </row>
    <row r="5" spans="2:26" x14ac:dyDescent="0.25">
      <c r="B5" s="246"/>
      <c r="C5" s="246"/>
      <c r="D5" s="246"/>
      <c r="E5" s="246"/>
      <c r="F5" s="247"/>
      <c r="G5" s="246"/>
      <c r="H5" s="246"/>
      <c r="I5" s="246"/>
      <c r="J5" s="246"/>
      <c r="K5" s="246"/>
      <c r="L5" s="246"/>
      <c r="M5" s="246"/>
      <c r="N5" s="246"/>
      <c r="O5" s="246"/>
      <c r="P5" s="246"/>
      <c r="Q5" s="246"/>
      <c r="R5" s="246"/>
      <c r="S5" s="246"/>
      <c r="T5" s="246"/>
      <c r="U5" s="246"/>
      <c r="V5" s="246"/>
      <c r="W5" s="246"/>
      <c r="X5" s="246"/>
      <c r="Y5" s="246"/>
      <c r="Z5" s="246"/>
    </row>
    <row r="6" spans="2:26" s="245" customFormat="1" ht="25.5" x14ac:dyDescent="0.25">
      <c r="B6" s="248" t="s">
        <v>523</v>
      </c>
      <c r="C6" s="248" t="s">
        <v>524</v>
      </c>
      <c r="D6" s="248" t="s">
        <v>525</v>
      </c>
      <c r="E6" s="248" t="s">
        <v>526</v>
      </c>
      <c r="F6" s="248" t="s">
        <v>527</v>
      </c>
      <c r="G6" s="248" t="s">
        <v>528</v>
      </c>
      <c r="H6" s="248" t="s">
        <v>529</v>
      </c>
      <c r="I6" s="248" t="s">
        <v>530</v>
      </c>
      <c r="J6" s="248" t="s">
        <v>781</v>
      </c>
      <c r="K6" s="249"/>
      <c r="L6" s="249"/>
      <c r="M6" s="249"/>
      <c r="N6" s="249"/>
      <c r="O6" s="249"/>
      <c r="P6" s="249"/>
      <c r="Q6" s="249"/>
      <c r="R6" s="249"/>
      <c r="S6" s="249"/>
      <c r="T6" s="250"/>
      <c r="U6" s="246"/>
      <c r="V6" s="246"/>
      <c r="W6" s="246"/>
      <c r="X6" s="246"/>
      <c r="Y6" s="246"/>
      <c r="Z6" s="246"/>
    </row>
    <row r="7" spans="2:26" ht="34.5" customHeight="1" x14ac:dyDescent="0.25">
      <c r="B7" s="251" t="s">
        <v>531</v>
      </c>
      <c r="C7" s="252" t="s">
        <v>532</v>
      </c>
      <c r="D7" s="253" t="s">
        <v>533</v>
      </c>
      <c r="E7" s="254" t="s">
        <v>534</v>
      </c>
      <c r="F7" s="255">
        <v>1945</v>
      </c>
      <c r="G7" s="256">
        <v>1945</v>
      </c>
      <c r="H7" s="256">
        <v>1945</v>
      </c>
      <c r="I7" s="256">
        <v>1945</v>
      </c>
      <c r="J7" s="256">
        <v>1945</v>
      </c>
      <c r="K7" s="257"/>
      <c r="L7" s="257"/>
      <c r="M7" s="257"/>
      <c r="N7" s="257"/>
      <c r="O7" s="258"/>
      <c r="P7" s="257"/>
      <c r="Q7" s="257"/>
      <c r="R7" s="257"/>
      <c r="S7" s="259"/>
      <c r="T7" s="250"/>
      <c r="U7" s="246"/>
      <c r="V7" s="246"/>
      <c r="W7" s="246"/>
      <c r="X7" s="246"/>
      <c r="Y7" s="246"/>
      <c r="Z7" s="246"/>
    </row>
    <row r="8" spans="2:26" ht="34.5" customHeight="1" x14ac:dyDescent="0.25">
      <c r="B8" s="251" t="s">
        <v>535</v>
      </c>
      <c r="C8" s="252" t="s">
        <v>536</v>
      </c>
      <c r="D8" s="253" t="s">
        <v>537</v>
      </c>
      <c r="E8" s="254" t="s">
        <v>538</v>
      </c>
      <c r="F8" s="255">
        <v>662</v>
      </c>
      <c r="G8" s="256">
        <v>662</v>
      </c>
      <c r="H8" s="256">
        <v>1300</v>
      </c>
      <c r="I8" s="256">
        <v>1300</v>
      </c>
      <c r="J8" s="256">
        <v>1300</v>
      </c>
      <c r="K8" s="257"/>
      <c r="L8" s="257"/>
      <c r="M8" s="257"/>
      <c r="N8" s="257"/>
      <c r="O8" s="258"/>
      <c r="P8" s="257"/>
      <c r="Q8" s="257"/>
      <c r="R8" s="257"/>
      <c r="S8" s="259"/>
      <c r="T8" s="250"/>
      <c r="U8" s="246"/>
      <c r="V8" s="246"/>
      <c r="W8" s="246"/>
      <c r="X8" s="246"/>
      <c r="Y8" s="246"/>
      <c r="Z8" s="246"/>
    </row>
    <row r="9" spans="2:26" ht="34.5" customHeight="1" x14ac:dyDescent="0.25">
      <c r="B9" s="251" t="s">
        <v>539</v>
      </c>
      <c r="C9" s="252" t="s">
        <v>540</v>
      </c>
      <c r="D9" s="253" t="s">
        <v>541</v>
      </c>
      <c r="E9" s="254" t="s">
        <v>542</v>
      </c>
      <c r="F9" s="255">
        <v>600</v>
      </c>
      <c r="G9" s="256">
        <v>600</v>
      </c>
      <c r="H9" s="256">
        <v>600</v>
      </c>
      <c r="I9" s="256">
        <v>600</v>
      </c>
      <c r="J9" s="256">
        <v>600</v>
      </c>
      <c r="K9" s="257"/>
      <c r="L9" s="257"/>
      <c r="M9" s="257"/>
      <c r="N9" s="257"/>
      <c r="O9" s="258"/>
      <c r="P9" s="257"/>
      <c r="Q9" s="257"/>
      <c r="R9" s="257"/>
      <c r="S9" s="259"/>
      <c r="T9" s="250"/>
      <c r="U9" s="246"/>
      <c r="V9" s="246"/>
      <c r="W9" s="246"/>
      <c r="X9" s="246"/>
      <c r="Y9" s="246"/>
      <c r="Z9" s="246"/>
    </row>
    <row r="10" spans="2:26" ht="34.5" customHeight="1" x14ac:dyDescent="0.25">
      <c r="B10" s="251" t="s">
        <v>543</v>
      </c>
      <c r="C10" s="252" t="s">
        <v>544</v>
      </c>
      <c r="D10" s="253" t="s">
        <v>545</v>
      </c>
      <c r="E10" s="254" t="s">
        <v>546</v>
      </c>
      <c r="F10" s="255">
        <v>444</v>
      </c>
      <c r="G10" s="256">
        <v>444</v>
      </c>
      <c r="H10" s="256">
        <v>444</v>
      </c>
      <c r="I10" s="256">
        <v>444</v>
      </c>
      <c r="J10" s="256">
        <v>444</v>
      </c>
      <c r="K10" s="257"/>
      <c r="L10" s="257"/>
      <c r="M10" s="257"/>
      <c r="N10" s="257"/>
      <c r="O10" s="258"/>
      <c r="P10" s="257"/>
      <c r="Q10" s="257"/>
      <c r="R10" s="257"/>
      <c r="S10" s="259"/>
      <c r="T10" s="250"/>
      <c r="U10" s="246"/>
      <c r="V10" s="246"/>
      <c r="W10" s="246"/>
      <c r="X10" s="246"/>
      <c r="Y10" s="246"/>
      <c r="Z10" s="246"/>
    </row>
    <row r="11" spans="2:26" ht="34.5" customHeight="1" x14ac:dyDescent="0.25">
      <c r="B11" s="252" t="s">
        <v>547</v>
      </c>
      <c r="C11" s="252" t="s">
        <v>548</v>
      </c>
      <c r="D11" s="754" t="s">
        <v>549</v>
      </c>
      <c r="E11" s="254" t="s">
        <v>550</v>
      </c>
      <c r="F11" s="255">
        <v>380</v>
      </c>
      <c r="G11" s="255">
        <v>380</v>
      </c>
      <c r="H11" s="255">
        <v>380</v>
      </c>
      <c r="I11" s="255">
        <v>380</v>
      </c>
      <c r="J11" s="255">
        <v>380</v>
      </c>
      <c r="K11" s="260"/>
      <c r="L11" s="260"/>
      <c r="M11" s="260"/>
      <c r="N11" s="260"/>
      <c r="O11" s="261"/>
      <c r="P11" s="257"/>
      <c r="Q11" s="257"/>
      <c r="R11" s="257"/>
      <c r="S11" s="259"/>
      <c r="T11" s="250"/>
      <c r="U11" s="246"/>
      <c r="V11" s="246"/>
      <c r="W11" s="246"/>
      <c r="X11" s="246"/>
      <c r="Y11" s="246"/>
      <c r="Z11" s="246"/>
    </row>
    <row r="12" spans="2:26" ht="34.5" customHeight="1" x14ac:dyDescent="0.25">
      <c r="B12" s="309" t="s">
        <v>551</v>
      </c>
      <c r="C12" s="309" t="s">
        <v>552</v>
      </c>
      <c r="D12" s="755" t="s">
        <v>553</v>
      </c>
      <c r="E12" s="310" t="s">
        <v>554</v>
      </c>
      <c r="F12" s="311">
        <v>261</v>
      </c>
      <c r="G12" s="756">
        <v>261</v>
      </c>
      <c r="H12" s="756">
        <v>261</v>
      </c>
      <c r="I12" s="756">
        <v>261</v>
      </c>
      <c r="J12" s="756">
        <v>261</v>
      </c>
      <c r="K12" s="257"/>
      <c r="L12" s="257"/>
      <c r="M12" s="257"/>
      <c r="N12" s="257"/>
      <c r="O12" s="258"/>
      <c r="P12" s="257"/>
      <c r="Q12" s="257"/>
      <c r="R12" s="257"/>
      <c r="S12" s="259"/>
      <c r="T12" s="250"/>
      <c r="U12" s="246"/>
      <c r="V12" s="246"/>
      <c r="W12" s="246"/>
      <c r="X12" s="246"/>
      <c r="Y12" s="246"/>
      <c r="Z12" s="246"/>
    </row>
    <row r="13" spans="2:26" ht="34.5" customHeight="1" x14ac:dyDescent="0.25">
      <c r="B13" s="251" t="s">
        <v>555</v>
      </c>
      <c r="C13" s="252" t="s">
        <v>556</v>
      </c>
      <c r="D13" s="253" t="s">
        <v>557</v>
      </c>
      <c r="E13" s="254" t="s">
        <v>558</v>
      </c>
      <c r="F13" s="255">
        <v>255</v>
      </c>
      <c r="G13" s="256">
        <v>255</v>
      </c>
      <c r="H13" s="256">
        <v>255</v>
      </c>
      <c r="I13" s="256">
        <v>255</v>
      </c>
      <c r="J13" s="256">
        <v>255</v>
      </c>
      <c r="K13" s="257"/>
      <c r="L13" s="257"/>
      <c r="M13" s="257"/>
      <c r="N13" s="257"/>
      <c r="O13" s="258"/>
      <c r="P13" s="257"/>
      <c r="Q13" s="257"/>
      <c r="R13" s="257"/>
      <c r="S13" s="259"/>
      <c r="T13" s="250"/>
      <c r="U13" s="246"/>
      <c r="V13" s="246"/>
      <c r="W13" s="246"/>
      <c r="X13" s="246"/>
      <c r="Y13" s="246"/>
      <c r="Z13" s="246"/>
    </row>
    <row r="14" spans="2:26" ht="34.5" customHeight="1" x14ac:dyDescent="0.25">
      <c r="B14" s="251" t="s">
        <v>559</v>
      </c>
      <c r="C14" s="252" t="s">
        <v>560</v>
      </c>
      <c r="D14" s="253" t="s">
        <v>561</v>
      </c>
      <c r="E14" s="254"/>
      <c r="F14" s="255">
        <v>100</v>
      </c>
      <c r="G14" s="256">
        <v>100</v>
      </c>
      <c r="H14" s="256">
        <v>100</v>
      </c>
      <c r="I14" s="256">
        <v>100</v>
      </c>
      <c r="J14" s="256">
        <v>100</v>
      </c>
      <c r="K14" s="257"/>
      <c r="L14" s="257"/>
      <c r="M14" s="257"/>
      <c r="N14" s="257"/>
      <c r="O14" s="258"/>
      <c r="P14" s="257"/>
      <c r="Q14" s="257"/>
      <c r="R14" s="257"/>
      <c r="S14" s="259"/>
      <c r="T14" s="250"/>
      <c r="U14" s="246"/>
      <c r="V14" s="246"/>
      <c r="W14" s="246"/>
      <c r="X14" s="246"/>
      <c r="Y14" s="246"/>
      <c r="Z14" s="246"/>
    </row>
    <row r="15" spans="2:26" ht="34.5" customHeight="1" x14ac:dyDescent="0.25">
      <c r="B15" s="262" t="s">
        <v>543</v>
      </c>
      <c r="C15" s="254" t="s">
        <v>562</v>
      </c>
      <c r="D15" s="263" t="s">
        <v>545</v>
      </c>
      <c r="E15" s="254" t="s">
        <v>563</v>
      </c>
      <c r="F15" s="255">
        <v>72</v>
      </c>
      <c r="G15" s="256">
        <v>72</v>
      </c>
      <c r="H15" s="256">
        <v>72</v>
      </c>
      <c r="I15" s="256">
        <v>72</v>
      </c>
      <c r="J15" s="256">
        <v>72</v>
      </c>
      <c r="K15" s="257"/>
      <c r="L15" s="257"/>
      <c r="M15" s="257"/>
      <c r="N15" s="257"/>
      <c r="O15" s="258"/>
      <c r="P15" s="257"/>
      <c r="Q15" s="257"/>
      <c r="R15" s="257"/>
      <c r="S15" s="259"/>
      <c r="T15" s="250"/>
      <c r="U15" s="246"/>
      <c r="V15" s="246"/>
      <c r="W15" s="246"/>
      <c r="X15" s="246"/>
      <c r="Y15" s="246"/>
      <c r="Z15" s="246"/>
    </row>
    <row r="16" spans="2:26" ht="34.5" customHeight="1" x14ac:dyDescent="0.25">
      <c r="B16" s="251" t="s">
        <v>555</v>
      </c>
      <c r="C16" s="252" t="s">
        <v>564</v>
      </c>
      <c r="D16" s="253" t="s">
        <v>557</v>
      </c>
      <c r="E16" s="254"/>
      <c r="F16" s="255">
        <v>70</v>
      </c>
      <c r="G16" s="256">
        <v>70</v>
      </c>
      <c r="H16" s="256">
        <v>70</v>
      </c>
      <c r="I16" s="256">
        <v>70</v>
      </c>
      <c r="J16" s="256">
        <v>70</v>
      </c>
      <c r="K16" s="257"/>
      <c r="L16" s="257"/>
      <c r="M16" s="257"/>
      <c r="N16" s="257"/>
      <c r="O16" s="258"/>
      <c r="P16" s="257"/>
      <c r="Q16" s="257"/>
      <c r="R16" s="257"/>
      <c r="S16" s="259"/>
      <c r="T16" s="250"/>
      <c r="U16" s="246"/>
      <c r="V16" s="246"/>
      <c r="W16" s="246"/>
      <c r="X16" s="246"/>
      <c r="Y16" s="246"/>
      <c r="Z16" s="246"/>
    </row>
    <row r="17" spans="2:27" ht="34.5" customHeight="1" x14ac:dyDescent="0.25">
      <c r="B17" s="251" t="s">
        <v>565</v>
      </c>
      <c r="C17" s="252" t="s">
        <v>566</v>
      </c>
      <c r="D17" s="253" t="s">
        <v>567</v>
      </c>
      <c r="E17" s="254" t="s">
        <v>568</v>
      </c>
      <c r="F17" s="255">
        <v>121</v>
      </c>
      <c r="G17" s="256">
        <v>121</v>
      </c>
      <c r="H17" s="256">
        <v>62</v>
      </c>
      <c r="I17" s="256">
        <v>62</v>
      </c>
      <c r="J17" s="256">
        <v>62</v>
      </c>
      <c r="K17" s="257"/>
      <c r="L17" s="257"/>
      <c r="M17" s="257"/>
      <c r="N17" s="257"/>
      <c r="O17" s="258"/>
      <c r="P17" s="257"/>
      <c r="Q17" s="257"/>
      <c r="R17" s="257"/>
      <c r="S17" s="259"/>
      <c r="T17" s="250"/>
      <c r="U17" s="246"/>
      <c r="V17" s="246"/>
      <c r="W17" s="246"/>
      <c r="X17" s="246"/>
      <c r="Y17" s="246"/>
      <c r="Z17" s="246"/>
    </row>
    <row r="18" spans="2:27" x14ac:dyDescent="0.25">
      <c r="B18" s="746" t="s">
        <v>49</v>
      </c>
      <c r="C18" s="747"/>
      <c r="D18" s="747"/>
      <c r="E18" s="747"/>
      <c r="F18" s="264">
        <f>SUM(F7:F17)</f>
        <v>4910</v>
      </c>
      <c r="G18" s="264">
        <f>SUM(G7:G17)</f>
        <v>4910</v>
      </c>
      <c r="H18" s="264">
        <f>SUM(H7:H17)</f>
        <v>5489</v>
      </c>
      <c r="I18" s="264">
        <f>SUM(I7:I17)</f>
        <v>5489</v>
      </c>
      <c r="J18" s="264">
        <f>SUM(J7:J17)</f>
        <v>5489</v>
      </c>
      <c r="K18" s="265"/>
      <c r="L18" s="265"/>
      <c r="M18" s="265"/>
      <c r="N18" s="265"/>
      <c r="O18" s="265"/>
      <c r="P18" s="265"/>
      <c r="Q18" s="265"/>
      <c r="R18" s="265"/>
      <c r="S18" s="265"/>
      <c r="T18" s="250"/>
      <c r="U18" s="246"/>
      <c r="V18" s="246"/>
      <c r="W18" s="246"/>
      <c r="X18" s="246"/>
      <c r="Y18" s="246"/>
      <c r="Z18" s="246"/>
    </row>
    <row r="19" spans="2:27" ht="78.75" customHeight="1" x14ac:dyDescent="0.25">
      <c r="B19" s="748" t="s">
        <v>795</v>
      </c>
      <c r="C19" s="748"/>
      <c r="D19" s="748"/>
      <c r="E19" s="748"/>
      <c r="F19" s="266"/>
      <c r="G19" s="266"/>
      <c r="H19" s="266"/>
      <c r="I19" s="266"/>
      <c r="J19" s="250"/>
      <c r="K19" s="250"/>
      <c r="L19" s="250"/>
      <c r="M19" s="250"/>
      <c r="N19" s="250"/>
      <c r="O19" s="250"/>
      <c r="P19" s="250"/>
      <c r="Q19" s="250"/>
      <c r="R19" s="250"/>
      <c r="S19" s="259"/>
      <c r="T19" s="250"/>
      <c r="U19" s="266"/>
      <c r="V19" s="266"/>
      <c r="W19" s="266"/>
      <c r="X19" s="266"/>
      <c r="Y19" s="266"/>
      <c r="Z19" s="266"/>
      <c r="AA19" s="267"/>
    </row>
    <row r="20" spans="2:27" s="244" customFormat="1" ht="66" customHeight="1" x14ac:dyDescent="0.25">
      <c r="B20" s="268" t="s">
        <v>523</v>
      </c>
      <c r="C20" s="268" t="s">
        <v>524</v>
      </c>
      <c r="D20" s="268" t="s">
        <v>569</v>
      </c>
      <c r="E20" s="268" t="s">
        <v>570</v>
      </c>
      <c r="F20" s="268" t="s">
        <v>571</v>
      </c>
      <c r="G20" s="268" t="s">
        <v>572</v>
      </c>
      <c r="H20" s="268" t="s">
        <v>573</v>
      </c>
      <c r="I20" s="268" t="s">
        <v>574</v>
      </c>
      <c r="J20" s="268" t="s">
        <v>575</v>
      </c>
      <c r="K20" s="268" t="s">
        <v>576</v>
      </c>
      <c r="L20" s="268" t="s">
        <v>577</v>
      </c>
      <c r="M20" s="269" t="s">
        <v>578</v>
      </c>
      <c r="N20" s="269" t="s">
        <v>579</v>
      </c>
      <c r="O20" s="270"/>
      <c r="T20" s="271"/>
      <c r="U20" s="271"/>
      <c r="V20" s="271"/>
      <c r="W20" s="271"/>
      <c r="X20" s="271"/>
      <c r="Y20" s="271"/>
      <c r="Z20" s="271"/>
      <c r="AA20" s="272"/>
    </row>
    <row r="21" spans="2:27" ht="30.75" customHeight="1" x14ac:dyDescent="0.25">
      <c r="B21" s="274" t="s">
        <v>531</v>
      </c>
      <c r="C21" s="274" t="s">
        <v>532</v>
      </c>
      <c r="D21" s="275">
        <v>4</v>
      </c>
      <c r="E21" s="275">
        <v>488</v>
      </c>
      <c r="F21" s="275">
        <v>17</v>
      </c>
      <c r="G21" s="275">
        <v>3</v>
      </c>
      <c r="H21" s="275">
        <v>21</v>
      </c>
      <c r="I21" s="276">
        <v>60</v>
      </c>
      <c r="J21" s="277">
        <v>215</v>
      </c>
      <c r="K21" s="275">
        <v>1</v>
      </c>
      <c r="L21" s="275">
        <v>6</v>
      </c>
      <c r="M21" s="404">
        <v>22</v>
      </c>
      <c r="N21" s="280"/>
      <c r="O21" s="259"/>
      <c r="T21" s="266"/>
      <c r="U21" s="266"/>
      <c r="V21" s="266"/>
      <c r="W21" s="266"/>
      <c r="X21" s="266"/>
      <c r="Y21" s="266"/>
      <c r="Z21" s="266"/>
      <c r="AA21" s="267"/>
    </row>
    <row r="22" spans="2:27" ht="30.75" customHeight="1" x14ac:dyDescent="0.25">
      <c r="B22" s="274" t="s">
        <v>539</v>
      </c>
      <c r="C22" s="274" t="s">
        <v>540</v>
      </c>
      <c r="D22" s="275">
        <v>3</v>
      </c>
      <c r="E22" s="275">
        <f>364/2</f>
        <v>182</v>
      </c>
      <c r="F22" s="275">
        <v>16</v>
      </c>
      <c r="G22" s="275">
        <v>3</v>
      </c>
      <c r="H22" s="275">
        <v>0</v>
      </c>
      <c r="I22" s="276">
        <v>156</v>
      </c>
      <c r="J22" s="277">
        <v>46</v>
      </c>
      <c r="K22" s="275">
        <v>1</v>
      </c>
      <c r="L22" s="275">
        <v>3</v>
      </c>
      <c r="M22" s="404">
        <v>22</v>
      </c>
      <c r="N22" s="280"/>
      <c r="O22" s="259"/>
      <c r="T22" s="266"/>
      <c r="U22" s="266"/>
      <c r="V22" s="266"/>
      <c r="W22" s="266"/>
      <c r="X22" s="266"/>
      <c r="Y22" s="266"/>
      <c r="Z22" s="266"/>
      <c r="AA22" s="267"/>
    </row>
    <row r="23" spans="2:27" ht="30.75" customHeight="1" x14ac:dyDescent="0.25">
      <c r="B23" s="274" t="s">
        <v>543</v>
      </c>
      <c r="C23" s="274" t="s">
        <v>544</v>
      </c>
      <c r="D23" s="275">
        <v>3</v>
      </c>
      <c r="E23" s="275">
        <v>148</v>
      </c>
      <c r="F23" s="275">
        <v>6</v>
      </c>
      <c r="G23" s="275">
        <v>6</v>
      </c>
      <c r="H23" s="276">
        <v>3</v>
      </c>
      <c r="I23" s="276">
        <v>60</v>
      </c>
      <c r="J23" s="277">
        <v>287</v>
      </c>
      <c r="K23" s="275">
        <v>1</v>
      </c>
      <c r="L23" s="275"/>
      <c r="M23" s="404">
        <v>22</v>
      </c>
      <c r="N23" s="280"/>
      <c r="O23" s="259"/>
      <c r="T23" s="266"/>
      <c r="U23" s="266"/>
      <c r="V23" s="266"/>
      <c r="W23" s="266"/>
      <c r="X23" s="266"/>
      <c r="Y23" s="266"/>
      <c r="Z23" s="266"/>
      <c r="AA23" s="267"/>
    </row>
    <row r="24" spans="2:27" ht="30.75" customHeight="1" x14ac:dyDescent="0.25">
      <c r="B24" s="274" t="s">
        <v>535</v>
      </c>
      <c r="C24" s="274" t="s">
        <v>536</v>
      </c>
      <c r="D24" s="275">
        <v>2</v>
      </c>
      <c r="E24" s="275">
        <v>141</v>
      </c>
      <c r="F24" s="275">
        <v>5</v>
      </c>
      <c r="G24" s="275">
        <v>4</v>
      </c>
      <c r="H24" s="275">
        <v>11</v>
      </c>
      <c r="I24" s="276">
        <v>79</v>
      </c>
      <c r="J24" s="277">
        <v>320</v>
      </c>
      <c r="K24" s="275">
        <v>1</v>
      </c>
      <c r="L24" s="275">
        <v>0</v>
      </c>
      <c r="M24" s="404">
        <v>7</v>
      </c>
      <c r="N24" s="280">
        <v>2</v>
      </c>
      <c r="O24" s="259"/>
      <c r="T24" s="266"/>
      <c r="U24" s="266"/>
      <c r="V24" s="266"/>
      <c r="W24" s="266"/>
      <c r="X24" s="266"/>
      <c r="Y24" s="266"/>
      <c r="Z24" s="266"/>
      <c r="AA24" s="267"/>
    </row>
    <row r="25" spans="2:27" ht="30.75" customHeight="1" x14ac:dyDescent="0.25">
      <c r="B25" s="274" t="s">
        <v>547</v>
      </c>
      <c r="C25" s="274" t="s">
        <v>548</v>
      </c>
      <c r="D25" s="757">
        <v>2</v>
      </c>
      <c r="E25" s="757">
        <v>114</v>
      </c>
      <c r="F25" s="757">
        <v>4</v>
      </c>
      <c r="G25" s="757">
        <v>4</v>
      </c>
      <c r="H25" s="757">
        <v>0</v>
      </c>
      <c r="I25" s="757">
        <v>49</v>
      </c>
      <c r="J25" s="758">
        <v>391</v>
      </c>
      <c r="K25" s="275">
        <v>1</v>
      </c>
      <c r="L25" s="275">
        <v>2</v>
      </c>
      <c r="M25" s="404">
        <v>9</v>
      </c>
      <c r="N25" s="280"/>
      <c r="O25" s="259"/>
      <c r="T25" s="266"/>
      <c r="U25" s="266"/>
      <c r="V25" s="266"/>
      <c r="W25" s="266"/>
      <c r="X25" s="266"/>
      <c r="Y25" s="266"/>
      <c r="Z25" s="266"/>
      <c r="AA25" s="267"/>
    </row>
    <row r="26" spans="2:27" ht="30.75" customHeight="1" x14ac:dyDescent="0.25">
      <c r="B26" s="759" t="s">
        <v>551</v>
      </c>
      <c r="C26" s="759" t="s">
        <v>552</v>
      </c>
      <c r="D26" s="760">
        <v>2</v>
      </c>
      <c r="E26" s="760">
        <v>95</v>
      </c>
      <c r="F26" s="760">
        <v>4</v>
      </c>
      <c r="G26" s="760">
        <v>1</v>
      </c>
      <c r="H26" s="760">
        <v>0</v>
      </c>
      <c r="I26" s="760">
        <v>45</v>
      </c>
      <c r="J26" s="761">
        <v>52</v>
      </c>
      <c r="K26" s="760">
        <v>1</v>
      </c>
      <c r="L26" s="760">
        <v>3</v>
      </c>
      <c r="M26" s="762">
        <v>17</v>
      </c>
      <c r="N26" s="763"/>
      <c r="O26" s="763"/>
      <c r="T26" s="246"/>
      <c r="U26" s="246"/>
      <c r="V26" s="246"/>
      <c r="W26" s="246"/>
      <c r="X26" s="246"/>
      <c r="Y26" s="246"/>
      <c r="Z26" s="246"/>
    </row>
    <row r="27" spans="2:27" ht="30.75" customHeight="1" x14ac:dyDescent="0.25">
      <c r="B27" s="273" t="s">
        <v>555</v>
      </c>
      <c r="C27" s="274" t="s">
        <v>556</v>
      </c>
      <c r="D27" s="275">
        <v>1</v>
      </c>
      <c r="E27" s="275">
        <v>48</v>
      </c>
      <c r="F27" s="275">
        <v>3</v>
      </c>
      <c r="G27" s="275">
        <v>1</v>
      </c>
      <c r="H27" s="276">
        <v>0</v>
      </c>
      <c r="I27" s="276">
        <v>50</v>
      </c>
      <c r="J27" s="277">
        <v>47</v>
      </c>
      <c r="K27" s="275">
        <v>1</v>
      </c>
      <c r="L27" s="278">
        <v>0</v>
      </c>
      <c r="M27" s="279">
        <v>0</v>
      </c>
      <c r="N27" s="280"/>
      <c r="O27" s="259"/>
      <c r="T27" s="266"/>
      <c r="U27" s="266"/>
      <c r="V27" s="266"/>
      <c r="W27" s="266"/>
      <c r="X27" s="266"/>
      <c r="Y27" s="266"/>
      <c r="Z27" s="266"/>
      <c r="AA27" s="267"/>
    </row>
    <row r="28" spans="2:27" ht="30.75" customHeight="1" x14ac:dyDescent="0.25">
      <c r="B28" s="273" t="s">
        <v>559</v>
      </c>
      <c r="C28" s="274" t="s">
        <v>560</v>
      </c>
      <c r="D28" s="275">
        <v>1</v>
      </c>
      <c r="E28" s="275">
        <v>32</v>
      </c>
      <c r="F28" s="275">
        <v>2</v>
      </c>
      <c r="G28" s="276">
        <v>2</v>
      </c>
      <c r="H28" s="276">
        <v>0</v>
      </c>
      <c r="I28" s="276">
        <v>0</v>
      </c>
      <c r="J28" s="277">
        <v>47</v>
      </c>
      <c r="K28" s="275">
        <v>1</v>
      </c>
      <c r="L28" s="278">
        <v>0</v>
      </c>
      <c r="M28" s="279">
        <v>0</v>
      </c>
      <c r="N28" s="280"/>
      <c r="O28" s="259"/>
      <c r="T28" s="266"/>
      <c r="U28" s="266"/>
      <c r="V28" s="266"/>
      <c r="W28" s="266"/>
      <c r="X28" s="266"/>
      <c r="Y28" s="266"/>
      <c r="Z28" s="266"/>
      <c r="AA28" s="267"/>
    </row>
    <row r="29" spans="2:27" ht="30.75" customHeight="1" x14ac:dyDescent="0.25">
      <c r="B29" s="281" t="s">
        <v>543</v>
      </c>
      <c r="C29" s="282" t="s">
        <v>562</v>
      </c>
      <c r="D29" s="275">
        <v>1</v>
      </c>
      <c r="E29" s="275">
        <v>12</v>
      </c>
      <c r="F29" s="275">
        <v>1</v>
      </c>
      <c r="G29" s="276">
        <v>3</v>
      </c>
      <c r="H29" s="276">
        <v>0</v>
      </c>
      <c r="I29" s="276">
        <v>0</v>
      </c>
      <c r="J29" s="277"/>
      <c r="K29" s="275">
        <v>0</v>
      </c>
      <c r="L29" s="278">
        <v>0</v>
      </c>
      <c r="M29" s="279">
        <v>0</v>
      </c>
      <c r="N29" s="280"/>
      <c r="O29" s="259"/>
      <c r="T29" s="266"/>
      <c r="U29" s="266"/>
      <c r="V29" s="266"/>
      <c r="W29" s="266"/>
      <c r="X29" s="266"/>
      <c r="Y29" s="266"/>
      <c r="Z29" s="266"/>
      <c r="AA29" s="267"/>
    </row>
    <row r="30" spans="2:27" ht="30.75" customHeight="1" x14ac:dyDescent="0.25">
      <c r="B30" s="273" t="s">
        <v>565</v>
      </c>
      <c r="C30" s="274" t="s">
        <v>566</v>
      </c>
      <c r="D30" s="275">
        <v>1</v>
      </c>
      <c r="E30" s="275">
        <v>6</v>
      </c>
      <c r="F30" s="275">
        <v>1</v>
      </c>
      <c r="G30" s="276">
        <v>2</v>
      </c>
      <c r="H30" s="276">
        <v>5</v>
      </c>
      <c r="I30" s="276">
        <v>0</v>
      </c>
      <c r="J30" s="277">
        <v>50</v>
      </c>
      <c r="K30" s="275">
        <v>1</v>
      </c>
      <c r="L30" s="278"/>
      <c r="M30" s="279"/>
      <c r="N30" s="280"/>
      <c r="O30" s="259"/>
      <c r="T30" s="266"/>
      <c r="U30" s="266"/>
      <c r="V30" s="266"/>
      <c r="W30" s="266"/>
      <c r="X30" s="266"/>
      <c r="Y30" s="266"/>
      <c r="Z30" s="266"/>
      <c r="AA30" s="267"/>
    </row>
    <row r="31" spans="2:27" ht="30.75" customHeight="1" x14ac:dyDescent="0.25">
      <c r="B31" s="283" t="s">
        <v>555</v>
      </c>
      <c r="C31" s="284" t="s">
        <v>564</v>
      </c>
      <c r="D31" s="285">
        <v>1</v>
      </c>
      <c r="E31" s="285">
        <v>1</v>
      </c>
      <c r="F31" s="286">
        <v>3</v>
      </c>
      <c r="G31" s="286">
        <v>0</v>
      </c>
      <c r="H31" s="286">
        <v>6</v>
      </c>
      <c r="I31" s="286">
        <v>0</v>
      </c>
      <c r="J31" s="287">
        <v>0</v>
      </c>
      <c r="K31" s="287">
        <v>0</v>
      </c>
      <c r="L31" s="285">
        <v>1</v>
      </c>
      <c r="M31" s="288">
        <v>0</v>
      </c>
      <c r="N31" s="289"/>
      <c r="O31" s="259"/>
      <c r="T31" s="266"/>
      <c r="U31" s="266"/>
      <c r="V31" s="266"/>
      <c r="W31" s="266"/>
      <c r="X31" s="266"/>
      <c r="Y31" s="266"/>
      <c r="Z31" s="266"/>
      <c r="AA31" s="267"/>
    </row>
    <row r="32" spans="2:27" ht="22.5" customHeight="1" x14ac:dyDescent="0.25">
      <c r="B32" s="749" t="s">
        <v>49</v>
      </c>
      <c r="C32" s="749"/>
      <c r="D32" s="264">
        <f>+SUM(D21:D31)</f>
        <v>21</v>
      </c>
      <c r="E32" s="264">
        <f t="shared" ref="E32:L32" si="0">+SUM(E21:E31)</f>
        <v>1267</v>
      </c>
      <c r="F32" s="264">
        <f t="shared" si="0"/>
        <v>62</v>
      </c>
      <c r="G32" s="264">
        <f t="shared" si="0"/>
        <v>29</v>
      </c>
      <c r="H32" s="264">
        <f>+SUM(H21:H31)</f>
        <v>46</v>
      </c>
      <c r="I32" s="264">
        <f t="shared" si="0"/>
        <v>499</v>
      </c>
      <c r="J32" s="264">
        <f t="shared" si="0"/>
        <v>1455</v>
      </c>
      <c r="K32" s="264">
        <f t="shared" si="0"/>
        <v>9</v>
      </c>
      <c r="L32" s="264">
        <f t="shared" si="0"/>
        <v>15</v>
      </c>
      <c r="M32" s="264">
        <f>+SUM(M21:M31)</f>
        <v>99</v>
      </c>
      <c r="N32" s="264">
        <f>+SUM(N21:N31)</f>
        <v>2</v>
      </c>
      <c r="O32" s="265"/>
      <c r="T32" s="266"/>
      <c r="U32" s="266"/>
      <c r="V32" s="266"/>
      <c r="W32" s="266"/>
      <c r="X32" s="266"/>
      <c r="Y32" s="266"/>
      <c r="Z32" s="266"/>
      <c r="AA32" s="267"/>
    </row>
    <row r="33" spans="2:15" ht="12.75" customHeight="1" x14ac:dyDescent="0.25">
      <c r="B33" s="245"/>
    </row>
    <row r="34" spans="2:15" ht="25.5" customHeight="1" x14ac:dyDescent="0.25">
      <c r="B34" s="245"/>
    </row>
    <row r="35" spans="2:15" ht="57.75" customHeight="1" x14ac:dyDescent="0.25">
      <c r="B35" s="290" t="s">
        <v>580</v>
      </c>
      <c r="C35" s="290" t="s">
        <v>581</v>
      </c>
      <c r="D35" s="290" t="s">
        <v>582</v>
      </c>
      <c r="E35" s="290" t="s">
        <v>583</v>
      </c>
      <c r="F35" s="290" t="s">
        <v>584</v>
      </c>
      <c r="G35" s="381" t="s">
        <v>585</v>
      </c>
      <c r="H35" s="381" t="s">
        <v>586</v>
      </c>
      <c r="I35" s="290" t="s">
        <v>587</v>
      </c>
      <c r="J35" s="290" t="s">
        <v>588</v>
      </c>
      <c r="K35" s="290" t="s">
        <v>589</v>
      </c>
      <c r="L35" s="290" t="s">
        <v>590</v>
      </c>
      <c r="M35" s="290" t="s">
        <v>591</v>
      </c>
      <c r="N35" s="290" t="s">
        <v>49</v>
      </c>
      <c r="O35" s="290" t="s">
        <v>592</v>
      </c>
    </row>
    <row r="36" spans="2:15" ht="21.75" customHeight="1" x14ac:dyDescent="0.25">
      <c r="B36" s="291" t="s">
        <v>593</v>
      </c>
      <c r="C36" s="292">
        <v>3</v>
      </c>
      <c r="D36" s="292">
        <v>1</v>
      </c>
      <c r="E36" s="292">
        <v>1</v>
      </c>
      <c r="F36" s="295">
        <v>1</v>
      </c>
      <c r="G36" s="382">
        <v>2</v>
      </c>
      <c r="H36" s="382">
        <v>2</v>
      </c>
      <c r="I36" s="292">
        <v>2</v>
      </c>
      <c r="J36" s="292">
        <v>1</v>
      </c>
      <c r="K36" s="293">
        <v>1</v>
      </c>
      <c r="L36" s="292">
        <v>1</v>
      </c>
      <c r="M36" s="294">
        <v>1</v>
      </c>
      <c r="N36" s="295">
        <f>SUM(C36:M36)</f>
        <v>16</v>
      </c>
      <c r="O36" s="296">
        <v>3</v>
      </c>
    </row>
    <row r="37" spans="2:15" ht="21.75" customHeight="1" x14ac:dyDescent="0.25">
      <c r="B37" s="291" t="s">
        <v>594</v>
      </c>
      <c r="C37" s="292">
        <v>0</v>
      </c>
      <c r="D37" s="292">
        <v>0</v>
      </c>
      <c r="E37" s="292">
        <v>2</v>
      </c>
      <c r="F37" s="295">
        <v>0</v>
      </c>
      <c r="G37" s="382">
        <v>0</v>
      </c>
      <c r="H37" s="382">
        <v>4</v>
      </c>
      <c r="I37" s="292">
        <v>0</v>
      </c>
      <c r="J37" s="292">
        <v>0</v>
      </c>
      <c r="K37" s="293">
        <v>0</v>
      </c>
      <c r="L37" s="292">
        <v>0</v>
      </c>
      <c r="M37" s="294">
        <v>0</v>
      </c>
      <c r="N37" s="295">
        <f t="shared" ref="N37:N52" si="1">SUM(C37:M37)</f>
        <v>6</v>
      </c>
      <c r="O37" s="296">
        <v>0</v>
      </c>
    </row>
    <row r="38" spans="2:15" ht="21.75" customHeight="1" x14ac:dyDescent="0.25">
      <c r="B38" s="291" t="s">
        <v>595</v>
      </c>
      <c r="C38" s="292">
        <v>0</v>
      </c>
      <c r="D38" s="292">
        <v>0</v>
      </c>
      <c r="E38" s="292">
        <v>0</v>
      </c>
      <c r="F38" s="295">
        <v>0</v>
      </c>
      <c r="G38" s="382">
        <v>0</v>
      </c>
      <c r="H38" s="382">
        <v>1</v>
      </c>
      <c r="I38" s="292">
        <v>0</v>
      </c>
      <c r="J38" s="292">
        <v>0</v>
      </c>
      <c r="K38" s="293">
        <v>0</v>
      </c>
      <c r="L38" s="292">
        <v>0</v>
      </c>
      <c r="M38" s="294">
        <v>0</v>
      </c>
      <c r="N38" s="295">
        <f t="shared" si="1"/>
        <v>1</v>
      </c>
      <c r="O38" s="296">
        <v>0</v>
      </c>
    </row>
    <row r="39" spans="2:15" ht="21.75" customHeight="1" x14ac:dyDescent="0.25">
      <c r="B39" s="291" t="s">
        <v>596</v>
      </c>
      <c r="C39" s="292">
        <v>1</v>
      </c>
      <c r="D39" s="292">
        <v>0</v>
      </c>
      <c r="E39" s="292">
        <v>3</v>
      </c>
      <c r="F39" s="295">
        <v>1</v>
      </c>
      <c r="G39" s="382">
        <v>2</v>
      </c>
      <c r="H39" s="382">
        <v>1</v>
      </c>
      <c r="I39" s="292">
        <v>1</v>
      </c>
      <c r="J39" s="292">
        <v>0</v>
      </c>
      <c r="K39" s="293">
        <v>0</v>
      </c>
      <c r="L39" s="293">
        <v>0</v>
      </c>
      <c r="M39" s="294">
        <v>0</v>
      </c>
      <c r="N39" s="295">
        <f t="shared" si="1"/>
        <v>9</v>
      </c>
      <c r="O39" s="296">
        <v>3</v>
      </c>
    </row>
    <row r="40" spans="2:15" ht="21.75" customHeight="1" x14ac:dyDescent="0.25">
      <c r="B40" s="291" t="s">
        <v>597</v>
      </c>
      <c r="C40" s="292">
        <v>0</v>
      </c>
      <c r="D40" s="292">
        <v>0</v>
      </c>
      <c r="E40" s="292">
        <v>3</v>
      </c>
      <c r="F40" s="295">
        <v>0</v>
      </c>
      <c r="G40" s="382">
        <v>0</v>
      </c>
      <c r="H40" s="382">
        <v>1</v>
      </c>
      <c r="I40" s="292">
        <v>1</v>
      </c>
      <c r="J40" s="292">
        <v>0</v>
      </c>
      <c r="K40" s="293">
        <v>0</v>
      </c>
      <c r="L40" s="293">
        <v>0</v>
      </c>
      <c r="M40" s="294">
        <v>0</v>
      </c>
      <c r="N40" s="295">
        <f t="shared" si="1"/>
        <v>5</v>
      </c>
      <c r="O40" s="296">
        <v>1</v>
      </c>
    </row>
    <row r="41" spans="2:15" ht="21.75" customHeight="1" x14ac:dyDescent="0.25">
      <c r="B41" s="291" t="s">
        <v>598</v>
      </c>
      <c r="C41" s="292">
        <v>0</v>
      </c>
      <c r="D41" s="292">
        <v>0</v>
      </c>
      <c r="E41" s="292">
        <v>0</v>
      </c>
      <c r="F41" s="295">
        <v>0</v>
      </c>
      <c r="G41" s="382">
        <v>0</v>
      </c>
      <c r="H41" s="382">
        <v>0</v>
      </c>
      <c r="I41" s="292">
        <v>1</v>
      </c>
      <c r="J41" s="292">
        <v>0</v>
      </c>
      <c r="K41" s="293">
        <v>0</v>
      </c>
      <c r="L41" s="293">
        <v>0</v>
      </c>
      <c r="M41" s="294">
        <v>0</v>
      </c>
      <c r="N41" s="295">
        <f t="shared" si="1"/>
        <v>1</v>
      </c>
      <c r="O41" s="296">
        <v>0</v>
      </c>
    </row>
    <row r="42" spans="2:15" ht="21.75" customHeight="1" x14ac:dyDescent="0.25">
      <c r="B42" s="291" t="s">
        <v>599</v>
      </c>
      <c r="C42" s="292">
        <v>0</v>
      </c>
      <c r="D42" s="292">
        <v>0</v>
      </c>
      <c r="E42" s="292">
        <v>0</v>
      </c>
      <c r="F42" s="295">
        <v>0</v>
      </c>
      <c r="G42" s="382">
        <v>0</v>
      </c>
      <c r="H42" s="382">
        <v>1</v>
      </c>
      <c r="I42" s="292">
        <v>1</v>
      </c>
      <c r="J42" s="292">
        <v>0</v>
      </c>
      <c r="K42" s="293">
        <v>0</v>
      </c>
      <c r="L42" s="293">
        <v>0</v>
      </c>
      <c r="M42" s="294">
        <v>0</v>
      </c>
      <c r="N42" s="295">
        <f t="shared" si="1"/>
        <v>2</v>
      </c>
      <c r="O42" s="296">
        <v>0</v>
      </c>
    </row>
    <row r="43" spans="2:15" ht="21.75" customHeight="1" x14ac:dyDescent="0.25">
      <c r="B43" s="291" t="s">
        <v>600</v>
      </c>
      <c r="C43" s="292">
        <v>1</v>
      </c>
      <c r="D43" s="292">
        <v>0</v>
      </c>
      <c r="E43" s="292">
        <v>0</v>
      </c>
      <c r="F43" s="295">
        <v>0</v>
      </c>
      <c r="G43" s="382">
        <v>0</v>
      </c>
      <c r="H43" s="382">
        <v>1</v>
      </c>
      <c r="I43" s="292">
        <v>2</v>
      </c>
      <c r="J43" s="292">
        <v>0</v>
      </c>
      <c r="K43" s="293">
        <v>0</v>
      </c>
      <c r="L43" s="293">
        <v>0</v>
      </c>
      <c r="M43" s="294">
        <v>0</v>
      </c>
      <c r="N43" s="295">
        <f t="shared" si="1"/>
        <v>4</v>
      </c>
      <c r="O43" s="296">
        <v>0</v>
      </c>
    </row>
    <row r="44" spans="2:15" ht="21.75" customHeight="1" x14ac:dyDescent="0.25">
      <c r="B44" s="291" t="s">
        <v>601</v>
      </c>
      <c r="C44" s="292">
        <v>0</v>
      </c>
      <c r="D44" s="292">
        <v>0</v>
      </c>
      <c r="E44" s="292">
        <v>0</v>
      </c>
      <c r="F44" s="295">
        <v>0</v>
      </c>
      <c r="G44" s="382">
        <v>0</v>
      </c>
      <c r="H44" s="382">
        <v>1</v>
      </c>
      <c r="I44" s="292">
        <v>1</v>
      </c>
      <c r="J44" s="292">
        <v>0</v>
      </c>
      <c r="K44" s="293">
        <v>0</v>
      </c>
      <c r="L44" s="293">
        <v>0</v>
      </c>
      <c r="M44" s="294">
        <v>0</v>
      </c>
      <c r="N44" s="295">
        <f t="shared" si="1"/>
        <v>2</v>
      </c>
      <c r="O44" s="296">
        <v>0</v>
      </c>
    </row>
    <row r="45" spans="2:15" ht="21.75" customHeight="1" x14ac:dyDescent="0.25">
      <c r="B45" s="291" t="s">
        <v>602</v>
      </c>
      <c r="C45" s="292">
        <v>9</v>
      </c>
      <c r="D45" s="292">
        <v>0</v>
      </c>
      <c r="E45" s="292">
        <v>0</v>
      </c>
      <c r="F45" s="295">
        <v>0</v>
      </c>
      <c r="G45" s="382">
        <v>0</v>
      </c>
      <c r="H45" s="382">
        <v>9</v>
      </c>
      <c r="I45" s="292">
        <v>3</v>
      </c>
      <c r="J45" s="292">
        <v>0</v>
      </c>
      <c r="K45" s="293">
        <v>0</v>
      </c>
      <c r="L45" s="293">
        <v>0</v>
      </c>
      <c r="M45" s="294">
        <v>0</v>
      </c>
      <c r="N45" s="295">
        <f t="shared" si="1"/>
        <v>21</v>
      </c>
      <c r="O45" s="296">
        <v>0</v>
      </c>
    </row>
    <row r="46" spans="2:15" ht="21.75" customHeight="1" x14ac:dyDescent="0.25">
      <c r="B46" s="291" t="s">
        <v>603</v>
      </c>
      <c r="C46" s="297">
        <v>1</v>
      </c>
      <c r="D46" s="297">
        <v>0</v>
      </c>
      <c r="E46" s="297">
        <v>0</v>
      </c>
      <c r="F46" s="295">
        <v>0</v>
      </c>
      <c r="G46" s="382">
        <v>0</v>
      </c>
      <c r="H46" s="382">
        <v>1</v>
      </c>
      <c r="I46" s="297">
        <v>0</v>
      </c>
      <c r="J46" s="297">
        <v>0</v>
      </c>
      <c r="K46" s="293">
        <v>0</v>
      </c>
      <c r="L46" s="293">
        <v>0</v>
      </c>
      <c r="M46" s="294">
        <v>0</v>
      </c>
      <c r="N46" s="295">
        <f t="shared" si="1"/>
        <v>2</v>
      </c>
      <c r="O46" s="296">
        <v>0</v>
      </c>
    </row>
    <row r="47" spans="2:15" ht="21.75" customHeight="1" x14ac:dyDescent="0.25">
      <c r="B47" s="291" t="s">
        <v>604</v>
      </c>
      <c r="C47" s="292">
        <v>0</v>
      </c>
      <c r="D47" s="292">
        <v>0</v>
      </c>
      <c r="E47" s="292">
        <v>10</v>
      </c>
      <c r="F47" s="295">
        <v>0</v>
      </c>
      <c r="G47" s="382">
        <v>0</v>
      </c>
      <c r="H47" s="382">
        <v>0</v>
      </c>
      <c r="I47" s="292">
        <v>3</v>
      </c>
      <c r="J47" s="292">
        <v>0</v>
      </c>
      <c r="K47" s="293">
        <v>0</v>
      </c>
      <c r="L47" s="293">
        <v>0</v>
      </c>
      <c r="M47" s="294">
        <v>0</v>
      </c>
      <c r="N47" s="295">
        <f t="shared" si="1"/>
        <v>13</v>
      </c>
      <c r="O47" s="296">
        <v>1</v>
      </c>
    </row>
    <row r="48" spans="2:15" ht="21.75" customHeight="1" x14ac:dyDescent="0.25">
      <c r="B48" s="291" t="s">
        <v>605</v>
      </c>
      <c r="C48" s="292">
        <v>0</v>
      </c>
      <c r="D48" s="292">
        <v>0</v>
      </c>
      <c r="E48" s="292">
        <v>0</v>
      </c>
      <c r="F48" s="295">
        <v>0</v>
      </c>
      <c r="G48" s="382">
        <v>0</v>
      </c>
      <c r="H48" s="382">
        <v>0</v>
      </c>
      <c r="I48" s="292">
        <v>1</v>
      </c>
      <c r="J48" s="292">
        <v>0</v>
      </c>
      <c r="K48" s="293">
        <v>0</v>
      </c>
      <c r="L48" s="293">
        <v>0</v>
      </c>
      <c r="M48" s="294">
        <v>0</v>
      </c>
      <c r="N48" s="295">
        <f t="shared" si="1"/>
        <v>1</v>
      </c>
      <c r="O48" s="296">
        <v>0</v>
      </c>
    </row>
    <row r="49" spans="2:15" ht="21.75" customHeight="1" x14ac:dyDescent="0.25">
      <c r="B49" s="291" t="s">
        <v>606</v>
      </c>
      <c r="C49" s="292">
        <v>0</v>
      </c>
      <c r="D49" s="292">
        <v>0</v>
      </c>
      <c r="E49" s="292">
        <v>0</v>
      </c>
      <c r="F49" s="295">
        <v>0</v>
      </c>
      <c r="G49" s="382">
        <v>0</v>
      </c>
      <c r="H49" s="382">
        <v>0</v>
      </c>
      <c r="I49" s="292">
        <v>1</v>
      </c>
      <c r="J49" s="292">
        <v>0</v>
      </c>
      <c r="K49" s="293">
        <v>0</v>
      </c>
      <c r="L49" s="293">
        <v>0</v>
      </c>
      <c r="M49" s="294">
        <v>0</v>
      </c>
      <c r="N49" s="295">
        <f t="shared" si="1"/>
        <v>1</v>
      </c>
      <c r="O49" s="296">
        <v>0</v>
      </c>
    </row>
    <row r="50" spans="2:15" ht="21.75" customHeight="1" x14ac:dyDescent="0.25">
      <c r="B50" s="291" t="s">
        <v>607</v>
      </c>
      <c r="C50" s="292">
        <v>0</v>
      </c>
      <c r="D50" s="292">
        <v>0</v>
      </c>
      <c r="E50" s="292">
        <v>0</v>
      </c>
      <c r="F50" s="295">
        <v>0</v>
      </c>
      <c r="G50" s="382">
        <v>0</v>
      </c>
      <c r="H50" s="382">
        <v>0</v>
      </c>
      <c r="I50" s="292">
        <v>1</v>
      </c>
      <c r="J50" s="292">
        <v>0</v>
      </c>
      <c r="K50" s="293">
        <v>0</v>
      </c>
      <c r="L50" s="293">
        <v>0</v>
      </c>
      <c r="M50" s="294">
        <v>0</v>
      </c>
      <c r="N50" s="295">
        <f t="shared" si="1"/>
        <v>1</v>
      </c>
      <c r="O50" s="296">
        <v>1</v>
      </c>
    </row>
    <row r="51" spans="2:15" ht="21.75" customHeight="1" x14ac:dyDescent="0.25">
      <c r="B51" s="291" t="s">
        <v>608</v>
      </c>
      <c r="C51" s="292">
        <v>0</v>
      </c>
      <c r="D51" s="292">
        <v>0</v>
      </c>
      <c r="E51" s="292">
        <v>2</v>
      </c>
      <c r="F51" s="295">
        <v>0</v>
      </c>
      <c r="G51" s="382">
        <v>0</v>
      </c>
      <c r="H51" s="382">
        <v>0</v>
      </c>
      <c r="I51" s="292"/>
      <c r="J51" s="292">
        <v>0</v>
      </c>
      <c r="K51" s="293">
        <v>0</v>
      </c>
      <c r="L51" s="293">
        <v>0</v>
      </c>
      <c r="M51" s="294">
        <v>0</v>
      </c>
      <c r="N51" s="295">
        <f t="shared" si="1"/>
        <v>2</v>
      </c>
      <c r="O51" s="296">
        <v>0</v>
      </c>
    </row>
    <row r="52" spans="2:15" ht="12.75" customHeight="1" x14ac:dyDescent="0.25">
      <c r="B52" s="291" t="s">
        <v>609</v>
      </c>
      <c r="C52" s="292">
        <v>0</v>
      </c>
      <c r="D52" s="292">
        <v>0</v>
      </c>
      <c r="E52" s="292">
        <v>0</v>
      </c>
      <c r="F52" s="295">
        <v>0</v>
      </c>
      <c r="G52" s="382">
        <v>0</v>
      </c>
      <c r="H52" s="382">
        <v>0</v>
      </c>
      <c r="I52" s="292">
        <v>1</v>
      </c>
      <c r="J52" s="292">
        <v>0</v>
      </c>
      <c r="K52" s="293">
        <v>0</v>
      </c>
      <c r="L52" s="293">
        <v>0</v>
      </c>
      <c r="M52" s="294">
        <v>0</v>
      </c>
      <c r="N52" s="295">
        <f t="shared" si="1"/>
        <v>1</v>
      </c>
      <c r="O52" s="296">
        <v>1</v>
      </c>
    </row>
    <row r="53" spans="2:15" ht="27.75" customHeight="1" x14ac:dyDescent="0.25">
      <c r="B53" s="298" t="s">
        <v>49</v>
      </c>
      <c r="C53" s="299">
        <f>+SUM(C36:C52)</f>
        <v>15</v>
      </c>
      <c r="D53" s="299">
        <f t="shared" ref="D53:O53" si="2">+SUM(D36:D52)</f>
        <v>1</v>
      </c>
      <c r="E53" s="299">
        <f t="shared" si="2"/>
        <v>21</v>
      </c>
      <c r="F53" s="299">
        <f t="shared" si="2"/>
        <v>2</v>
      </c>
      <c r="G53" s="405">
        <f t="shared" si="2"/>
        <v>4</v>
      </c>
      <c r="H53" s="405">
        <f t="shared" si="2"/>
        <v>22</v>
      </c>
      <c r="I53" s="299">
        <f t="shared" si="2"/>
        <v>19</v>
      </c>
      <c r="J53" s="299">
        <f t="shared" si="2"/>
        <v>1</v>
      </c>
      <c r="K53" s="299">
        <f t="shared" si="2"/>
        <v>1</v>
      </c>
      <c r="L53" s="299">
        <f t="shared" si="2"/>
        <v>1</v>
      </c>
      <c r="M53" s="299">
        <f t="shared" si="2"/>
        <v>1</v>
      </c>
      <c r="N53" s="299">
        <f t="shared" si="2"/>
        <v>88</v>
      </c>
      <c r="O53" s="299">
        <f t="shared" si="2"/>
        <v>10</v>
      </c>
    </row>
    <row r="54" spans="2:15" ht="12.75" customHeight="1" x14ac:dyDescent="0.25">
      <c r="B54" s="245"/>
    </row>
    <row r="55" spans="2:15" ht="12.75" customHeight="1" x14ac:dyDescent="0.25">
      <c r="B55" s="245"/>
    </row>
    <row r="56" spans="2:15" ht="12.75" customHeight="1" x14ac:dyDescent="0.25">
      <c r="B56" s="245"/>
    </row>
    <row r="57" spans="2:15" ht="12.75" customHeight="1" x14ac:dyDescent="0.25">
      <c r="B57" s="245"/>
    </row>
    <row r="58" spans="2:15" ht="12.75" customHeight="1" x14ac:dyDescent="0.25">
      <c r="B58" s="245"/>
    </row>
    <row r="59" spans="2:15" ht="12.75" customHeight="1" x14ac:dyDescent="0.25">
      <c r="B59" s="245"/>
    </row>
    <row r="60" spans="2:15" ht="12.75" customHeight="1" x14ac:dyDescent="0.25">
      <c r="B60" s="245"/>
    </row>
    <row r="61" spans="2:15" ht="12.75" customHeight="1" x14ac:dyDescent="0.25">
      <c r="B61" s="245"/>
    </row>
    <row r="62" spans="2:15" ht="12.75" customHeight="1" x14ac:dyDescent="0.25">
      <c r="B62" s="245"/>
    </row>
    <row r="63" spans="2:15" ht="12.75" customHeight="1" x14ac:dyDescent="0.25">
      <c r="B63" s="245"/>
    </row>
    <row r="64" spans="2:15" ht="12.75" customHeight="1" x14ac:dyDescent="0.25">
      <c r="B64" s="245"/>
    </row>
    <row r="65" spans="2:2" ht="12.75" customHeight="1" x14ac:dyDescent="0.25">
      <c r="B65" s="245"/>
    </row>
    <row r="66" spans="2:2" ht="12.75" customHeight="1" x14ac:dyDescent="0.25">
      <c r="B66" s="245"/>
    </row>
    <row r="67" spans="2:2" ht="12.75" customHeight="1" x14ac:dyDescent="0.25">
      <c r="B67" s="245"/>
    </row>
    <row r="68" spans="2:2" ht="12.75" customHeight="1" x14ac:dyDescent="0.25">
      <c r="B68" s="245"/>
    </row>
    <row r="69" spans="2:2" ht="12.75" customHeight="1" x14ac:dyDescent="0.25">
      <c r="B69" s="245"/>
    </row>
    <row r="70" spans="2:2" ht="12.75" customHeight="1" x14ac:dyDescent="0.25">
      <c r="B70" s="245"/>
    </row>
    <row r="71" spans="2:2" ht="12.75" customHeight="1" x14ac:dyDescent="0.25">
      <c r="B71" s="245"/>
    </row>
    <row r="72" spans="2:2" ht="12.75" customHeight="1" x14ac:dyDescent="0.25">
      <c r="B72" s="245"/>
    </row>
    <row r="73" spans="2:2" ht="12.75" customHeight="1" x14ac:dyDescent="0.25">
      <c r="B73" s="245"/>
    </row>
    <row r="74" spans="2:2" ht="12.75" customHeight="1" x14ac:dyDescent="0.25">
      <c r="B74" s="245"/>
    </row>
    <row r="75" spans="2:2" ht="12.75" customHeight="1" x14ac:dyDescent="0.25">
      <c r="B75" s="245"/>
    </row>
    <row r="76" spans="2:2" ht="12.75" customHeight="1" x14ac:dyDescent="0.25">
      <c r="B76" s="245"/>
    </row>
    <row r="77" spans="2:2" ht="12.75" customHeight="1" x14ac:dyDescent="0.25">
      <c r="B77" s="245"/>
    </row>
    <row r="78" spans="2:2" ht="12.75" customHeight="1" x14ac:dyDescent="0.25">
      <c r="B78" s="245"/>
    </row>
    <row r="79" spans="2:2" ht="12.75" customHeight="1" x14ac:dyDescent="0.25">
      <c r="B79" s="245"/>
    </row>
    <row r="80" spans="2:2" ht="12.75" customHeight="1" x14ac:dyDescent="0.25">
      <c r="B80" s="245"/>
    </row>
    <row r="81" spans="2:2" ht="12.75" customHeight="1" x14ac:dyDescent="0.25">
      <c r="B81" s="245"/>
    </row>
    <row r="82" spans="2:2" ht="12.75" customHeight="1" x14ac:dyDescent="0.25">
      <c r="B82" s="245"/>
    </row>
    <row r="83" spans="2:2" ht="12.75" customHeight="1" x14ac:dyDescent="0.25">
      <c r="B83" s="245"/>
    </row>
    <row r="84" spans="2:2" ht="12.75" customHeight="1" x14ac:dyDescent="0.25">
      <c r="B84" s="245"/>
    </row>
    <row r="85" spans="2:2" ht="12.75" customHeight="1" x14ac:dyDescent="0.25">
      <c r="B85" s="245"/>
    </row>
    <row r="86" spans="2:2" ht="12.75" customHeight="1" x14ac:dyDescent="0.25">
      <c r="B86" s="245"/>
    </row>
    <row r="87" spans="2:2" ht="12.75" customHeight="1" x14ac:dyDescent="0.25">
      <c r="B87" s="245"/>
    </row>
    <row r="88" spans="2:2" ht="12.75" customHeight="1" x14ac:dyDescent="0.25">
      <c r="B88" s="245"/>
    </row>
    <row r="89" spans="2:2" ht="12.75" customHeight="1" x14ac:dyDescent="0.25">
      <c r="B89" s="245"/>
    </row>
    <row r="90" spans="2:2" ht="12.75" customHeight="1" x14ac:dyDescent="0.25">
      <c r="B90" s="245"/>
    </row>
    <row r="91" spans="2:2" ht="12.75" customHeight="1" x14ac:dyDescent="0.25">
      <c r="B91" s="245"/>
    </row>
    <row r="92" spans="2:2" ht="12.75" customHeight="1" x14ac:dyDescent="0.25">
      <c r="B92" s="245"/>
    </row>
    <row r="93" spans="2:2" ht="12.75" customHeight="1" x14ac:dyDescent="0.25">
      <c r="B93" s="245"/>
    </row>
    <row r="94" spans="2:2" ht="12.75" customHeight="1" x14ac:dyDescent="0.25">
      <c r="B94" s="245"/>
    </row>
    <row r="95" spans="2:2" ht="12.75" customHeight="1" x14ac:dyDescent="0.25">
      <c r="B95" s="245"/>
    </row>
    <row r="96" spans="2:2" ht="12.75" customHeight="1" x14ac:dyDescent="0.25">
      <c r="B96" s="245"/>
    </row>
    <row r="97" spans="2:2" ht="12.75" customHeight="1" x14ac:dyDescent="0.25">
      <c r="B97" s="245"/>
    </row>
    <row r="98" spans="2:2" ht="12.75" customHeight="1" x14ac:dyDescent="0.25">
      <c r="B98" s="245"/>
    </row>
    <row r="99" spans="2:2" ht="12.75" customHeight="1" x14ac:dyDescent="0.25">
      <c r="B99" s="245"/>
    </row>
    <row r="100" spans="2:2" ht="12.75" customHeight="1" x14ac:dyDescent="0.25">
      <c r="B100" s="245"/>
    </row>
    <row r="101" spans="2:2" ht="12.75" customHeight="1" x14ac:dyDescent="0.25">
      <c r="B101" s="245"/>
    </row>
    <row r="102" spans="2:2" ht="12.75" customHeight="1" x14ac:dyDescent="0.25">
      <c r="B102" s="245"/>
    </row>
    <row r="103" spans="2:2" ht="12.75" customHeight="1" x14ac:dyDescent="0.25">
      <c r="B103" s="245"/>
    </row>
    <row r="104" spans="2:2" ht="12.75" customHeight="1" x14ac:dyDescent="0.25">
      <c r="B104" s="245"/>
    </row>
    <row r="105" spans="2:2" ht="12.75" customHeight="1" x14ac:dyDescent="0.25">
      <c r="B105" s="245"/>
    </row>
    <row r="106" spans="2:2" ht="12.75" customHeight="1" x14ac:dyDescent="0.25">
      <c r="B106" s="245"/>
    </row>
    <row r="107" spans="2:2" ht="12.75" customHeight="1" x14ac:dyDescent="0.25">
      <c r="B107" s="245"/>
    </row>
    <row r="108" spans="2:2" ht="12.75" customHeight="1" x14ac:dyDescent="0.25">
      <c r="B108" s="245"/>
    </row>
    <row r="109" spans="2:2" ht="12.75" customHeight="1" x14ac:dyDescent="0.25">
      <c r="B109" s="245"/>
    </row>
    <row r="110" spans="2:2" ht="12.75" customHeight="1" x14ac:dyDescent="0.25">
      <c r="B110" s="245"/>
    </row>
    <row r="111" spans="2:2" ht="12.75" customHeight="1" x14ac:dyDescent="0.25">
      <c r="B111" s="245"/>
    </row>
    <row r="112" spans="2:2" ht="12.75" customHeight="1" x14ac:dyDescent="0.25">
      <c r="B112" s="245"/>
    </row>
    <row r="113" spans="2:2" ht="12.75" customHeight="1" x14ac:dyDescent="0.25">
      <c r="B113" s="245"/>
    </row>
    <row r="114" spans="2:2" ht="12.75" customHeight="1" x14ac:dyDescent="0.25">
      <c r="B114" s="245"/>
    </row>
    <row r="115" spans="2:2" ht="12.75" customHeight="1" x14ac:dyDescent="0.25">
      <c r="B115" s="245"/>
    </row>
    <row r="116" spans="2:2" ht="12.75" customHeight="1" x14ac:dyDescent="0.25">
      <c r="B116" s="245"/>
    </row>
    <row r="117" spans="2:2" ht="12.75" customHeight="1" x14ac:dyDescent="0.25">
      <c r="B117" s="245"/>
    </row>
    <row r="118" spans="2:2" ht="12.75" customHeight="1" x14ac:dyDescent="0.25">
      <c r="B118" s="245"/>
    </row>
    <row r="119" spans="2:2" ht="12.75" customHeight="1" x14ac:dyDescent="0.25">
      <c r="B119" s="245"/>
    </row>
    <row r="120" spans="2:2" ht="12.75" customHeight="1" x14ac:dyDescent="0.25">
      <c r="B120" s="245"/>
    </row>
    <row r="121" spans="2:2" ht="12.75" customHeight="1" x14ac:dyDescent="0.25">
      <c r="B121" s="245"/>
    </row>
    <row r="122" spans="2:2" ht="12.75" customHeight="1" x14ac:dyDescent="0.25">
      <c r="B122" s="245"/>
    </row>
    <row r="123" spans="2:2" ht="12.75" customHeight="1" x14ac:dyDescent="0.25">
      <c r="B123" s="245"/>
    </row>
    <row r="124" spans="2:2" ht="12.75" customHeight="1" x14ac:dyDescent="0.25">
      <c r="B124" s="245"/>
    </row>
    <row r="125" spans="2:2" ht="12.75" customHeight="1" x14ac:dyDescent="0.25">
      <c r="B125" s="245"/>
    </row>
    <row r="126" spans="2:2" ht="12.75" customHeight="1" x14ac:dyDescent="0.25">
      <c r="B126" s="245"/>
    </row>
    <row r="127" spans="2:2" ht="12.75" customHeight="1" x14ac:dyDescent="0.25">
      <c r="B127" s="245"/>
    </row>
    <row r="128" spans="2:2" ht="12.75" customHeight="1" x14ac:dyDescent="0.25">
      <c r="B128" s="245"/>
    </row>
    <row r="129" spans="2:2" ht="12.75" customHeight="1" x14ac:dyDescent="0.25">
      <c r="B129" s="245"/>
    </row>
    <row r="130" spans="2:2" ht="12.75" customHeight="1" x14ac:dyDescent="0.25">
      <c r="B130" s="245"/>
    </row>
    <row r="131" spans="2:2" ht="12.75" customHeight="1" x14ac:dyDescent="0.25">
      <c r="B131" s="245"/>
    </row>
    <row r="132" spans="2:2" ht="12.75" customHeight="1" x14ac:dyDescent="0.25">
      <c r="B132" s="245"/>
    </row>
    <row r="133" spans="2:2" ht="12.75" customHeight="1" x14ac:dyDescent="0.25">
      <c r="B133" s="245"/>
    </row>
    <row r="134" spans="2:2" ht="12.75" customHeight="1" x14ac:dyDescent="0.25">
      <c r="B134" s="245"/>
    </row>
    <row r="135" spans="2:2" ht="12.75" customHeight="1" x14ac:dyDescent="0.25">
      <c r="B135" s="245"/>
    </row>
    <row r="136" spans="2:2" ht="12.75" customHeight="1" x14ac:dyDescent="0.25">
      <c r="B136" s="245"/>
    </row>
    <row r="137" spans="2:2" ht="12.75" customHeight="1" x14ac:dyDescent="0.25">
      <c r="B137" s="245"/>
    </row>
    <row r="138" spans="2:2" ht="12.75" customHeight="1" x14ac:dyDescent="0.25">
      <c r="B138" s="245"/>
    </row>
    <row r="139" spans="2:2" ht="12.75" customHeight="1" x14ac:dyDescent="0.25">
      <c r="B139" s="245"/>
    </row>
    <row r="140" spans="2:2" ht="12.75" customHeight="1" x14ac:dyDescent="0.25">
      <c r="B140" s="245"/>
    </row>
    <row r="141" spans="2:2" ht="12.75" customHeight="1" x14ac:dyDescent="0.25">
      <c r="B141" s="245"/>
    </row>
    <row r="142" spans="2:2" ht="12.75" customHeight="1" x14ac:dyDescent="0.25">
      <c r="B142" s="245"/>
    </row>
    <row r="143" spans="2:2" ht="12.75" customHeight="1" x14ac:dyDescent="0.25">
      <c r="B143" s="245"/>
    </row>
    <row r="144" spans="2:2" ht="12.75" customHeight="1" x14ac:dyDescent="0.25">
      <c r="B144" s="245"/>
    </row>
    <row r="145" spans="2:2" ht="12.75" customHeight="1" x14ac:dyDescent="0.25">
      <c r="B145" s="245"/>
    </row>
    <row r="146" spans="2:2" ht="12.75" customHeight="1" x14ac:dyDescent="0.25">
      <c r="B146" s="245"/>
    </row>
    <row r="147" spans="2:2" ht="12.75" customHeight="1" x14ac:dyDescent="0.25">
      <c r="B147" s="245"/>
    </row>
    <row r="148" spans="2:2" ht="12.75" customHeight="1" x14ac:dyDescent="0.25">
      <c r="B148" s="245"/>
    </row>
    <row r="149" spans="2:2" ht="12.75" customHeight="1" x14ac:dyDescent="0.25">
      <c r="B149" s="245"/>
    </row>
    <row r="150" spans="2:2" ht="12.75" customHeight="1" x14ac:dyDescent="0.25">
      <c r="B150" s="245"/>
    </row>
    <row r="151" spans="2:2" ht="12.75" customHeight="1" x14ac:dyDescent="0.25">
      <c r="B151" s="245"/>
    </row>
    <row r="152" spans="2:2" ht="12.75" customHeight="1" x14ac:dyDescent="0.25">
      <c r="B152" s="245"/>
    </row>
    <row r="153" spans="2:2" ht="12.75" customHeight="1" x14ac:dyDescent="0.25">
      <c r="B153" s="245"/>
    </row>
    <row r="154" spans="2:2" ht="12.75" customHeight="1" x14ac:dyDescent="0.25">
      <c r="B154" s="245"/>
    </row>
    <row r="155" spans="2:2" ht="12.75" customHeight="1" x14ac:dyDescent="0.25">
      <c r="B155" s="245"/>
    </row>
    <row r="156" spans="2:2" ht="12.75" customHeight="1" x14ac:dyDescent="0.25">
      <c r="B156" s="245"/>
    </row>
    <row r="157" spans="2:2" ht="12.75" customHeight="1" x14ac:dyDescent="0.25">
      <c r="B157" s="245"/>
    </row>
    <row r="158" spans="2:2" ht="12.75" customHeight="1" x14ac:dyDescent="0.25">
      <c r="B158" s="245"/>
    </row>
    <row r="159" spans="2:2" ht="12.75" customHeight="1" x14ac:dyDescent="0.25">
      <c r="B159" s="245"/>
    </row>
    <row r="160" spans="2:2" ht="12.75" customHeight="1" x14ac:dyDescent="0.25">
      <c r="B160" s="245"/>
    </row>
    <row r="161" spans="2:2" ht="12.75" customHeight="1" x14ac:dyDescent="0.25">
      <c r="B161" s="245"/>
    </row>
    <row r="162" spans="2:2" ht="12.75" customHeight="1" x14ac:dyDescent="0.25">
      <c r="B162" s="245"/>
    </row>
    <row r="163" spans="2:2" ht="12.75" customHeight="1" x14ac:dyDescent="0.25">
      <c r="B163" s="245"/>
    </row>
    <row r="164" spans="2:2" ht="12.75" customHeight="1" x14ac:dyDescent="0.25">
      <c r="B164" s="245"/>
    </row>
    <row r="165" spans="2:2" ht="12.75" customHeight="1" x14ac:dyDescent="0.25">
      <c r="B165" s="245"/>
    </row>
    <row r="166" spans="2:2" ht="12.75" customHeight="1" x14ac:dyDescent="0.25">
      <c r="B166" s="245"/>
    </row>
    <row r="167" spans="2:2" ht="12.75" customHeight="1" x14ac:dyDescent="0.25">
      <c r="B167" s="245"/>
    </row>
    <row r="168" spans="2:2" ht="12.75" customHeight="1" x14ac:dyDescent="0.25">
      <c r="B168" s="245"/>
    </row>
    <row r="169" spans="2:2" ht="12.75" customHeight="1" x14ac:dyDescent="0.25">
      <c r="B169" s="245"/>
    </row>
    <row r="170" spans="2:2" ht="12.75" customHeight="1" x14ac:dyDescent="0.25">
      <c r="B170" s="245"/>
    </row>
    <row r="171" spans="2:2" ht="12.75" customHeight="1" x14ac:dyDescent="0.25">
      <c r="B171" s="245"/>
    </row>
    <row r="172" spans="2:2" ht="12.75" customHeight="1" x14ac:dyDescent="0.25">
      <c r="B172" s="245"/>
    </row>
    <row r="173" spans="2:2" ht="12.75" customHeight="1" x14ac:dyDescent="0.25">
      <c r="B173" s="245"/>
    </row>
    <row r="174" spans="2:2" ht="12.75" customHeight="1" x14ac:dyDescent="0.25">
      <c r="B174" s="245"/>
    </row>
    <row r="175" spans="2:2" ht="12.75" customHeight="1" x14ac:dyDescent="0.25">
      <c r="B175" s="245"/>
    </row>
    <row r="176" spans="2:2" ht="12.75" customHeight="1" x14ac:dyDescent="0.25">
      <c r="B176" s="245"/>
    </row>
    <row r="177" spans="2:2" ht="12.75" customHeight="1" x14ac:dyDescent="0.25">
      <c r="B177" s="245"/>
    </row>
    <row r="178" spans="2:2" ht="12.75" customHeight="1" x14ac:dyDescent="0.25">
      <c r="B178" s="245"/>
    </row>
    <row r="179" spans="2:2" ht="12.75" customHeight="1" x14ac:dyDescent="0.25">
      <c r="B179" s="245"/>
    </row>
    <row r="180" spans="2:2" ht="12.75" customHeight="1" x14ac:dyDescent="0.25">
      <c r="B180" s="245"/>
    </row>
    <row r="181" spans="2:2" ht="12.75" customHeight="1" x14ac:dyDescent="0.25">
      <c r="B181" s="245"/>
    </row>
    <row r="182" spans="2:2" ht="12.75" customHeight="1" x14ac:dyDescent="0.25">
      <c r="B182" s="245"/>
    </row>
    <row r="183" spans="2:2" ht="12.75" customHeight="1" x14ac:dyDescent="0.25">
      <c r="B183" s="245"/>
    </row>
    <row r="184" spans="2:2" ht="12.75" customHeight="1" x14ac:dyDescent="0.25">
      <c r="B184" s="245"/>
    </row>
    <row r="185" spans="2:2" ht="12.75" customHeight="1" x14ac:dyDescent="0.25">
      <c r="B185" s="245"/>
    </row>
    <row r="186" spans="2:2" ht="12.75" customHeight="1" x14ac:dyDescent="0.25">
      <c r="B186" s="245"/>
    </row>
    <row r="187" spans="2:2" ht="12.75" customHeight="1" x14ac:dyDescent="0.25">
      <c r="B187" s="245"/>
    </row>
    <row r="188" spans="2:2" ht="12.75" customHeight="1" x14ac:dyDescent="0.25">
      <c r="B188" s="245"/>
    </row>
    <row r="189" spans="2:2" ht="12.75" customHeight="1" x14ac:dyDescent="0.25">
      <c r="B189" s="245"/>
    </row>
    <row r="190" spans="2:2" ht="12.75" customHeight="1" x14ac:dyDescent="0.25">
      <c r="B190" s="245"/>
    </row>
    <row r="191" spans="2:2" ht="12.75" customHeight="1" x14ac:dyDescent="0.25">
      <c r="B191" s="245"/>
    </row>
    <row r="192" spans="2:2" ht="12.75" customHeight="1" x14ac:dyDescent="0.25">
      <c r="B192" s="245"/>
    </row>
    <row r="193" spans="2:2" ht="12.75" customHeight="1" x14ac:dyDescent="0.25">
      <c r="B193" s="245"/>
    </row>
    <row r="194" spans="2:2" ht="12.75" customHeight="1" x14ac:dyDescent="0.25">
      <c r="B194" s="245"/>
    </row>
    <row r="195" spans="2:2" ht="12.75" customHeight="1" x14ac:dyDescent="0.25">
      <c r="B195" s="245"/>
    </row>
    <row r="196" spans="2:2" ht="12.75" customHeight="1" x14ac:dyDescent="0.25">
      <c r="B196" s="245"/>
    </row>
    <row r="197" spans="2:2" ht="12.75" customHeight="1" x14ac:dyDescent="0.25">
      <c r="B197" s="245"/>
    </row>
    <row r="198" spans="2:2" ht="12.75" customHeight="1" x14ac:dyDescent="0.25">
      <c r="B198" s="245"/>
    </row>
    <row r="199" spans="2:2" ht="12.75" customHeight="1" x14ac:dyDescent="0.25">
      <c r="B199" s="245"/>
    </row>
    <row r="200" spans="2:2" ht="12.75" customHeight="1" x14ac:dyDescent="0.25">
      <c r="B200" s="245"/>
    </row>
    <row r="201" spans="2:2" ht="12.75" customHeight="1" x14ac:dyDescent="0.25">
      <c r="B201" s="245"/>
    </row>
    <row r="202" spans="2:2" ht="12.75" customHeight="1" x14ac:dyDescent="0.25">
      <c r="B202" s="245"/>
    </row>
    <row r="203" spans="2:2" ht="12.75" customHeight="1" x14ac:dyDescent="0.25">
      <c r="B203" s="245"/>
    </row>
    <row r="204" spans="2:2" ht="12.75" customHeight="1" x14ac:dyDescent="0.25">
      <c r="B204" s="245"/>
    </row>
    <row r="205" spans="2:2" ht="12.75" customHeight="1" x14ac:dyDescent="0.25">
      <c r="B205" s="245"/>
    </row>
    <row r="206" spans="2:2" ht="12.75" customHeight="1" x14ac:dyDescent="0.25">
      <c r="B206" s="245"/>
    </row>
    <row r="207" spans="2:2" ht="12.75" customHeight="1" x14ac:dyDescent="0.25">
      <c r="B207" s="245"/>
    </row>
    <row r="208" spans="2:2" ht="12.75" customHeight="1" x14ac:dyDescent="0.25">
      <c r="B208" s="245"/>
    </row>
    <row r="209" spans="2:2" ht="12.75" customHeight="1" x14ac:dyDescent="0.25">
      <c r="B209" s="245"/>
    </row>
    <row r="210" spans="2:2" ht="12.75" customHeight="1" x14ac:dyDescent="0.25">
      <c r="B210" s="245"/>
    </row>
    <row r="211" spans="2:2" ht="12.75" customHeight="1" x14ac:dyDescent="0.25">
      <c r="B211" s="245"/>
    </row>
    <row r="212" spans="2:2" ht="12.75" customHeight="1" x14ac:dyDescent="0.25">
      <c r="B212" s="245"/>
    </row>
    <row r="213" spans="2:2" ht="12.75" customHeight="1" x14ac:dyDescent="0.25">
      <c r="B213" s="245"/>
    </row>
    <row r="214" spans="2:2" ht="12.75" customHeight="1" x14ac:dyDescent="0.25">
      <c r="B214" s="245"/>
    </row>
    <row r="215" spans="2:2" ht="12.75" customHeight="1" x14ac:dyDescent="0.25">
      <c r="B215" s="245"/>
    </row>
    <row r="216" spans="2:2" ht="12.75" customHeight="1" x14ac:dyDescent="0.25">
      <c r="B216" s="245"/>
    </row>
    <row r="217" spans="2:2" ht="12.75" customHeight="1" x14ac:dyDescent="0.25">
      <c r="B217" s="245"/>
    </row>
    <row r="218" spans="2:2" ht="12.75" customHeight="1" x14ac:dyDescent="0.25">
      <c r="B218" s="245"/>
    </row>
    <row r="219" spans="2:2" ht="12.75" customHeight="1" x14ac:dyDescent="0.25">
      <c r="B219" s="245"/>
    </row>
    <row r="220" spans="2:2" ht="12.75" customHeight="1" x14ac:dyDescent="0.25">
      <c r="B220" s="245"/>
    </row>
    <row r="221" spans="2:2" ht="12.75" customHeight="1" x14ac:dyDescent="0.25">
      <c r="B221" s="245"/>
    </row>
    <row r="222" spans="2:2" ht="12.75" customHeight="1" x14ac:dyDescent="0.25">
      <c r="B222" s="245"/>
    </row>
    <row r="223" spans="2:2" ht="12.75" customHeight="1" x14ac:dyDescent="0.25">
      <c r="B223" s="245"/>
    </row>
    <row r="224" spans="2:2" ht="12.75" customHeight="1" x14ac:dyDescent="0.25">
      <c r="B224" s="245"/>
    </row>
    <row r="225" spans="2:2" ht="12.75" customHeight="1" x14ac:dyDescent="0.25">
      <c r="B225" s="245"/>
    </row>
    <row r="226" spans="2:2" ht="12.75" customHeight="1" x14ac:dyDescent="0.25">
      <c r="B226" s="245"/>
    </row>
    <row r="227" spans="2:2" ht="12.75" customHeight="1" x14ac:dyDescent="0.25">
      <c r="B227" s="245"/>
    </row>
    <row r="228" spans="2:2" ht="12.75" customHeight="1" x14ac:dyDescent="0.25">
      <c r="B228" s="245"/>
    </row>
    <row r="229" spans="2:2" ht="12.75" customHeight="1" x14ac:dyDescent="0.25">
      <c r="B229" s="245"/>
    </row>
    <row r="230" spans="2:2" ht="12.75" customHeight="1" x14ac:dyDescent="0.25">
      <c r="B230" s="245"/>
    </row>
    <row r="231" spans="2:2" ht="12.75" customHeight="1" x14ac:dyDescent="0.25">
      <c r="B231" s="245"/>
    </row>
    <row r="232" spans="2:2" ht="12.75" customHeight="1" x14ac:dyDescent="0.25">
      <c r="B232" s="245"/>
    </row>
    <row r="233" spans="2:2" ht="12.75" customHeight="1" x14ac:dyDescent="0.25">
      <c r="B233" s="245"/>
    </row>
    <row r="234" spans="2:2" ht="12.75" customHeight="1" x14ac:dyDescent="0.25">
      <c r="B234" s="245"/>
    </row>
    <row r="235" spans="2:2" ht="12.75" customHeight="1" x14ac:dyDescent="0.25">
      <c r="B235" s="245"/>
    </row>
    <row r="236" spans="2:2" ht="12.75" customHeight="1" x14ac:dyDescent="0.25">
      <c r="B236" s="245"/>
    </row>
    <row r="237" spans="2:2" ht="12.75" customHeight="1" x14ac:dyDescent="0.25">
      <c r="B237" s="245"/>
    </row>
    <row r="238" spans="2:2" ht="12.75" customHeight="1" x14ac:dyDescent="0.25">
      <c r="B238" s="245"/>
    </row>
    <row r="239" spans="2:2" ht="12.75" customHeight="1" x14ac:dyDescent="0.25">
      <c r="B239" s="245"/>
    </row>
    <row r="240" spans="2:2" ht="12.75" customHeight="1" x14ac:dyDescent="0.25">
      <c r="B240" s="245"/>
    </row>
    <row r="241" spans="2:2" ht="12.75" customHeight="1" x14ac:dyDescent="0.25">
      <c r="B241" s="245"/>
    </row>
    <row r="242" spans="2:2" ht="12.75" customHeight="1" x14ac:dyDescent="0.25">
      <c r="B242" s="245"/>
    </row>
    <row r="243" spans="2:2" ht="12.75" customHeight="1" x14ac:dyDescent="0.25">
      <c r="B243" s="245"/>
    </row>
    <row r="244" spans="2:2" ht="12.75" customHeight="1" x14ac:dyDescent="0.25">
      <c r="B244" s="245"/>
    </row>
    <row r="245" spans="2:2" ht="12.75" customHeight="1" x14ac:dyDescent="0.25">
      <c r="B245" s="245"/>
    </row>
    <row r="246" spans="2:2" ht="12.75" customHeight="1" x14ac:dyDescent="0.25">
      <c r="B246" s="245"/>
    </row>
    <row r="247" spans="2:2" ht="12.75" customHeight="1" x14ac:dyDescent="0.25">
      <c r="B247" s="245"/>
    </row>
    <row r="248" spans="2:2" ht="12.75" customHeight="1" x14ac:dyDescent="0.25">
      <c r="B248" s="245"/>
    </row>
    <row r="249" spans="2:2" ht="12.75" customHeight="1" x14ac:dyDescent="0.25">
      <c r="B249" s="245"/>
    </row>
    <row r="250" spans="2:2" ht="12.75" customHeight="1" x14ac:dyDescent="0.25">
      <c r="B250" s="245"/>
    </row>
    <row r="251" spans="2:2" ht="12.75" customHeight="1" x14ac:dyDescent="0.25">
      <c r="B251" s="245"/>
    </row>
    <row r="252" spans="2:2" ht="12.75" customHeight="1" x14ac:dyDescent="0.25">
      <c r="B252" s="245"/>
    </row>
    <row r="253" spans="2:2" ht="12.75" customHeight="1" x14ac:dyDescent="0.25">
      <c r="B253" s="245"/>
    </row>
    <row r="254" spans="2:2" ht="12.75" customHeight="1" x14ac:dyDescent="0.25">
      <c r="B254" s="245"/>
    </row>
    <row r="255" spans="2:2" ht="12.75" customHeight="1" x14ac:dyDescent="0.25">
      <c r="B255" s="245"/>
    </row>
    <row r="256" spans="2:2" ht="12.75" customHeight="1" x14ac:dyDescent="0.25">
      <c r="B256" s="245"/>
    </row>
    <row r="257" spans="2:2" ht="12.75" customHeight="1" x14ac:dyDescent="0.25">
      <c r="B257" s="245"/>
    </row>
    <row r="258" spans="2:2" ht="12.75" customHeight="1" x14ac:dyDescent="0.25">
      <c r="B258" s="245"/>
    </row>
    <row r="259" spans="2:2" ht="12.75" customHeight="1" x14ac:dyDescent="0.25">
      <c r="B259" s="245"/>
    </row>
    <row r="260" spans="2:2" ht="12.75" customHeight="1" x14ac:dyDescent="0.25">
      <c r="B260" s="245"/>
    </row>
    <row r="261" spans="2:2" ht="12.75" customHeight="1" x14ac:dyDescent="0.25">
      <c r="B261" s="245"/>
    </row>
    <row r="262" spans="2:2" ht="12.75" customHeight="1" x14ac:dyDescent="0.25">
      <c r="B262" s="245"/>
    </row>
    <row r="263" spans="2:2" ht="12.75" customHeight="1" x14ac:dyDescent="0.25">
      <c r="B263" s="245"/>
    </row>
    <row r="264" spans="2:2" ht="12.75" customHeight="1" x14ac:dyDescent="0.25">
      <c r="B264" s="245"/>
    </row>
    <row r="265" spans="2:2" ht="12.75" customHeight="1" x14ac:dyDescent="0.25">
      <c r="B265" s="245"/>
    </row>
    <row r="266" spans="2:2" ht="12.75" customHeight="1" x14ac:dyDescent="0.25">
      <c r="B266" s="245"/>
    </row>
    <row r="267" spans="2:2" ht="12.75" customHeight="1" x14ac:dyDescent="0.25">
      <c r="B267" s="245"/>
    </row>
    <row r="268" spans="2:2" ht="12.75" customHeight="1" x14ac:dyDescent="0.25">
      <c r="B268" s="245"/>
    </row>
    <row r="269" spans="2:2" ht="12.75" customHeight="1" x14ac:dyDescent="0.25">
      <c r="B269" s="245"/>
    </row>
    <row r="270" spans="2:2" ht="12.75" customHeight="1" x14ac:dyDescent="0.25">
      <c r="B270" s="245"/>
    </row>
    <row r="271" spans="2:2" ht="12.75" customHeight="1" x14ac:dyDescent="0.25">
      <c r="B271" s="245"/>
    </row>
    <row r="272" spans="2:2" ht="12.75" customHeight="1" x14ac:dyDescent="0.25">
      <c r="B272" s="245"/>
    </row>
    <row r="273" spans="2:2" ht="12.75" customHeight="1" x14ac:dyDescent="0.25">
      <c r="B273" s="245"/>
    </row>
    <row r="274" spans="2:2" ht="12.75" customHeight="1" x14ac:dyDescent="0.25">
      <c r="B274" s="245"/>
    </row>
    <row r="275" spans="2:2" ht="12.75" customHeight="1" x14ac:dyDescent="0.25">
      <c r="B275" s="245"/>
    </row>
    <row r="276" spans="2:2" ht="12.75" customHeight="1" x14ac:dyDescent="0.25">
      <c r="B276" s="245"/>
    </row>
    <row r="277" spans="2:2" ht="12.75" customHeight="1" x14ac:dyDescent="0.25">
      <c r="B277" s="245"/>
    </row>
    <row r="278" spans="2:2" ht="12.75" customHeight="1" x14ac:dyDescent="0.25">
      <c r="B278" s="245"/>
    </row>
    <row r="279" spans="2:2" ht="12.75" customHeight="1" x14ac:dyDescent="0.25">
      <c r="B279" s="245"/>
    </row>
    <row r="280" spans="2:2" ht="12.75" customHeight="1" x14ac:dyDescent="0.25">
      <c r="B280" s="245"/>
    </row>
    <row r="281" spans="2:2" ht="12.75" customHeight="1" x14ac:dyDescent="0.25">
      <c r="B281" s="245"/>
    </row>
    <row r="282" spans="2:2" ht="12.75" customHeight="1" x14ac:dyDescent="0.25">
      <c r="B282" s="245"/>
    </row>
    <row r="283" spans="2:2" ht="12.75" customHeight="1" x14ac:dyDescent="0.25">
      <c r="B283" s="245"/>
    </row>
    <row r="284" spans="2:2" ht="12.75" customHeight="1" x14ac:dyDescent="0.25">
      <c r="B284" s="245"/>
    </row>
    <row r="285" spans="2:2" ht="12.75" customHeight="1" x14ac:dyDescent="0.25">
      <c r="B285" s="245"/>
    </row>
    <row r="286" spans="2:2" ht="12.75" customHeight="1" x14ac:dyDescent="0.25">
      <c r="B286" s="245"/>
    </row>
    <row r="287" spans="2:2" ht="12.75" customHeight="1" x14ac:dyDescent="0.25">
      <c r="B287" s="245"/>
    </row>
    <row r="288" spans="2:2" ht="12.75" customHeight="1" x14ac:dyDescent="0.25">
      <c r="B288" s="245"/>
    </row>
    <row r="289" spans="2:2" ht="12.75" customHeight="1" x14ac:dyDescent="0.25">
      <c r="B289" s="245"/>
    </row>
    <row r="290" spans="2:2" ht="12.75" customHeight="1" x14ac:dyDescent="0.25">
      <c r="B290" s="245"/>
    </row>
    <row r="291" spans="2:2" ht="12.75" customHeight="1" x14ac:dyDescent="0.25">
      <c r="B291" s="245"/>
    </row>
    <row r="292" spans="2:2" ht="12.75" customHeight="1" x14ac:dyDescent="0.25">
      <c r="B292" s="245"/>
    </row>
    <row r="293" spans="2:2" ht="12.75" customHeight="1" x14ac:dyDescent="0.25">
      <c r="B293" s="245"/>
    </row>
    <row r="294" spans="2:2" ht="12.75" customHeight="1" x14ac:dyDescent="0.25">
      <c r="B294" s="245"/>
    </row>
    <row r="295" spans="2:2" ht="12.75" customHeight="1" x14ac:dyDescent="0.25">
      <c r="B295" s="245"/>
    </row>
    <row r="296" spans="2:2" ht="12.75" customHeight="1" x14ac:dyDescent="0.25">
      <c r="B296" s="245"/>
    </row>
    <row r="297" spans="2:2" ht="12.75" customHeight="1" x14ac:dyDescent="0.25">
      <c r="B297" s="245"/>
    </row>
    <row r="298" spans="2:2" ht="12.75" customHeight="1" x14ac:dyDescent="0.25">
      <c r="B298" s="245"/>
    </row>
    <row r="299" spans="2:2" ht="12.75" customHeight="1" x14ac:dyDescent="0.25">
      <c r="B299" s="245"/>
    </row>
    <row r="300" spans="2:2" ht="12.75" customHeight="1" x14ac:dyDescent="0.25">
      <c r="B300" s="245"/>
    </row>
    <row r="301" spans="2:2" ht="12.75" customHeight="1" x14ac:dyDescent="0.25">
      <c r="B301" s="245"/>
    </row>
    <row r="302" spans="2:2" ht="12.75" customHeight="1" x14ac:dyDescent="0.25">
      <c r="B302" s="245"/>
    </row>
    <row r="303" spans="2:2" ht="12.75" customHeight="1" x14ac:dyDescent="0.25">
      <c r="B303" s="245"/>
    </row>
    <row r="304" spans="2:2" ht="12.75" customHeight="1" x14ac:dyDescent="0.25">
      <c r="B304" s="245"/>
    </row>
    <row r="305" spans="2:2" ht="12.75" customHeight="1" x14ac:dyDescent="0.25">
      <c r="B305" s="245"/>
    </row>
    <row r="306" spans="2:2" ht="12.75" customHeight="1" x14ac:dyDescent="0.25">
      <c r="B306" s="245"/>
    </row>
    <row r="307" spans="2:2" ht="12.75" customHeight="1" x14ac:dyDescent="0.25">
      <c r="B307" s="245"/>
    </row>
    <row r="308" spans="2:2" ht="12.75" customHeight="1" x14ac:dyDescent="0.25">
      <c r="B308" s="245"/>
    </row>
    <row r="309" spans="2:2" ht="12.75" customHeight="1" x14ac:dyDescent="0.25">
      <c r="B309" s="245"/>
    </row>
    <row r="310" spans="2:2" ht="12.75" customHeight="1" x14ac:dyDescent="0.25">
      <c r="B310" s="245"/>
    </row>
    <row r="311" spans="2:2" ht="12.75" customHeight="1" x14ac:dyDescent="0.25">
      <c r="B311" s="245"/>
    </row>
    <row r="312" spans="2:2" ht="12.75" customHeight="1" x14ac:dyDescent="0.25">
      <c r="B312" s="245"/>
    </row>
    <row r="313" spans="2:2" ht="12.75" customHeight="1" x14ac:dyDescent="0.25">
      <c r="B313" s="245"/>
    </row>
    <row r="314" spans="2:2" ht="12.75" customHeight="1" x14ac:dyDescent="0.25">
      <c r="B314" s="245"/>
    </row>
    <row r="315" spans="2:2" ht="12.75" customHeight="1" x14ac:dyDescent="0.25">
      <c r="B315" s="245"/>
    </row>
    <row r="316" spans="2:2" ht="12.75" customHeight="1" x14ac:dyDescent="0.25">
      <c r="B316" s="245"/>
    </row>
    <row r="317" spans="2:2" ht="12.75" customHeight="1" x14ac:dyDescent="0.25">
      <c r="B317" s="245"/>
    </row>
    <row r="318" spans="2:2" ht="12.75" customHeight="1" x14ac:dyDescent="0.25">
      <c r="B318" s="245"/>
    </row>
    <row r="319" spans="2:2" ht="12.75" customHeight="1" x14ac:dyDescent="0.25">
      <c r="B319" s="245"/>
    </row>
    <row r="320" spans="2:2" ht="12.75" customHeight="1" x14ac:dyDescent="0.25">
      <c r="B320" s="245"/>
    </row>
    <row r="321" spans="2:2" ht="12.75" customHeight="1" x14ac:dyDescent="0.25">
      <c r="B321" s="245"/>
    </row>
    <row r="322" spans="2:2" ht="12.75" customHeight="1" x14ac:dyDescent="0.25">
      <c r="B322" s="245"/>
    </row>
    <row r="323" spans="2:2" ht="12.75" customHeight="1" x14ac:dyDescent="0.25">
      <c r="B323" s="245"/>
    </row>
    <row r="324" spans="2:2" ht="12.75" customHeight="1" x14ac:dyDescent="0.25">
      <c r="B324" s="245"/>
    </row>
    <row r="325" spans="2:2" ht="12.75" customHeight="1" x14ac:dyDescent="0.25">
      <c r="B325" s="245"/>
    </row>
    <row r="326" spans="2:2" ht="12.75" customHeight="1" x14ac:dyDescent="0.25">
      <c r="B326" s="245"/>
    </row>
    <row r="327" spans="2:2" ht="12.75" customHeight="1" x14ac:dyDescent="0.25">
      <c r="B327" s="245"/>
    </row>
    <row r="328" spans="2:2" ht="12.75" customHeight="1" x14ac:dyDescent="0.25">
      <c r="B328" s="245"/>
    </row>
    <row r="329" spans="2:2" ht="12.75" customHeight="1" x14ac:dyDescent="0.25">
      <c r="B329" s="245"/>
    </row>
    <row r="330" spans="2:2" ht="12.75" customHeight="1" x14ac:dyDescent="0.25">
      <c r="B330" s="245"/>
    </row>
    <row r="331" spans="2:2" ht="12.75" customHeight="1" x14ac:dyDescent="0.25">
      <c r="B331" s="245"/>
    </row>
    <row r="332" spans="2:2" ht="12.75" customHeight="1" x14ac:dyDescent="0.25">
      <c r="B332" s="245"/>
    </row>
    <row r="333" spans="2:2" ht="12.75" customHeight="1" x14ac:dyDescent="0.25">
      <c r="B333" s="245"/>
    </row>
    <row r="334" spans="2:2" x14ac:dyDescent="0.25">
      <c r="B334" s="245"/>
    </row>
    <row r="335" spans="2:2" x14ac:dyDescent="0.25">
      <c r="B335" s="245"/>
    </row>
    <row r="336" spans="2:2" x14ac:dyDescent="0.25">
      <c r="B336" s="245"/>
    </row>
    <row r="337" spans="2:2" x14ac:dyDescent="0.25">
      <c r="B337" s="245"/>
    </row>
    <row r="338" spans="2:2" x14ac:dyDescent="0.25">
      <c r="B338" s="245"/>
    </row>
    <row r="339" spans="2:2" x14ac:dyDescent="0.25">
      <c r="B339" s="245"/>
    </row>
    <row r="340" spans="2:2" x14ac:dyDescent="0.25">
      <c r="B340" s="245"/>
    </row>
    <row r="341" spans="2:2" x14ac:dyDescent="0.25">
      <c r="B341" s="245"/>
    </row>
    <row r="342" spans="2:2" x14ac:dyDescent="0.25">
      <c r="B342" s="245"/>
    </row>
    <row r="343" spans="2:2" x14ac:dyDescent="0.25">
      <c r="B343" s="245"/>
    </row>
    <row r="344" spans="2:2" x14ac:dyDescent="0.25">
      <c r="B344" s="245"/>
    </row>
    <row r="345" spans="2:2" x14ac:dyDescent="0.25">
      <c r="B345" s="245"/>
    </row>
    <row r="346" spans="2:2" x14ac:dyDescent="0.25">
      <c r="B346" s="245"/>
    </row>
    <row r="347" spans="2:2" x14ac:dyDescent="0.25">
      <c r="B347" s="245"/>
    </row>
    <row r="348" spans="2:2" x14ac:dyDescent="0.25">
      <c r="B348" s="245"/>
    </row>
    <row r="349" spans="2:2" x14ac:dyDescent="0.25">
      <c r="B349" s="245"/>
    </row>
    <row r="350" spans="2:2" x14ac:dyDescent="0.25">
      <c r="B350" s="245"/>
    </row>
    <row r="351" spans="2:2" x14ac:dyDescent="0.25">
      <c r="B351" s="245"/>
    </row>
    <row r="352" spans="2:2" x14ac:dyDescent="0.25">
      <c r="B352" s="245"/>
    </row>
    <row r="353" spans="2:2" x14ac:dyDescent="0.25">
      <c r="B353" s="245"/>
    </row>
    <row r="354" spans="2:2" x14ac:dyDescent="0.25">
      <c r="B354" s="245"/>
    </row>
    <row r="355" spans="2:2" x14ac:dyDescent="0.25">
      <c r="B355" s="245"/>
    </row>
    <row r="356" spans="2:2" x14ac:dyDescent="0.25">
      <c r="B356" s="245"/>
    </row>
    <row r="357" spans="2:2" x14ac:dyDescent="0.25">
      <c r="B357" s="245"/>
    </row>
    <row r="358" spans="2:2" x14ac:dyDescent="0.25">
      <c r="B358" s="245"/>
    </row>
    <row r="359" spans="2:2" x14ac:dyDescent="0.25">
      <c r="B359" s="245"/>
    </row>
    <row r="360" spans="2:2" x14ac:dyDescent="0.25">
      <c r="B360" s="245"/>
    </row>
    <row r="361" spans="2:2" x14ac:dyDescent="0.25">
      <c r="B361" s="245"/>
    </row>
    <row r="362" spans="2:2" x14ac:dyDescent="0.25">
      <c r="B362" s="245"/>
    </row>
    <row r="363" spans="2:2" x14ac:dyDescent="0.25">
      <c r="B363" s="245"/>
    </row>
    <row r="364" spans="2:2" x14ac:dyDescent="0.25">
      <c r="B364" s="245"/>
    </row>
    <row r="365" spans="2:2" x14ac:dyDescent="0.25">
      <c r="B365" s="245"/>
    </row>
    <row r="366" spans="2:2" x14ac:dyDescent="0.25">
      <c r="B366" s="245"/>
    </row>
    <row r="367" spans="2:2" x14ac:dyDescent="0.25">
      <c r="B367" s="245"/>
    </row>
    <row r="368" spans="2:2" x14ac:dyDescent="0.25">
      <c r="B368" s="245"/>
    </row>
    <row r="369" spans="2:2" x14ac:dyDescent="0.25">
      <c r="B369" s="245"/>
    </row>
    <row r="370" spans="2:2" x14ac:dyDescent="0.25">
      <c r="B370" s="245"/>
    </row>
    <row r="371" spans="2:2" x14ac:dyDescent="0.25">
      <c r="B371" s="245"/>
    </row>
    <row r="372" spans="2:2" x14ac:dyDescent="0.25">
      <c r="B372" s="245"/>
    </row>
    <row r="373" spans="2:2" x14ac:dyDescent="0.25">
      <c r="B373" s="245"/>
    </row>
    <row r="374" spans="2:2" x14ac:dyDescent="0.25">
      <c r="B374" s="245"/>
    </row>
    <row r="375" spans="2:2" x14ac:dyDescent="0.25">
      <c r="B375" s="245"/>
    </row>
    <row r="376" spans="2:2" x14ac:dyDescent="0.25">
      <c r="B376" s="245"/>
    </row>
    <row r="377" spans="2:2" x14ac:dyDescent="0.25">
      <c r="B377" s="245"/>
    </row>
    <row r="378" spans="2:2" x14ac:dyDescent="0.25">
      <c r="B378" s="245"/>
    </row>
    <row r="379" spans="2:2" x14ac:dyDescent="0.25">
      <c r="B379" s="245"/>
    </row>
    <row r="380" spans="2:2" x14ac:dyDescent="0.25">
      <c r="B380" s="245"/>
    </row>
    <row r="381" spans="2:2" x14ac:dyDescent="0.25">
      <c r="B381" s="245"/>
    </row>
    <row r="382" spans="2:2" x14ac:dyDescent="0.25">
      <c r="B382" s="245"/>
    </row>
    <row r="383" spans="2:2" x14ac:dyDescent="0.25">
      <c r="B383" s="245"/>
    </row>
    <row r="384" spans="2:2" x14ac:dyDescent="0.25">
      <c r="B384" s="245"/>
    </row>
    <row r="385" spans="2:2" x14ac:dyDescent="0.25">
      <c r="B385" s="245"/>
    </row>
    <row r="386" spans="2:2" x14ac:dyDescent="0.25">
      <c r="B386" s="245"/>
    </row>
    <row r="387" spans="2:2" x14ac:dyDescent="0.25">
      <c r="B387" s="245"/>
    </row>
    <row r="388" spans="2:2" x14ac:dyDescent="0.25">
      <c r="B388" s="245"/>
    </row>
    <row r="389" spans="2:2" x14ac:dyDescent="0.25">
      <c r="B389" s="245"/>
    </row>
    <row r="390" spans="2:2" x14ac:dyDescent="0.25">
      <c r="B390" s="245"/>
    </row>
    <row r="391" spans="2:2" x14ac:dyDescent="0.25">
      <c r="B391" s="245"/>
    </row>
    <row r="392" spans="2:2" x14ac:dyDescent="0.25">
      <c r="B392" s="245"/>
    </row>
    <row r="393" spans="2:2" x14ac:dyDescent="0.25">
      <c r="B393" s="245"/>
    </row>
    <row r="394" spans="2:2" x14ac:dyDescent="0.25">
      <c r="B394" s="245"/>
    </row>
    <row r="395" spans="2:2" x14ac:dyDescent="0.25">
      <c r="B395" s="245"/>
    </row>
    <row r="396" spans="2:2" x14ac:dyDescent="0.25">
      <c r="B396" s="245"/>
    </row>
    <row r="397" spans="2:2" x14ac:dyDescent="0.25">
      <c r="B397" s="245"/>
    </row>
    <row r="398" spans="2:2" x14ac:dyDescent="0.25">
      <c r="B398" s="245"/>
    </row>
    <row r="399" spans="2:2" x14ac:dyDescent="0.25">
      <c r="B399" s="245"/>
    </row>
    <row r="400" spans="2:2" x14ac:dyDescent="0.25">
      <c r="B400" s="245"/>
    </row>
    <row r="401" spans="2:2" x14ac:dyDescent="0.25">
      <c r="B401" s="245"/>
    </row>
    <row r="402" spans="2:2" x14ac:dyDescent="0.25">
      <c r="B402" s="245"/>
    </row>
    <row r="403" spans="2:2" x14ac:dyDescent="0.25">
      <c r="B403" s="245"/>
    </row>
    <row r="404" spans="2:2" x14ac:dyDescent="0.25">
      <c r="B404" s="245"/>
    </row>
    <row r="405" spans="2:2" x14ac:dyDescent="0.25">
      <c r="B405" s="245"/>
    </row>
    <row r="406" spans="2:2" x14ac:dyDescent="0.25">
      <c r="B406" s="245"/>
    </row>
    <row r="407" spans="2:2" x14ac:dyDescent="0.25">
      <c r="B407" s="245"/>
    </row>
    <row r="408" spans="2:2" x14ac:dyDescent="0.25">
      <c r="B408" s="245"/>
    </row>
    <row r="409" spans="2:2" x14ac:dyDescent="0.25">
      <c r="B409" s="245"/>
    </row>
    <row r="410" spans="2:2" x14ac:dyDescent="0.25">
      <c r="B410" s="245"/>
    </row>
    <row r="411" spans="2:2" x14ac:dyDescent="0.25">
      <c r="B411" s="245"/>
    </row>
    <row r="412" spans="2:2" x14ac:dyDescent="0.25">
      <c r="B412" s="245"/>
    </row>
    <row r="413" spans="2:2" x14ac:dyDescent="0.25">
      <c r="B413" s="245"/>
    </row>
    <row r="414" spans="2:2" x14ac:dyDescent="0.25">
      <c r="B414" s="245"/>
    </row>
    <row r="415" spans="2:2" x14ac:dyDescent="0.25">
      <c r="B415" s="245"/>
    </row>
    <row r="416" spans="2:2" x14ac:dyDescent="0.25">
      <c r="B416" s="245"/>
    </row>
    <row r="417" spans="2:2" x14ac:dyDescent="0.25">
      <c r="B417" s="245"/>
    </row>
    <row r="418" spans="2:2" x14ac:dyDescent="0.25">
      <c r="B418" s="245"/>
    </row>
    <row r="419" spans="2:2" x14ac:dyDescent="0.25">
      <c r="B419" s="245"/>
    </row>
    <row r="420" spans="2:2" x14ac:dyDescent="0.25">
      <c r="B420" s="245"/>
    </row>
    <row r="421" spans="2:2" x14ac:dyDescent="0.25">
      <c r="B421" s="245"/>
    </row>
    <row r="422" spans="2:2" x14ac:dyDescent="0.25">
      <c r="B422" s="245"/>
    </row>
    <row r="423" spans="2:2" x14ac:dyDescent="0.25">
      <c r="B423" s="245"/>
    </row>
    <row r="424" spans="2:2" x14ac:dyDescent="0.25">
      <c r="B424" s="245"/>
    </row>
    <row r="425" spans="2:2" x14ac:dyDescent="0.25">
      <c r="B425" s="245"/>
    </row>
    <row r="426" spans="2:2" x14ac:dyDescent="0.25">
      <c r="B426" s="245"/>
    </row>
    <row r="427" spans="2:2" x14ac:dyDescent="0.25">
      <c r="B427" s="245"/>
    </row>
    <row r="428" spans="2:2" x14ac:dyDescent="0.25">
      <c r="B428" s="245"/>
    </row>
    <row r="429" spans="2:2" x14ac:dyDescent="0.25">
      <c r="B429" s="245"/>
    </row>
    <row r="430" spans="2:2" x14ac:dyDescent="0.25">
      <c r="B430" s="245"/>
    </row>
    <row r="431" spans="2:2" x14ac:dyDescent="0.25">
      <c r="B431" s="245"/>
    </row>
    <row r="432" spans="2:2" x14ac:dyDescent="0.25">
      <c r="B432" s="245"/>
    </row>
    <row r="433" spans="2:2" x14ac:dyDescent="0.25">
      <c r="B433" s="245"/>
    </row>
    <row r="434" spans="2:2" x14ac:dyDescent="0.25">
      <c r="B434" s="245"/>
    </row>
    <row r="435" spans="2:2" x14ac:dyDescent="0.25">
      <c r="B435" s="245"/>
    </row>
    <row r="436" spans="2:2" x14ac:dyDescent="0.25">
      <c r="B436" s="245"/>
    </row>
    <row r="437" spans="2:2" x14ac:dyDescent="0.25">
      <c r="B437" s="245"/>
    </row>
    <row r="438" spans="2:2" x14ac:dyDescent="0.25">
      <c r="B438" s="245"/>
    </row>
    <row r="439" spans="2:2" x14ac:dyDescent="0.25">
      <c r="B439" s="245"/>
    </row>
    <row r="440" spans="2:2" x14ac:dyDescent="0.25">
      <c r="B440" s="245"/>
    </row>
    <row r="441" spans="2:2" x14ac:dyDescent="0.25">
      <c r="B441" s="245"/>
    </row>
    <row r="442" spans="2:2" x14ac:dyDescent="0.25">
      <c r="B442" s="245"/>
    </row>
    <row r="443" spans="2:2" x14ac:dyDescent="0.25">
      <c r="B443" s="245"/>
    </row>
    <row r="444" spans="2:2" x14ac:dyDescent="0.25">
      <c r="B444" s="245"/>
    </row>
    <row r="445" spans="2:2" x14ac:dyDescent="0.25">
      <c r="B445" s="245"/>
    </row>
    <row r="446" spans="2:2" x14ac:dyDescent="0.25">
      <c r="B446" s="245"/>
    </row>
    <row r="447" spans="2:2" x14ac:dyDescent="0.25">
      <c r="B447" s="245"/>
    </row>
    <row r="448" spans="2:2" x14ac:dyDescent="0.25">
      <c r="B448" s="245"/>
    </row>
    <row r="449" spans="2:2" x14ac:dyDescent="0.25">
      <c r="B449" s="245"/>
    </row>
    <row r="450" spans="2:2" x14ac:dyDescent="0.25">
      <c r="B450" s="245"/>
    </row>
    <row r="451" spans="2:2" x14ac:dyDescent="0.25">
      <c r="B451" s="245"/>
    </row>
    <row r="452" spans="2:2" x14ac:dyDescent="0.25">
      <c r="B452" s="245"/>
    </row>
    <row r="453" spans="2:2" x14ac:dyDescent="0.25">
      <c r="B453" s="245"/>
    </row>
    <row r="454" spans="2:2" x14ac:dyDescent="0.25">
      <c r="B454" s="245"/>
    </row>
    <row r="455" spans="2:2" x14ac:dyDescent="0.25">
      <c r="B455" s="245"/>
    </row>
    <row r="456" spans="2:2" x14ac:dyDescent="0.25">
      <c r="B456" s="245"/>
    </row>
    <row r="457" spans="2:2" x14ac:dyDescent="0.25">
      <c r="B457" s="245"/>
    </row>
    <row r="458" spans="2:2" x14ac:dyDescent="0.25">
      <c r="B458" s="245"/>
    </row>
    <row r="459" spans="2:2" x14ac:dyDescent="0.25">
      <c r="B459" s="245"/>
    </row>
    <row r="460" spans="2:2" x14ac:dyDescent="0.25">
      <c r="B460" s="245"/>
    </row>
    <row r="461" spans="2:2" x14ac:dyDescent="0.25">
      <c r="B461" s="245"/>
    </row>
    <row r="462" spans="2:2" x14ac:dyDescent="0.25">
      <c r="B462" s="245"/>
    </row>
    <row r="463" spans="2:2" x14ac:dyDescent="0.25">
      <c r="B463" s="245"/>
    </row>
    <row r="464" spans="2:2" x14ac:dyDescent="0.25">
      <c r="B464" s="245"/>
    </row>
    <row r="465" spans="2:2" x14ac:dyDescent="0.25">
      <c r="B465" s="245"/>
    </row>
    <row r="466" spans="2:2" x14ac:dyDescent="0.25">
      <c r="B466" s="245"/>
    </row>
    <row r="467" spans="2:2" x14ac:dyDescent="0.25">
      <c r="B467" s="245"/>
    </row>
    <row r="468" spans="2:2" x14ac:dyDescent="0.25">
      <c r="B468" s="245"/>
    </row>
    <row r="469" spans="2:2" x14ac:dyDescent="0.25">
      <c r="B469" s="245"/>
    </row>
    <row r="470" spans="2:2" x14ac:dyDescent="0.25">
      <c r="B470" s="245"/>
    </row>
    <row r="471" spans="2:2" x14ac:dyDescent="0.25">
      <c r="B471" s="245"/>
    </row>
    <row r="472" spans="2:2" x14ac:dyDescent="0.25">
      <c r="B472" s="245"/>
    </row>
    <row r="473" spans="2:2" x14ac:dyDescent="0.25">
      <c r="B473" s="245"/>
    </row>
    <row r="474" spans="2:2" x14ac:dyDescent="0.25">
      <c r="B474" s="245"/>
    </row>
    <row r="475" spans="2:2" x14ac:dyDescent="0.25">
      <c r="B475" s="245"/>
    </row>
    <row r="476" spans="2:2" x14ac:dyDescent="0.25">
      <c r="B476" s="245"/>
    </row>
    <row r="477" spans="2:2" x14ac:dyDescent="0.25">
      <c r="B477" s="245"/>
    </row>
    <row r="478" spans="2:2" x14ac:dyDescent="0.25">
      <c r="B478" s="245"/>
    </row>
    <row r="479" spans="2:2" x14ac:dyDescent="0.25">
      <c r="B479" s="245"/>
    </row>
    <row r="480" spans="2:2" x14ac:dyDescent="0.25">
      <c r="B480" s="245"/>
    </row>
    <row r="481" spans="2:2" x14ac:dyDescent="0.25">
      <c r="B481" s="245"/>
    </row>
    <row r="482" spans="2:2" x14ac:dyDescent="0.25">
      <c r="B482" s="245"/>
    </row>
    <row r="483" spans="2:2" x14ac:dyDescent="0.25">
      <c r="B483" s="245"/>
    </row>
    <row r="484" spans="2:2" x14ac:dyDescent="0.25">
      <c r="B484" s="245"/>
    </row>
    <row r="485" spans="2:2" x14ac:dyDescent="0.25">
      <c r="B485" s="245"/>
    </row>
    <row r="486" spans="2:2" x14ac:dyDescent="0.25">
      <c r="B486" s="245"/>
    </row>
    <row r="487" spans="2:2" x14ac:dyDescent="0.25">
      <c r="B487" s="245"/>
    </row>
    <row r="488" spans="2:2" x14ac:dyDescent="0.25">
      <c r="B488" s="245"/>
    </row>
    <row r="489" spans="2:2" x14ac:dyDescent="0.25">
      <c r="B489" s="245"/>
    </row>
    <row r="490" spans="2:2" x14ac:dyDescent="0.25">
      <c r="B490" s="245"/>
    </row>
    <row r="491" spans="2:2" x14ac:dyDescent="0.25">
      <c r="B491" s="245"/>
    </row>
    <row r="492" spans="2:2" x14ac:dyDescent="0.25">
      <c r="B492" s="245"/>
    </row>
    <row r="493" spans="2:2" x14ac:dyDescent="0.25">
      <c r="B493" s="245"/>
    </row>
    <row r="494" spans="2:2" x14ac:dyDescent="0.25">
      <c r="B494" s="245"/>
    </row>
    <row r="495" spans="2:2" x14ac:dyDescent="0.25">
      <c r="B495" s="245"/>
    </row>
    <row r="496" spans="2:2" x14ac:dyDescent="0.25">
      <c r="B496" s="245"/>
    </row>
    <row r="497" spans="2:2" x14ac:dyDescent="0.25">
      <c r="B497" s="245"/>
    </row>
    <row r="498" spans="2:2" x14ac:dyDescent="0.25">
      <c r="B498" s="245"/>
    </row>
    <row r="499" spans="2:2" x14ac:dyDescent="0.25">
      <c r="B499" s="245"/>
    </row>
    <row r="500" spans="2:2" x14ac:dyDescent="0.25">
      <c r="B500" s="245"/>
    </row>
    <row r="501" spans="2:2" x14ac:dyDescent="0.25">
      <c r="B501" s="245"/>
    </row>
    <row r="502" spans="2:2" x14ac:dyDescent="0.25">
      <c r="B502" s="245"/>
    </row>
    <row r="503" spans="2:2" x14ac:dyDescent="0.25">
      <c r="B503" s="245"/>
    </row>
    <row r="504" spans="2:2" x14ac:dyDescent="0.25">
      <c r="B504" s="245"/>
    </row>
    <row r="505" spans="2:2" x14ac:dyDescent="0.25">
      <c r="B505" s="245"/>
    </row>
    <row r="506" spans="2:2" x14ac:dyDescent="0.25">
      <c r="B506" s="245"/>
    </row>
    <row r="507" spans="2:2" x14ac:dyDescent="0.25">
      <c r="B507" s="245"/>
    </row>
    <row r="508" spans="2:2" x14ac:dyDescent="0.25">
      <c r="B508" s="245"/>
    </row>
    <row r="509" spans="2:2" x14ac:dyDescent="0.25">
      <c r="B509" s="245"/>
    </row>
    <row r="510" spans="2:2" x14ac:dyDescent="0.25">
      <c r="B510" s="245"/>
    </row>
    <row r="511" spans="2:2" x14ac:dyDescent="0.25">
      <c r="B511" s="245"/>
    </row>
    <row r="512" spans="2:2" x14ac:dyDescent="0.25">
      <c r="B512" s="245"/>
    </row>
    <row r="513" spans="2:2" x14ac:dyDescent="0.25">
      <c r="B513" s="245"/>
    </row>
    <row r="514" spans="2:2" x14ac:dyDescent="0.25">
      <c r="B514" s="245"/>
    </row>
    <row r="515" spans="2:2" x14ac:dyDescent="0.25">
      <c r="B515" s="245"/>
    </row>
    <row r="516" spans="2:2" x14ac:dyDescent="0.25">
      <c r="B516" s="245"/>
    </row>
    <row r="517" spans="2:2" x14ac:dyDescent="0.25">
      <c r="B517" s="245"/>
    </row>
    <row r="518" spans="2:2" x14ac:dyDescent="0.25">
      <c r="B518" s="245"/>
    </row>
    <row r="519" spans="2:2" x14ac:dyDescent="0.25">
      <c r="B519" s="245"/>
    </row>
    <row r="520" spans="2:2" x14ac:dyDescent="0.25">
      <c r="B520" s="245"/>
    </row>
    <row r="521" spans="2:2" x14ac:dyDescent="0.25">
      <c r="B521" s="245"/>
    </row>
    <row r="522" spans="2:2" x14ac:dyDescent="0.25">
      <c r="B522" s="245"/>
    </row>
    <row r="523" spans="2:2" x14ac:dyDescent="0.25">
      <c r="B523" s="245"/>
    </row>
    <row r="524" spans="2:2" x14ac:dyDescent="0.25">
      <c r="B524" s="245"/>
    </row>
    <row r="525" spans="2:2" x14ac:dyDescent="0.25">
      <c r="B525" s="245"/>
    </row>
    <row r="526" spans="2:2" x14ac:dyDescent="0.25">
      <c r="B526" s="245"/>
    </row>
    <row r="527" spans="2:2" x14ac:dyDescent="0.25">
      <c r="B527" s="245"/>
    </row>
    <row r="528" spans="2:2" x14ac:dyDescent="0.25">
      <c r="B528" s="245"/>
    </row>
    <row r="529" spans="2:2" x14ac:dyDescent="0.25">
      <c r="B529" s="245"/>
    </row>
    <row r="530" spans="2:2" x14ac:dyDescent="0.25">
      <c r="B530" s="245"/>
    </row>
    <row r="531" spans="2:2" x14ac:dyDescent="0.25">
      <c r="B531" s="245"/>
    </row>
    <row r="532" spans="2:2" x14ac:dyDescent="0.25">
      <c r="B532" s="245"/>
    </row>
    <row r="533" spans="2:2" x14ac:dyDescent="0.25">
      <c r="B533" s="245"/>
    </row>
    <row r="534" spans="2:2" x14ac:dyDescent="0.25">
      <c r="B534" s="245"/>
    </row>
    <row r="535" spans="2:2" x14ac:dyDescent="0.25">
      <c r="B535" s="245"/>
    </row>
    <row r="536" spans="2:2" x14ac:dyDescent="0.25">
      <c r="B536" s="245"/>
    </row>
    <row r="537" spans="2:2" x14ac:dyDescent="0.25">
      <c r="B537" s="245"/>
    </row>
    <row r="538" spans="2:2" x14ac:dyDescent="0.25">
      <c r="B538" s="245"/>
    </row>
    <row r="539" spans="2:2" x14ac:dyDescent="0.25">
      <c r="B539" s="245"/>
    </row>
    <row r="540" spans="2:2" x14ac:dyDescent="0.25">
      <c r="B540" s="245"/>
    </row>
    <row r="541" spans="2:2" x14ac:dyDescent="0.25">
      <c r="B541" s="245"/>
    </row>
    <row r="542" spans="2:2" x14ac:dyDescent="0.25">
      <c r="B542" s="245"/>
    </row>
    <row r="543" spans="2:2" x14ac:dyDescent="0.25">
      <c r="B543" s="245"/>
    </row>
    <row r="544" spans="2:2" x14ac:dyDescent="0.25">
      <c r="B544" s="245"/>
    </row>
    <row r="545" spans="2:2" x14ac:dyDescent="0.25">
      <c r="B545" s="245"/>
    </row>
    <row r="546" spans="2:2" x14ac:dyDescent="0.25">
      <c r="B546" s="245"/>
    </row>
    <row r="547" spans="2:2" x14ac:dyDescent="0.25">
      <c r="B547" s="245"/>
    </row>
    <row r="548" spans="2:2" x14ac:dyDescent="0.25">
      <c r="B548" s="245"/>
    </row>
    <row r="549" spans="2:2" x14ac:dyDescent="0.25">
      <c r="B549" s="245"/>
    </row>
    <row r="550" spans="2:2" x14ac:dyDescent="0.25">
      <c r="B550" s="245"/>
    </row>
    <row r="551" spans="2:2" x14ac:dyDescent="0.25">
      <c r="B551" s="245"/>
    </row>
    <row r="552" spans="2:2" x14ac:dyDescent="0.25">
      <c r="B552" s="245"/>
    </row>
    <row r="553" spans="2:2" x14ac:dyDescent="0.25">
      <c r="B553" s="245"/>
    </row>
    <row r="554" spans="2:2" x14ac:dyDescent="0.25">
      <c r="B554" s="245"/>
    </row>
    <row r="555" spans="2:2" x14ac:dyDescent="0.25">
      <c r="B555" s="245"/>
    </row>
    <row r="556" spans="2:2" x14ac:dyDescent="0.25">
      <c r="B556" s="245"/>
    </row>
    <row r="557" spans="2:2" x14ac:dyDescent="0.25">
      <c r="B557" s="245"/>
    </row>
    <row r="558" spans="2:2" x14ac:dyDescent="0.25">
      <c r="B558" s="245"/>
    </row>
    <row r="559" spans="2:2" x14ac:dyDescent="0.25">
      <c r="B559" s="245"/>
    </row>
    <row r="560" spans="2:2" x14ac:dyDescent="0.25">
      <c r="B560" s="245"/>
    </row>
    <row r="561" spans="2:2" x14ac:dyDescent="0.25">
      <c r="B561" s="245"/>
    </row>
    <row r="562" spans="2:2" x14ac:dyDescent="0.25">
      <c r="B562" s="245"/>
    </row>
    <row r="563" spans="2:2" x14ac:dyDescent="0.25">
      <c r="B563" s="245"/>
    </row>
    <row r="564" spans="2:2" x14ac:dyDescent="0.25">
      <c r="B564" s="245"/>
    </row>
    <row r="565" spans="2:2" x14ac:dyDescent="0.25">
      <c r="B565" s="245"/>
    </row>
    <row r="566" spans="2:2" x14ac:dyDescent="0.25">
      <c r="B566" s="245"/>
    </row>
    <row r="567" spans="2:2" x14ac:dyDescent="0.25">
      <c r="B567" s="245"/>
    </row>
    <row r="568" spans="2:2" x14ac:dyDescent="0.25">
      <c r="B568" s="245"/>
    </row>
    <row r="569" spans="2:2" x14ac:dyDescent="0.25">
      <c r="B569" s="245"/>
    </row>
    <row r="570" spans="2:2" x14ac:dyDescent="0.25">
      <c r="B570" s="245"/>
    </row>
    <row r="571" spans="2:2" x14ac:dyDescent="0.25">
      <c r="B571" s="245"/>
    </row>
    <row r="572" spans="2:2" x14ac:dyDescent="0.25">
      <c r="B572" s="245"/>
    </row>
    <row r="573" spans="2:2" x14ac:dyDescent="0.25">
      <c r="B573" s="245"/>
    </row>
    <row r="574" spans="2:2" x14ac:dyDescent="0.25">
      <c r="B574" s="245"/>
    </row>
    <row r="575" spans="2:2" x14ac:dyDescent="0.25">
      <c r="B575" s="245"/>
    </row>
    <row r="576" spans="2:2" x14ac:dyDescent="0.25">
      <c r="B576" s="245"/>
    </row>
    <row r="577" spans="2:2" x14ac:dyDescent="0.25">
      <c r="B577" s="245"/>
    </row>
    <row r="578" spans="2:2" x14ac:dyDescent="0.25">
      <c r="B578" s="245"/>
    </row>
    <row r="579" spans="2:2" x14ac:dyDescent="0.25">
      <c r="B579" s="245"/>
    </row>
    <row r="580" spans="2:2" x14ac:dyDescent="0.25">
      <c r="B580" s="245"/>
    </row>
    <row r="581" spans="2:2" x14ac:dyDescent="0.25">
      <c r="B581" s="245"/>
    </row>
    <row r="582" spans="2:2" x14ac:dyDescent="0.25">
      <c r="B582" s="245"/>
    </row>
    <row r="583" spans="2:2" x14ac:dyDescent="0.25">
      <c r="B583" s="245"/>
    </row>
    <row r="584" spans="2:2" x14ac:dyDescent="0.25">
      <c r="B584" s="245"/>
    </row>
    <row r="585" spans="2:2" x14ac:dyDescent="0.25">
      <c r="B585" s="245"/>
    </row>
    <row r="586" spans="2:2" x14ac:dyDescent="0.25">
      <c r="B586" s="245"/>
    </row>
    <row r="587" spans="2:2" x14ac:dyDescent="0.25">
      <c r="B587" s="245"/>
    </row>
    <row r="588" spans="2:2" x14ac:dyDescent="0.25">
      <c r="B588" s="245"/>
    </row>
    <row r="589" spans="2:2" x14ac:dyDescent="0.25">
      <c r="B589" s="245"/>
    </row>
    <row r="590" spans="2:2" x14ac:dyDescent="0.25">
      <c r="B590" s="245"/>
    </row>
    <row r="591" spans="2:2" x14ac:dyDescent="0.25">
      <c r="B591" s="245"/>
    </row>
    <row r="592" spans="2:2" x14ac:dyDescent="0.25">
      <c r="B592" s="245"/>
    </row>
    <row r="593" spans="2:2" x14ac:dyDescent="0.25">
      <c r="B593" s="245"/>
    </row>
    <row r="594" spans="2:2" x14ac:dyDescent="0.25">
      <c r="B594" s="245"/>
    </row>
    <row r="595" spans="2:2" x14ac:dyDescent="0.25">
      <c r="B595" s="245"/>
    </row>
    <row r="596" spans="2:2" x14ac:dyDescent="0.25">
      <c r="B596" s="245"/>
    </row>
    <row r="597" spans="2:2" x14ac:dyDescent="0.25">
      <c r="B597" s="245"/>
    </row>
    <row r="598" spans="2:2" x14ac:dyDescent="0.25">
      <c r="B598" s="245"/>
    </row>
    <row r="599" spans="2:2" x14ac:dyDescent="0.25">
      <c r="B599" s="245"/>
    </row>
    <row r="600" spans="2:2" x14ac:dyDescent="0.25">
      <c r="B600" s="245"/>
    </row>
    <row r="601" spans="2:2" x14ac:dyDescent="0.25">
      <c r="B601" s="245"/>
    </row>
    <row r="602" spans="2:2" x14ac:dyDescent="0.25">
      <c r="B602" s="245"/>
    </row>
    <row r="603" spans="2:2" x14ac:dyDescent="0.25">
      <c r="B603" s="245"/>
    </row>
    <row r="604" spans="2:2" x14ac:dyDescent="0.25">
      <c r="B604" s="245"/>
    </row>
    <row r="605" spans="2:2" x14ac:dyDescent="0.25">
      <c r="B605" s="245"/>
    </row>
    <row r="606" spans="2:2" x14ac:dyDescent="0.25">
      <c r="B606" s="245"/>
    </row>
    <row r="607" spans="2:2" x14ac:dyDescent="0.25">
      <c r="B607" s="245"/>
    </row>
    <row r="608" spans="2:2" x14ac:dyDescent="0.25">
      <c r="B608" s="245"/>
    </row>
    <row r="609" spans="2:2" x14ac:dyDescent="0.25">
      <c r="B609" s="245"/>
    </row>
    <row r="610" spans="2:2" x14ac:dyDescent="0.25">
      <c r="B610" s="245"/>
    </row>
    <row r="611" spans="2:2" x14ac:dyDescent="0.25">
      <c r="B611" s="245"/>
    </row>
    <row r="612" spans="2:2" x14ac:dyDescent="0.25">
      <c r="B612" s="245"/>
    </row>
    <row r="613" spans="2:2" x14ac:dyDescent="0.25">
      <c r="B613" s="245"/>
    </row>
    <row r="614" spans="2:2" x14ac:dyDescent="0.25">
      <c r="B614" s="245"/>
    </row>
    <row r="615" spans="2:2" x14ac:dyDescent="0.25">
      <c r="B615" s="245"/>
    </row>
    <row r="616" spans="2:2" x14ac:dyDescent="0.25">
      <c r="B616" s="245"/>
    </row>
    <row r="617" spans="2:2" x14ac:dyDescent="0.25">
      <c r="B617" s="245"/>
    </row>
    <row r="618" spans="2:2" x14ac:dyDescent="0.25">
      <c r="B618" s="245"/>
    </row>
    <row r="619" spans="2:2" x14ac:dyDescent="0.25">
      <c r="B619" s="245"/>
    </row>
    <row r="620" spans="2:2" x14ac:dyDescent="0.25">
      <c r="B620" s="245"/>
    </row>
    <row r="621" spans="2:2" x14ac:dyDescent="0.25">
      <c r="B621" s="245"/>
    </row>
    <row r="622" spans="2:2" x14ac:dyDescent="0.25">
      <c r="B622" s="245"/>
    </row>
    <row r="623" spans="2:2" x14ac:dyDescent="0.25">
      <c r="B623" s="245"/>
    </row>
    <row r="624" spans="2:2" x14ac:dyDescent="0.25">
      <c r="B624" s="245"/>
    </row>
    <row r="625" spans="2:2" x14ac:dyDescent="0.25">
      <c r="B625" s="245"/>
    </row>
    <row r="626" spans="2:2" x14ac:dyDescent="0.25">
      <c r="B626" s="245"/>
    </row>
    <row r="627" spans="2:2" x14ac:dyDescent="0.25">
      <c r="B627" s="245"/>
    </row>
    <row r="628" spans="2:2" x14ac:dyDescent="0.25">
      <c r="B628" s="245"/>
    </row>
    <row r="629" spans="2:2" x14ac:dyDescent="0.25">
      <c r="B629" s="245"/>
    </row>
    <row r="630" spans="2:2" x14ac:dyDescent="0.25">
      <c r="B630" s="245"/>
    </row>
    <row r="631" spans="2:2" x14ac:dyDescent="0.25">
      <c r="B631" s="245"/>
    </row>
    <row r="632" spans="2:2" x14ac:dyDescent="0.25">
      <c r="B632" s="245"/>
    </row>
    <row r="633" spans="2:2" x14ac:dyDescent="0.25">
      <c r="B633" s="245"/>
    </row>
    <row r="634" spans="2:2" x14ac:dyDescent="0.25">
      <c r="B634" s="245"/>
    </row>
    <row r="635" spans="2:2" x14ac:dyDescent="0.25">
      <c r="B635" s="245"/>
    </row>
    <row r="636" spans="2:2" x14ac:dyDescent="0.25">
      <c r="B636" s="245"/>
    </row>
    <row r="637" spans="2:2" x14ac:dyDescent="0.25">
      <c r="B637" s="245"/>
    </row>
    <row r="638" spans="2:2" x14ac:dyDescent="0.25">
      <c r="B638" s="245"/>
    </row>
    <row r="639" spans="2:2" x14ac:dyDescent="0.25">
      <c r="B639" s="245"/>
    </row>
    <row r="640" spans="2:2" x14ac:dyDescent="0.25">
      <c r="B640" s="245"/>
    </row>
    <row r="641" spans="2:2" x14ac:dyDescent="0.25">
      <c r="B641" s="245"/>
    </row>
    <row r="642" spans="2:2" x14ac:dyDescent="0.25">
      <c r="B642" s="245"/>
    </row>
    <row r="643" spans="2:2" x14ac:dyDescent="0.25">
      <c r="B643" s="245"/>
    </row>
    <row r="644" spans="2:2" x14ac:dyDescent="0.25">
      <c r="B644" s="245"/>
    </row>
    <row r="645" spans="2:2" x14ac:dyDescent="0.25">
      <c r="B645" s="245"/>
    </row>
    <row r="646" spans="2:2" x14ac:dyDescent="0.25">
      <c r="B646" s="245"/>
    </row>
    <row r="647" spans="2:2" x14ac:dyDescent="0.25">
      <c r="B647" s="245"/>
    </row>
    <row r="648" spans="2:2" x14ac:dyDescent="0.25">
      <c r="B648" s="245"/>
    </row>
    <row r="649" spans="2:2" x14ac:dyDescent="0.25">
      <c r="B649" s="245"/>
    </row>
    <row r="650" spans="2:2" x14ac:dyDescent="0.25">
      <c r="B650" s="245"/>
    </row>
    <row r="651" spans="2:2" x14ac:dyDescent="0.25">
      <c r="B651" s="245"/>
    </row>
    <row r="652" spans="2:2" x14ac:dyDescent="0.25">
      <c r="B652" s="245"/>
    </row>
    <row r="653" spans="2:2" x14ac:dyDescent="0.25">
      <c r="B653" s="245"/>
    </row>
    <row r="654" spans="2:2" x14ac:dyDescent="0.25">
      <c r="B654" s="245"/>
    </row>
    <row r="655" spans="2:2" x14ac:dyDescent="0.25">
      <c r="B655" s="245"/>
    </row>
    <row r="656" spans="2:2" x14ac:dyDescent="0.25">
      <c r="B656" s="245"/>
    </row>
  </sheetData>
  <mergeCells count="5">
    <mergeCell ref="D2:G2"/>
    <mergeCell ref="D3:G3"/>
    <mergeCell ref="B18:E18"/>
    <mergeCell ref="B19:E19"/>
    <mergeCell ref="B32:C32"/>
  </mergeCells>
  <pageMargins left="0.59055118110236227" right="0.59055118110236227" top="0.59055118110236227" bottom="0.59055118110236227" header="0" footer="0"/>
  <pageSetup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Nivel xmlns="10bd4b2b-7502-4871-ac31-8a669464ba77" xsi:nil="true"/>
    <lcf76f155ced4ddcb4097134ff3c332f xmlns="10bd4b2b-7502-4871-ac31-8a669464ba77">
      <Terms xmlns="http://schemas.microsoft.com/office/infopath/2007/PartnerControls"/>
    </lcf76f155ced4ddcb4097134ff3c332f>
    <TaxCatchAll xmlns="bba6e0d8-8986-46a8-840a-25cbd90f1e26" xsi:nil="true"/>
    <Seleccionado xmlns="10bd4b2b-7502-4871-ac31-8a669464ba77" xsi:nil="true"/>
    <Verificado xmlns="10bd4b2b-7502-4871-ac31-8a669464ba77">false</Verificado>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C0D87BC49A8D414BAC6142E4534BA87F" ma:contentTypeVersion="20" ma:contentTypeDescription="Crear nuevo documento." ma:contentTypeScope="" ma:versionID="c7103d42332befea46c634ebe26990d4">
  <xsd:schema xmlns:xsd="http://www.w3.org/2001/XMLSchema" xmlns:xs="http://www.w3.org/2001/XMLSchema" xmlns:p="http://schemas.microsoft.com/office/2006/metadata/properties" xmlns:ns2="10bd4b2b-7502-4871-ac31-8a669464ba77" xmlns:ns3="bba6e0d8-8986-46a8-840a-25cbd90f1e26" targetNamespace="http://schemas.microsoft.com/office/2006/metadata/properties" ma:root="true" ma:fieldsID="fb2b328da598ba9418d6886ca731b5bf" ns2:_="" ns3:_="">
    <xsd:import namespace="10bd4b2b-7502-4871-ac31-8a669464ba77"/>
    <xsd:import namespace="bba6e0d8-8986-46a8-840a-25cbd90f1e26"/>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Nivel" minOccurs="0"/>
                <xsd:element ref="ns2:Seleccionado" minOccurs="0"/>
                <xsd:element ref="ns2:Verificado" minOccurs="0"/>
                <xsd:element ref="ns2:MediaServiceDateTaken"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bd4b2b-7502-4871-ac31-8a669464ba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Etiquetas de imagen" ma:readOnly="false" ma:fieldId="{5cf76f15-5ced-4ddc-b409-7134ff3c332f}" ma:taxonomyMulti="true" ma:sspId="18e90610-0864-4e8d-b551-8166776cb7d1"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Nivel" ma:index="18" nillable="true" ma:displayName="Nivel" ma:format="Dropdown" ma:internalName="Nivel">
      <xsd:simpleType>
        <xsd:restriction base="dms:Choice">
          <xsd:enumeration value="Técnico"/>
          <xsd:enumeration value="Tecnólogo"/>
          <xsd:enumeration value="Profesional"/>
          <xsd:enumeration value="Estudiante"/>
          <xsd:enumeration value="Especialización"/>
          <xsd:enumeration value="Maestría"/>
          <xsd:enumeration value="Doctorado"/>
          <xsd:enumeration value="Opción 8"/>
        </xsd:restriction>
      </xsd:simpleType>
    </xsd:element>
    <xsd:element name="Seleccionado" ma:index="19" nillable="true" ma:displayName="Selección" ma:format="Dropdown" ma:internalName="Seleccionado">
      <xsd:simpleType>
        <xsd:union memberTypes="dms:Text">
          <xsd:simpleType>
            <xsd:restriction base="dms:Choice">
              <xsd:enumeration value="NO"/>
              <xsd:enumeration value="SÍ"/>
              <xsd:enumeration value="Opcionado"/>
            </xsd:restriction>
          </xsd:simpleType>
        </xsd:union>
      </xsd:simpleType>
    </xsd:element>
    <xsd:element name="Verificado" ma:index="20" nillable="true" ma:displayName="Verificado" ma:default="0" ma:description="Si ya fue revisada por el Jefe Sección Biblioteca" ma:format="Dropdown" ma:internalName="Verificado">
      <xsd:simpleType>
        <xsd:restriction base="dms:Boolean"/>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ba6e0d8-8986-46a8-840a-25cbd90f1e2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459d1b6b-0763-4334-a2db-bbf626dbe100}" ma:internalName="TaxCatchAll" ma:showField="CatchAllData" ma:web="bba6e0d8-8986-46a8-840a-25cbd90f1e26">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8D5AC45-2A31-4D50-AC2F-FDE39845E5CB}">
  <ds:schemaRefs>
    <ds:schemaRef ds:uri="http://schemas.microsoft.com/office/2006/documentManagement/types"/>
    <ds:schemaRef ds:uri="10bd4b2b-7502-4871-ac31-8a669464ba77"/>
    <ds:schemaRef ds:uri="http://www.w3.org/XML/1998/namespace"/>
    <ds:schemaRef ds:uri="bba6e0d8-8986-46a8-840a-25cbd90f1e26"/>
    <ds:schemaRef ds:uri="http://schemas.microsoft.com/office/infopath/2007/PartnerControls"/>
    <ds:schemaRef ds:uri="http://purl.org/dc/terms/"/>
    <ds:schemaRef ds:uri="http://purl.org/dc/dcmitype/"/>
    <ds:schemaRef ds:uri="http://schemas.openxmlformats.org/package/2006/metadata/core-properties"/>
    <ds:schemaRef ds:uri="http://schemas.microsoft.com/office/2006/metadata/properties"/>
    <ds:schemaRef ds:uri="http://purl.org/dc/elements/1.1/"/>
  </ds:schemaRefs>
</ds:datastoreItem>
</file>

<file path=customXml/itemProps2.xml><?xml version="1.0" encoding="utf-8"?>
<ds:datastoreItem xmlns:ds="http://schemas.openxmlformats.org/officeDocument/2006/customXml" ds:itemID="{D743D69C-6B27-45F8-8DC7-37380A4A48F3}">
  <ds:schemaRefs>
    <ds:schemaRef ds:uri="http://schemas.microsoft.com/sharepoint/v3/contenttype/forms"/>
  </ds:schemaRefs>
</ds:datastoreItem>
</file>

<file path=customXml/itemProps3.xml><?xml version="1.0" encoding="utf-8"?>
<ds:datastoreItem xmlns:ds="http://schemas.openxmlformats.org/officeDocument/2006/customXml" ds:itemID="{D98ACF0E-E05A-4DF4-B786-64B0EF1268B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0bd4b2b-7502-4871-ac31-8a669464ba77"/>
    <ds:schemaRef ds:uri="bba6e0d8-8986-46a8-840a-25cbd90f1e2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Contenido</vt:lpstr>
      <vt:lpstr>A. Uso_Servicios CRAI+desglose</vt:lpstr>
      <vt:lpstr>B. Colecciones_bibliográficas</vt:lpstr>
      <vt:lpstr>C Colección_impresa_ubicación</vt:lpstr>
      <vt:lpstr>D. Biblioteca_digital_BDIGITAL</vt:lpstr>
      <vt:lpstr>E. Colección_digital_RIUD</vt:lpstr>
      <vt:lpstr>F.CRAI+2_Alianza Interbiblio</vt:lpstr>
      <vt:lpstr>H.CRAI+11_Plan_formación</vt:lpstr>
      <vt:lpstr>I. Infraestructura Biblioteca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ALEJANDRO</dc:creator>
  <cp:keywords/>
  <dc:description/>
  <cp:lastModifiedBy>norclebe@hotmail.com</cp:lastModifiedBy>
  <cp:revision/>
  <dcterms:created xsi:type="dcterms:W3CDTF">2018-07-16T15:43:24Z</dcterms:created>
  <dcterms:modified xsi:type="dcterms:W3CDTF">2025-09-18T16:22:24Z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0x010100C0D87BC49A8D414BAC6142E4534BA87F</vt:lpwstr>
  </property>
  <property fmtid="{D5CDD505-2E9C-101B-9397-08002B2CF9AE}" pid="3" name="MediaServiceImageTags">
    <vt:lpwstr/>
  </property>
</Properties>
</file>