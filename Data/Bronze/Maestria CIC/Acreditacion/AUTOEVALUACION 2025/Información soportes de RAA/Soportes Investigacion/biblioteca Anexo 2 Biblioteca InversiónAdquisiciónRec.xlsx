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rcl\OneDrive\Documentos\2025\UNIVERSIDAD DISTRITAL\30.6 Acreditación\Facultad de Ingenieria\4. MAESTRIA EN CIENCIAS DE LA INFORMACION Y LAS COMUNICACIONES\"/>
    </mc:Choice>
  </mc:AlternateContent>
  <bookViews>
    <workbookView xWindow="0" yWindow="0" windowWidth="20490" windowHeight="7620" tabRatio="923"/>
  </bookViews>
  <sheets>
    <sheet name="Contenido" sheetId="5" r:id="rId1"/>
    <sheet name="A. Inversion " sheetId="9" r:id="rId2"/>
    <sheet name="B. Proyección_inversión" sheetId="10" r:id="rId3"/>
    <sheet name="C. Adquisición_biblioteca" sheetId="7" r:id="rId4"/>
    <sheet name="D. Adquisición_suscripción BD" sheetId="1" r:id="rId5"/>
    <sheet name="E. Adquisición_Impresa" sheetId="2" r:id="rId6"/>
    <sheet name="F.Adquisión_suscripción_Proyect" sheetId="13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j4wu2iymBS1kb05+OmcVqr0qg/Gw=="/>
    </ext>
  </extLst>
</workbook>
</file>

<file path=xl/calcChain.xml><?xml version="1.0" encoding="utf-8"?>
<calcChain xmlns="http://schemas.openxmlformats.org/spreadsheetml/2006/main">
  <c r="D15" i="9" l="1"/>
  <c r="D13" i="9"/>
</calcChain>
</file>

<file path=xl/sharedStrings.xml><?xml version="1.0" encoding="utf-8"?>
<sst xmlns="http://schemas.openxmlformats.org/spreadsheetml/2006/main" count="972" uniqueCount="400">
  <si>
    <t>UNIDAD DE BIBLIOTECA</t>
  </si>
  <si>
    <t>BIBLIOTECA INVERSIÓN Y ADQUISICIÓN RECURSOS BIBLIOGRÁFICOS</t>
  </si>
  <si>
    <t>Contenido</t>
  </si>
  <si>
    <t>Ir a la fecha que requiera información. Dar clic</t>
  </si>
  <si>
    <t>Universidad Distrital Francisco José de Caldas 
Proceso Reacreditación programas ante CNA
Cuadros maestros seguimiento (Determinados por el Comité Institucional de Autoevaluación)
Factor 4 Característica 24
INVERSIÓN REALIZADA EN RECURSOS BIBLIOGRÁFICOS</t>
  </si>
  <si>
    <t>Año</t>
  </si>
  <si>
    <t>Semestre</t>
  </si>
  <si>
    <t>Monto ($)</t>
  </si>
  <si>
    <t>Proceso</t>
  </si>
  <si>
    <t>Observaciones</t>
  </si>
  <si>
    <t>Lista de ejemplares</t>
  </si>
  <si>
    <t xml:space="preserve">I </t>
  </si>
  <si>
    <t xml:space="preserve">1. Ambientalex.info
2. Naxos Music </t>
  </si>
  <si>
    <t>1.1 Contratar la suscripción a bases de datos, publicaciones seriadas y
periódicas</t>
  </si>
  <si>
    <t>1. AMBIENTALEX.INFO 3.000 documentos entre journals, normas 
2. NAXOS MUSIC LIBRARY con cerca de +2’000.000 millones.
   NAXOS MUSIC LIBRARY JAZZ e +250.000 pistas (de cerca de 22.000 álbumes y 32.000 artistas) 
   NAXOS SHEET MUSIC es 40.000 partituras</t>
  </si>
  <si>
    <t>II</t>
  </si>
  <si>
    <t xml:space="preserve">1. Consortia 
2. Ebsco host 
3. E Collection ICONTEC 
</t>
  </si>
  <si>
    <t>1. CONSORTIA 384.297
2. Ebsco Host  185.430
3. ICONTEC rango de 4000 a 5000</t>
  </si>
  <si>
    <t xml:space="preserve">1. Pasa la Pagina </t>
  </si>
  <si>
    <t>1.1. Contratar la suscripción a bases de datos bibliográficas especializadas o multidisciplinaria</t>
  </si>
  <si>
    <t xml:space="preserve">1. PasaLaPágina presenta un kiosco digital  con más de 310 revistas nacionales e internacionales, como: National Geographic, P&amp;M, Arcadia, Portafolio, Forbes (Colombia, Centro América y México), Axxis, MUY (Historia, Interesante), Roling Stone, Habitar, AD entre otras; todas ellas idénticas a la edición impresa. </t>
  </si>
  <si>
    <t xml:space="preserve">1.EUREKA
2.Mc Graw Hill 
3.EBSCO e-Books
4.Digital Content
5.Digitalia publishing
6. ECOE </t>
  </si>
  <si>
    <t>1.2 Adquirir material bibliográfico (libros) en todos los formatos para la
dotación de unidades de información y el fortalecimiento de las áreas
del conocimiento</t>
  </si>
  <si>
    <t xml:space="preserve">1. EUREKA 8 ebooks Enfermeria 
2. Mc Graw Hill 12 ebooks enfermeria 
3. EBSCO EBOOKS 17 ebooks Enfermeria 
4. Digital 7/24     9 ebooks enfermeria 
5. Digitalia Publishing 64.193 ebooks multidisciplinarios 
6. ECOE 31  ebooks multidisciplinarios 
</t>
  </si>
  <si>
    <t>TOTAL 2024</t>
  </si>
  <si>
    <t>Toda la Vigencia</t>
  </si>
  <si>
    <t xml:space="preserve">1. Consortia
2. Ambientalex.info
3. Naxos Music </t>
  </si>
  <si>
    <t>Contratar la suscripción a bases de datos, publicaciones seriadas y periódicas</t>
  </si>
  <si>
    <t xml:space="preserve">
-Springer (12.568) [2.328 SpringerLink, 47 Revistas Palgrave all,21 Revistas Adis All, 37 Revistas Academic journals, 10.135 eBooks Colección Nature].
-Sage (6.556) [ 1.126 Premier Journals Collection, 5.430 eBooks año 2023].
-Science Direct (2.321), Taylor &amp; Francis (1.231); Oxford University (469 Journals)
-Ambientalex .info (79.079) [Inf tecnolò 4.546;  guìas 838, normatividad 7.414; jurisprudencia 47.842; còdigos 18;  noticias 18.197; Derecho pùblico 224]
-Naxos Music Library  (2.000.000)</t>
  </si>
  <si>
    <t>Adquirir Material Bibliográfico impreso, e-books a perpetuidad</t>
  </si>
  <si>
    <t>Total 2023</t>
  </si>
  <si>
    <t xml:space="preserve">*Consortia
*Education Collection
*Digitalia Hispanica
*IOP Science
</t>
  </si>
  <si>
    <t>* Consorcio Colombia: 24.754 libros y 8,347 revistas (Elsevier, OUP, Sage, Springer, T&amp;F)
* Education Collection - contenidos científicos (Proquest Colombia S.A.S) mas de 1.000 revistas a texto completo con 18.000 disertaciones
* Digitalia Hispanica - Films Library  - Libros y revistas Electrónicos 50.000 e-documentos en español y en texto completo (Digitalia Hispanica) 1.452 títulos en streaming ( Digitalia Films LIbrary)
Elsevier = Sciencia Direct - Journals Freedom - Collection - Scopus
OUP = Oxford University 
Sage = Sage Premier - Journals / 
Sage Knowledge
T&amp;F =  Taylor &amp; Francis - Science &amp; Technology</t>
  </si>
  <si>
    <t xml:space="preserve">
</t>
  </si>
  <si>
    <t xml:space="preserve">Total 2022 </t>
  </si>
  <si>
    <t>I</t>
  </si>
  <si>
    <t>Suscripción de los recursos electrónicos a traves del Consorcio Colombia Consortia/ASCUN</t>
  </si>
  <si>
    <t>Elsevier revistas freedom Colletion=2257
Oxford= revistas 469 
sage premier= revistas 1104
Springer Nature= Revistar 47
Springer Link: Revistas 2152
Taylos &amp; Francys = Revistas 2225
SAGE libros=5207
Springer Libros=29502</t>
  </si>
  <si>
    <t>Suscripción a Bases de Datos de Contenido Electrónico -en ejecución</t>
  </si>
  <si>
    <t>Adquisición Material bibliográfico impreso, E-books a perpetuidad (suscripción periodicos digitales y suscripción Ebooks-Digitalia)</t>
  </si>
  <si>
    <t>Alpha Cloud=152
Mc Graw Hill=197
 Biblioteca Virtual E-Books 7/24 Digital Content  ( Ebboks de diferentes editoriales)= 276 títulos</t>
  </si>
  <si>
    <t>Total 2021</t>
  </si>
  <si>
    <t>Adquisición Material bibliográfico impreso, E-books a perpetuidad /(Suscripción de Bibliotecas Digitales)</t>
  </si>
  <si>
    <t>Listado de libros se verifica en el OPAC. Catalogo Udistrital
Aplica para toda la Comunidad Académica en el Campus o fuera de él. Acceso por medio de la Plataforma Biblioteca http://biblioteca.udistrital.edu.co/F?RN=891476629
Listado de bases de datos - recursos electrónicos se consultas el BDIGITAL Udistrital
El acceso es con documento de identidad de cada estudiante o docente registrado y con su clave respectiva.</t>
  </si>
  <si>
    <t>TOTAL 2020</t>
  </si>
  <si>
    <t>TOTAL 2019</t>
  </si>
  <si>
    <t>Material bibliográfico impreso, E-books a perpetuidad</t>
  </si>
  <si>
    <t>Suscripciones periodicas y publicaciones Seriadas (Periodicos impresos por Biblioteca y 1 digital)</t>
  </si>
  <si>
    <t>TOTAL 2018</t>
  </si>
  <si>
    <t>Inversión Material Impreso. - Otrosi</t>
  </si>
  <si>
    <t>III</t>
  </si>
  <si>
    <t>Recursos Electrónicos Subscripción. Bases de datos.</t>
  </si>
  <si>
    <t>TOTAL 2017</t>
  </si>
  <si>
    <t>Inversión Material Impreso. En Ejecución</t>
  </si>
  <si>
    <t>TOTAL 2016</t>
  </si>
  <si>
    <t>Inversión Material Impreso.</t>
  </si>
  <si>
    <t>TOTAL 2015</t>
  </si>
  <si>
    <t>TOTAL 2014</t>
  </si>
  <si>
    <t>TOTAL 2013</t>
  </si>
  <si>
    <t>TOTAL 2012</t>
  </si>
  <si>
    <t>Nota. Datos generales del Sistema de Biblioteca. Aplica a todas las Facultades. Fecha actualización 25 junio 2024</t>
  </si>
  <si>
    <t>UNIVERSIDAD DISTRITAL FRANCISCO JOSÉ DE CALDAS</t>
  </si>
  <si>
    <t>ADQUISICIONES (Factor 4 Característica 24)</t>
  </si>
  <si>
    <t xml:space="preserve">PROYECCIÓN DE INVERSIÓN DE RECURSOS PARA FUTURAS VIGENCIAS </t>
  </si>
  <si>
    <t>RECURSOS</t>
  </si>
  <si>
    <t>Bases de datos suscritas</t>
  </si>
  <si>
    <t>X</t>
  </si>
  <si>
    <t>Libros electrónicos</t>
  </si>
  <si>
    <t>Recursos físicos /impresos</t>
  </si>
  <si>
    <t>Soporte y mantenimiento sistemas de información</t>
  </si>
  <si>
    <t>Adquisición de Equipos para labores de biblioteca</t>
  </si>
  <si>
    <t>AÑO</t>
  </si>
  <si>
    <t>Entidad</t>
  </si>
  <si>
    <t>Objeto del acuerdo, convenio o contrato</t>
  </si>
  <si>
    <t>Número de beneficiarios</t>
  </si>
  <si>
    <t>Año en el cual se iniciara la gestión</t>
  </si>
  <si>
    <t>Periodo estimado de la duración del acuerdo, convenio y/o contrato</t>
  </si>
  <si>
    <t>Impacto esperado al suscribir este acuerdo, convenio y/o contrato</t>
  </si>
  <si>
    <t>Convenio Consortia</t>
  </si>
  <si>
    <t>Usuario Autorizado" para poder tener acceso y uso a las bases de datos de artículos, fragmentos, resúmenes, apartes de capítulos, demás documentos y publicaciones denominados PRODUCTOS</t>
  </si>
  <si>
    <t>Comunidad Académica</t>
  </si>
  <si>
    <t>Un año</t>
  </si>
  <si>
    <t>Fortalecimiento a la investigación</t>
  </si>
  <si>
    <t>Contrato</t>
  </si>
  <si>
    <t>Ordenes de Servicios Suscripción Bases de Datos y Bibliotecas digitales
Servicios de Descubrimiento</t>
  </si>
  <si>
    <t xml:space="preserve">Fortalecimiento a los procesos de investigación y autoaprendizaje  </t>
  </si>
  <si>
    <t>Soporte mantenimiento Citrix</t>
  </si>
  <si>
    <t>Soporte escritorios virtuales</t>
  </si>
  <si>
    <t>Soporte y mantenimiento Repositorio institucional RIUD</t>
  </si>
  <si>
    <t xml:space="preserve">Divulgación de producción academica </t>
  </si>
  <si>
    <t xml:space="preserve">Divulgación de la colección a traves del catalogo en linea </t>
  </si>
  <si>
    <t>Suscripción Herramienta Estadísticas</t>
  </si>
  <si>
    <t xml:space="preserve">Permite identificar el uso de los recursos electrónicos </t>
  </si>
  <si>
    <t>Adquisición de RFID para Ensueño</t>
  </si>
  <si>
    <t>8 meses</t>
  </si>
  <si>
    <t>Adquisición de Equipos Computadores</t>
  </si>
  <si>
    <t>Disponibilidad de equipos tecnológicos actualizados</t>
  </si>
  <si>
    <t>Convenio Interadministrativo Universidad nacional</t>
  </si>
  <si>
    <t>Adquisición de material Bibliográfico impreso</t>
  </si>
  <si>
    <t>seis (6) meses</t>
  </si>
  <si>
    <t>Fortalecimiento de las colecciones del Sistema Bibliotecas</t>
  </si>
  <si>
    <t xml:space="preserve">Herramienta que permite recuperar la información unificando las colecciones en un solo sitio  </t>
  </si>
  <si>
    <t>Divulgación de la memoria institucional</t>
  </si>
  <si>
    <t xml:space="preserve">Divulgación de la colección a traves del catalogo en línea </t>
  </si>
  <si>
    <t>Adquisición Sistema de Seguridad Biblioteca ingeniería</t>
  </si>
  <si>
    <t>Acuerdo Consortia</t>
  </si>
  <si>
    <t xml:space="preserve">Permite mantener en buen funcionamiento el servicios del Sistema de Bibliotecas </t>
  </si>
  <si>
    <t xml:space="preserve">Actualizar las colecciones del Sistema de Bibliotecas </t>
  </si>
  <si>
    <t>Soporte y mantenimiento Repositorios</t>
  </si>
  <si>
    <t>Adquisición de equipos computadores</t>
  </si>
  <si>
    <t xml:space="preserve">Actualización de parque tecnologico </t>
  </si>
  <si>
    <t xml:space="preserve">Permite identificar el uso de los recursos electronicos </t>
  </si>
  <si>
    <t>Preservación de colecciones bibliográficas impresas - desinfección especializada</t>
  </si>
  <si>
    <t>Conservación de colecciones - digitalización</t>
  </si>
  <si>
    <t>Preservación de colecciones-adquisición de papelería especializada.</t>
  </si>
  <si>
    <t xml:space="preserve">Autopréstamo y Autodevolución </t>
  </si>
  <si>
    <t>ID_BIBLIOTECA</t>
  </si>
  <si>
    <t>NOMBRE_BIBLIOTECA</t>
  </si>
  <si>
    <t>SEDE_BIBLIOTECA</t>
  </si>
  <si>
    <t>NUM_VOLUMENES_PROPIOS IMPRESO</t>
  </si>
  <si>
    <t>NUM_TITULOS_PUBLIC_PERIODICAS</t>
  </si>
  <si>
    <t>NUM_BASE_DATOS_ESPECIALIZADAS</t>
  </si>
  <si>
    <t>TIENE_ALIANZA_OTRAS_BIBLIOTECA</t>
  </si>
  <si>
    <t>TIENE_BIBLIOTECA_DIGITAL</t>
  </si>
  <si>
    <t>NUM_REFERENCIAS_ELECTRONICAS</t>
  </si>
  <si>
    <t>NUM_LIBROS_ELECTRONICOS</t>
  </si>
  <si>
    <t>NUM_TITULOS_ADQUIRIDOS</t>
  </si>
  <si>
    <t>NUM_VOLUMENES_ADQUIRIDOS</t>
  </si>
  <si>
    <t>NUM_TITULOS_PROPIOS DIGITALES</t>
  </si>
  <si>
    <t>Bibloteca Antonio Nariño</t>
  </si>
  <si>
    <t>Sede Asab - Facultad de Artes ASAB</t>
  </si>
  <si>
    <t>S</t>
  </si>
  <si>
    <t>Biblioteca Camilo Torres</t>
  </si>
  <si>
    <t>Sede Macarena A  - Facultad Ciencias y Educación</t>
  </si>
  <si>
    <t> </t>
  </si>
  <si>
    <t>Biblioteca Heliodoro Sánchez</t>
  </si>
  <si>
    <t>Sede Ciudadela Universitaria El Porvenir</t>
  </si>
  <si>
    <t>Biblioteca Facultad Ingeniería</t>
  </si>
  <si>
    <t>Sede la 40 - Facultad de Ingeniería</t>
  </si>
  <si>
    <t>Biblioteca Facultad Medio Ambiente</t>
  </si>
  <si>
    <t>Sede Vivero - Facultad de Medio Ambiente y Recursos Naturales</t>
  </si>
  <si>
    <t>Biblioteca Jairo Aníbal Niño</t>
  </si>
  <si>
    <t>Sede Macarena B - Facultad de Ciencias y Educación</t>
  </si>
  <si>
    <t>Biblioteca Ramon D' Luyz Nieto</t>
  </si>
  <si>
    <t>Sede - Aduanilla de Paiba</t>
  </si>
  <si>
    <t>Biblioteca Ricardo Pirajan Cantillo</t>
  </si>
  <si>
    <t>Sede Tecnologíca.- Edifico Lectus - Facultad Tecnológica</t>
  </si>
  <si>
    <t>Biblioteca sede posgrados</t>
  </si>
  <si>
    <t>Sede Posgrados - Facultad Ciencias y Educación</t>
  </si>
  <si>
    <t>**10</t>
  </si>
  <si>
    <t>Unidad de Biblioteca</t>
  </si>
  <si>
    <t>Sede Aduanilla de Paiba</t>
  </si>
  <si>
    <t>No aplica</t>
  </si>
  <si>
    <t>Biblioteca Ciencias, Matemáticas y Naturales</t>
  </si>
  <si>
    <t>Sede ECCI</t>
  </si>
  <si>
    <t>Centro de documentación de Artes</t>
  </si>
  <si>
    <t>Centro de documentación Sociales</t>
  </si>
  <si>
    <t>Sede Macarena A - Facultad de Ciecias y Educación</t>
  </si>
  <si>
    <t>Instituto de Lenguas de la Universidad</t>
  </si>
  <si>
    <t>Sede Instituto de lenguas ILUD</t>
  </si>
  <si>
    <t>Herbario</t>
  </si>
  <si>
    <t>Sede Vivero - Facultad de Medio Ambiente</t>
  </si>
  <si>
    <t>TOTAL SISTEMA BIBLIOTECAS</t>
  </si>
  <si>
    <t>Datos propios de Sistema de Bibliotecas. Fecha 30 de junio 2025
* NUM_BASE_DATOS_ESPECIALIZADA: Son bases de datos multidisciplinar por tanto se pueden utilizar desde cualquier usuario de facultad. El número no se puede sumar para totalizar es igual para todos.
**Unidad de Biblioteca: Es la dependencia que integra todas las Bibliotecas y Unidades de Información. No aplica el diligenciamiento de datos ya que seria igual a la sumatoria de los datos de todas las bibliotecas. 
***NUM_REFERENCIAS_ELECTRONICAS: Se interpreta como el total de recursos bibliográficos disponibles en línea: libros, revistas, informes, mapas, diccionarios, multimedia, periódicos, normas entre otros.
****NUM_TITULOS_PROPIOS: se refiere al título (único) de la obra que se cita adquiridos por compra por Unidad de Biblioteca.</t>
  </si>
  <si>
    <t>ADQUISICIÓN POR SUSCRIPCIÓN</t>
  </si>
  <si>
    <t>Consulta BDIGITAL en:</t>
  </si>
  <si>
    <t>https://bibliotecas.udistrital.edu.co/ud/bdigital2/subjects/index.php</t>
  </si>
  <si>
    <t>Consulta estadísticas ELOGIM:</t>
  </si>
  <si>
    <t>https://udistrital.elogim.com/</t>
  </si>
  <si>
    <t>RECURSO</t>
  </si>
  <si>
    <t>Recurso adquirido por suscripción 2018</t>
  </si>
  <si>
    <t>Recurso adquirido por suscripción
2019</t>
  </si>
  <si>
    <t>Recurso adquirido por suscripción
2020</t>
  </si>
  <si>
    <t>Recurso adquirido por suscripción
2021</t>
  </si>
  <si>
    <t>Recurso adquirido por suscripción
2022</t>
  </si>
  <si>
    <t>Recurso adquirido por suscripción
2023</t>
  </si>
  <si>
    <t>Recurso adquirido por suscripción
2024</t>
  </si>
  <si>
    <t>Recurso adquirido por suscripción
2025</t>
  </si>
  <si>
    <t>CONSORTIA</t>
  </si>
  <si>
    <t>SCIENCE DIRECT (Elsevier)</t>
  </si>
  <si>
    <t>x</t>
  </si>
  <si>
    <t>SCOPUS (Elsevier) (**Usos)</t>
  </si>
  <si>
    <t>OXFORD UNIVERSTY</t>
  </si>
  <si>
    <t>TAYLOR &amp; FRANCIS GROUP</t>
  </si>
  <si>
    <t>SPRINGER LINK</t>
  </si>
  <si>
    <t>SPRINGER EBOOKS (*descargas)</t>
  </si>
  <si>
    <t>SPRINGER NATURE (descargas)</t>
  </si>
  <si>
    <t>SAGE JOURNALS</t>
  </si>
  <si>
    <t>SAGE KNOWLEDGE</t>
  </si>
  <si>
    <t>SAGE Ebooks</t>
  </si>
  <si>
    <t>PASA LA PAGINA</t>
  </si>
  <si>
    <t>NEW BANKS</t>
  </si>
  <si>
    <t>PUBLICIENCIA</t>
  </si>
  <si>
    <t>ACM</t>
  </si>
  <si>
    <t>ENVIRONMENTAL</t>
  </si>
  <si>
    <t>FORESTRY</t>
  </si>
  <si>
    <t>INFOLINK</t>
  </si>
  <si>
    <t>NAXOS (**usos)</t>
  </si>
  <si>
    <t>Naxos Music Library</t>
  </si>
  <si>
    <t>Naxos Sheet Music</t>
  </si>
  <si>
    <t>E-Global Services</t>
  </si>
  <si>
    <t>AMBIENTALEX</t>
  </si>
  <si>
    <t>ICONTEC</t>
  </si>
  <si>
    <t>E-NORMAS</t>
  </si>
  <si>
    <t>PROQUEST</t>
  </si>
  <si>
    <t>ERIC PLUS</t>
  </si>
  <si>
    <t>EDUCATION COLLECTION</t>
  </si>
  <si>
    <t>DOT LIB</t>
  </si>
  <si>
    <t>SPRINGER</t>
  </si>
  <si>
    <t>JSTOR</t>
  </si>
  <si>
    <t>ITMS GROUP</t>
  </si>
  <si>
    <t>SCIENCE MAGAZINE</t>
  </si>
  <si>
    <t>IOP</t>
  </si>
  <si>
    <t xml:space="preserve">Iop Science </t>
  </si>
  <si>
    <t>PEARSON</t>
  </si>
  <si>
    <t>BIBLIOTECA VIRTUAL PEARSON</t>
  </si>
  <si>
    <t>MAGISTERIO</t>
  </si>
  <si>
    <t xml:space="preserve">BIBLIOTECA VIRTUAL MAGISTERIO  </t>
  </si>
  <si>
    <t>CENGAGE</t>
  </si>
  <si>
    <t>ACADEMIC ONE FILE</t>
  </si>
  <si>
    <t>INFORME ACADEMICO</t>
  </si>
  <si>
    <t>BRITANNICA</t>
  </si>
  <si>
    <t>Britannica Image Quest</t>
  </si>
  <si>
    <t xml:space="preserve">Britannica Academic </t>
  </si>
  <si>
    <t>Britannica Moderna</t>
  </si>
  <si>
    <t>Digitalia</t>
  </si>
  <si>
    <t>Digitalia - Digitalia Hispanica</t>
  </si>
  <si>
    <t>Thomson Reuters</t>
  </si>
  <si>
    <t>Web of Science</t>
  </si>
  <si>
    <t>EBSCO (**usos)</t>
  </si>
  <si>
    <t>IEEE</t>
  </si>
  <si>
    <t>Academic Search Complete</t>
  </si>
  <si>
    <t>Business Source Complete</t>
  </si>
  <si>
    <t xml:space="preserve">Fuente Académica Premier </t>
  </si>
  <si>
    <t>Environment Complete</t>
  </si>
  <si>
    <t>SPORTDISCUSS With Full Text</t>
  </si>
  <si>
    <t>International Bibliography of Theatre &amp; Dance with Full Text</t>
  </si>
  <si>
    <t>ART SOURCE</t>
  </si>
  <si>
    <t>MUSIC INDEX</t>
  </si>
  <si>
    <t>Engineering Source</t>
  </si>
  <si>
    <t>APPLIED SCIENCE AND TECHNOLOGY SOURCE</t>
  </si>
  <si>
    <t>SCIENCE FULL TEXT</t>
  </si>
  <si>
    <t>EDUCATION SOURCE</t>
  </si>
  <si>
    <t>Green file</t>
  </si>
  <si>
    <t>RILM</t>
  </si>
  <si>
    <t>BIOLOGY ABSTRACTS</t>
  </si>
  <si>
    <t>History of Science, Technology and Medicine</t>
  </si>
  <si>
    <t>eBook Academic Collection</t>
  </si>
  <si>
    <t>Humanities Interna-tional Complete-Humanidades</t>
  </si>
  <si>
    <t>MasterFILE</t>
  </si>
  <si>
    <t>Newspaper Source</t>
  </si>
  <si>
    <t>Regional Businees News</t>
  </si>
  <si>
    <t>MC GRAW HILL</t>
  </si>
  <si>
    <t>McGraw-Hill Interamericana</t>
  </si>
  <si>
    <t>ALFAOMEGA</t>
  </si>
  <si>
    <t>alfaomega Icloud - Alpha Editorial Cloud</t>
  </si>
  <si>
    <t>ELSEVIER</t>
  </si>
  <si>
    <t>REAXYS</t>
  </si>
  <si>
    <t>USA LIBROS</t>
  </si>
  <si>
    <t>Ebooks digitalia</t>
  </si>
  <si>
    <t>Libros leídos</t>
  </si>
  <si>
    <t xml:space="preserve">Ejournals </t>
  </si>
  <si>
    <t>Libros prestados</t>
  </si>
  <si>
    <t>Ejournals leídos</t>
  </si>
  <si>
    <t>Documentales</t>
  </si>
  <si>
    <t>Films</t>
  </si>
  <si>
    <t>EBOOKS 7/24</t>
  </si>
  <si>
    <t>Cengage 61</t>
  </si>
  <si>
    <t>Diaz de Santos 32</t>
  </si>
  <si>
    <t>Ediciones de la U 123</t>
  </si>
  <si>
    <t>IC Editorial 53</t>
  </si>
  <si>
    <t>Pearson Educación 141</t>
  </si>
  <si>
    <t>Editorial Brujas</t>
  </si>
  <si>
    <t>Narcea</t>
  </si>
  <si>
    <t>Paraninfo</t>
  </si>
  <si>
    <t>ECOE</t>
  </si>
  <si>
    <t>Manual Moderno</t>
  </si>
  <si>
    <t>Siglo del Hombre 70</t>
  </si>
  <si>
    <t>ZENTRALBLATT</t>
  </si>
  <si>
    <t>zbMATH</t>
  </si>
  <si>
    <t>EDITORIAL MEDICA PANAMERICANA</t>
  </si>
  <si>
    <t>Eureka</t>
  </si>
  <si>
    <t>Digitalia Publishing</t>
  </si>
  <si>
    <t>Ebooks Consultados</t>
  </si>
  <si>
    <t>Libros leídos (**usos)</t>
  </si>
  <si>
    <t>Libros prestados (***descargas)</t>
  </si>
  <si>
    <t>Ejournals Consultados</t>
  </si>
  <si>
    <t>Films consultados</t>
  </si>
  <si>
    <t>Films visionados (**usos)</t>
  </si>
  <si>
    <t xml:space="preserve">Documentales mas consultados </t>
  </si>
  <si>
    <t xml:space="preserve">Documentales mas visionados </t>
  </si>
  <si>
    <t>EJEMPLARES ADQUIRIDOS POR COMPRA POR PROYECTO CURRICULAR Y DISPONIBLES EN LA BIBLIOTECA</t>
  </si>
  <si>
    <r>
      <rPr>
        <sz val="10"/>
        <color theme="1"/>
        <rFont val="Arial Narrow"/>
        <family val="2"/>
      </rPr>
      <t xml:space="preserve">La consulta de ejemplares se realiza por medio del  catalogo en línea: </t>
    </r>
    <r>
      <rPr>
        <u/>
        <sz val="10"/>
        <color rgb="FF000000"/>
        <rFont val="Arial Narrow"/>
        <family val="2"/>
      </rPr>
      <t xml:space="preserve">http://biblioteca.udistrital.edu.co/F?RN=846917571. </t>
    </r>
    <r>
      <rPr>
        <sz val="10"/>
        <color rgb="FF000000"/>
        <rFont val="Arial Narrow"/>
        <family val="2"/>
      </rPr>
      <t xml:space="preserve">Consultar </t>
    </r>
    <r>
      <rPr>
        <u/>
        <sz val="10"/>
        <color rgb="FF000000"/>
        <rFont val="Arial Narrow"/>
        <family val="2"/>
      </rPr>
      <t xml:space="preserve">GIB-PR-005-GUI-002, Guía de Uso del Catálogo en Línea </t>
    </r>
    <r>
      <rPr>
        <sz val="10"/>
        <color rgb="FF000000"/>
        <rFont val="Arial Narrow"/>
        <family val="2"/>
      </rPr>
      <t xml:space="preserve">     </t>
    </r>
  </si>
  <si>
    <t>FACULTAD</t>
  </si>
  <si>
    <t>TOTAL EJEMPLARES</t>
  </si>
  <si>
    <t>Porcentaje de Adquisición por Compra</t>
  </si>
  <si>
    <t>FACULTAD DE ARTES-ASAB</t>
  </si>
  <si>
    <t>FACULTAD DE CIENCIAS Y EDUCACION</t>
  </si>
  <si>
    <t>FACULTAD DE INGENIERIA</t>
  </si>
  <si>
    <t>FACULTAD DE MEDIO AMBIENTE Y RECURSOS NATURALES</t>
  </si>
  <si>
    <t>FACULTAD DE TECNOLOGICA</t>
  </si>
  <si>
    <t>FACULTAD CIENCIAS MATEMATICAS Y NATURALES</t>
  </si>
  <si>
    <t>FACULTAD DE CIENCIAS DE LA SALUD</t>
  </si>
  <si>
    <t>TOTAL</t>
  </si>
  <si>
    <t xml:space="preserve">                         -  </t>
  </si>
  <si>
    <t xml:space="preserve">                           -  </t>
  </si>
  <si>
    <t xml:space="preserve">             -  </t>
  </si>
  <si>
    <t>Porcentaje de Adquisición por Suscripción</t>
  </si>
  <si>
    <t>SERVICIOS CRAI+10: RECURSOS ADQUIRIDOS_SUSCRIPCIÓN BASES DE DATOS  POR PROYECTO CURRICULAR Y DISPONIBLES EN LA BIBLIOTECA</t>
  </si>
  <si>
    <t>Base de datos</t>
  </si>
  <si>
    <t>Academic Search Complete (EBSCO)</t>
  </si>
  <si>
    <t>AGRIS</t>
  </si>
  <si>
    <t>Ambientalex</t>
  </si>
  <si>
    <t>Applied Science &amp; Technology Full Text (H.W. Wilson) (EBSCO)</t>
  </si>
  <si>
    <t>Art &amp; Architecture Source (EBSCO)</t>
  </si>
  <si>
    <t>ArXiv</t>
  </si>
  <si>
    <t>Banco de Imágenes de Bogotá</t>
  </si>
  <si>
    <t>Biblioteca Digital Mundial</t>
  </si>
  <si>
    <t>Biblioteca Jurídica Virtual – ASTREA</t>
  </si>
  <si>
    <t>BioOne </t>
  </si>
  <si>
    <t>Business Source Complete (EBSCO)</t>
  </si>
  <si>
    <t xml:space="preserve">	CAS SciFinder Discovery Platform</t>
  </si>
  <si>
    <t>Celsius</t>
  </si>
  <si>
    <t>CINEP</t>
  </si>
  <si>
    <t>CLACSO</t>
  </si>
  <si>
    <t>Dialnet</t>
  </si>
  <si>
    <t>Digitalia Films Library</t>
  </si>
  <si>
    <t>Digitalia Hispanica</t>
  </si>
  <si>
    <t>DOAJ</t>
  </si>
  <si>
    <t>E-books 7/24</t>
  </si>
  <si>
    <t>E-collection (icontec)</t>
  </si>
  <si>
    <t>E-Revistas</t>
  </si>
  <si>
    <t>EBook Collection (EBSCOhost)</t>
  </si>
  <si>
    <t>Education Source (EBSCO)</t>
  </si>
  <si>
    <t>El Cofre</t>
  </si>
  <si>
    <t>Emerald Insight</t>
  </si>
  <si>
    <t>Encyclopedia Britanica</t>
  </si>
  <si>
    <t>Environment Complete (EBSCO)</t>
  </si>
  <si>
    <t>Eprints In Library And Information Science</t>
  </si>
  <si>
    <t>ERIC</t>
  </si>
  <si>
    <t>EUREKA</t>
  </si>
  <si>
    <t>F1000Investigación</t>
  </si>
  <si>
    <t>agris fao</t>
  </si>
  <si>
    <t>Freebooks4doctors</t>
  </si>
  <si>
    <t>Fuente Académica Plus (EBSCO)</t>
  </si>
  <si>
    <t>GreenFILE (EBSCO)</t>
  </si>
  <si>
    <t>Herbario Forestal UDBC</t>
  </si>
  <si>
    <t>Highwire</t>
  </si>
  <si>
    <t>History of Science, Technology and Medicine (EBSCO)</t>
  </si>
  <si>
    <t>International Bibliography of Theatre &amp; Dance with Full Text (EBSCO)</t>
  </si>
  <si>
    <t>IOP Science</t>
  </si>
  <si>
    <t>IPNI</t>
  </si>
  <si>
    <t>Jstor OS</t>
  </si>
  <si>
    <t>Latindex</t>
  </si>
  <si>
    <t>Library, Information Science &amp; Technology Abstracts (EBSCO)</t>
  </si>
  <si>
    <t>MasterFILE Elite (EBSCO)</t>
  </si>
  <si>
    <t>MasterFILE Reference eBook Collection (EBSCO)</t>
  </si>
  <si>
    <t>Mathscinet</t>
  </si>
  <si>
    <t>Mendeley</t>
  </si>
  <si>
    <t>MIAR</t>
  </si>
  <si>
    <t>Nature</t>
  </si>
  <si>
    <t>Naxos Music Jazz</t>
  </si>
  <si>
    <t>Newspaper Source (EBSCO)</t>
  </si>
  <si>
    <t>O'Reilly</t>
  </si>
  <si>
    <t>Oxford Learner´s Dictionaries</t>
  </si>
  <si>
    <t>Oxford University Press</t>
  </si>
  <si>
    <t>Pasa la página</t>
  </si>
  <si>
    <t>Plants of the World Online</t>
  </si>
  <si>
    <t>Pub-med</t>
  </si>
  <si>
    <t>Publindex</t>
  </si>
  <si>
    <t>Real Academia Española</t>
  </si>
  <si>
    <t>Reaxys</t>
  </si>
  <si>
    <t>Redalyc</t>
  </si>
  <si>
    <t>REDIB (Red Iberoamericana de Innovación y Conocimiento Científico)</t>
  </si>
  <si>
    <t>Regional Business News (EBSCO)</t>
  </si>
  <si>
    <t>Revistas UNAM</t>
  </si>
  <si>
    <t>Revistas Universidad Distrital</t>
  </si>
  <si>
    <t>SAGE Books</t>
  </si>
  <si>
    <t>SAGE Publishing</t>
  </si>
  <si>
    <t>SCIELO</t>
  </si>
  <si>
    <t>Science Direct</t>
  </si>
  <si>
    <t>Scimago Institutions Rankin</t>
  </si>
  <si>
    <t>Scopus</t>
  </si>
  <si>
    <t>SIDALC (Servicios de Información Agropecuaria en las Américas)</t>
  </si>
  <si>
    <t>SJR (Scimago Journal Ranking)</t>
  </si>
  <si>
    <t>SPORTDiscus with Full Text (EBSCO)</t>
  </si>
  <si>
    <t>Springer Books</t>
  </si>
  <si>
    <t>Springer Link</t>
  </si>
  <si>
    <t>Taylor &amp; Francis</t>
  </si>
  <si>
    <t>Viref - Biblioteca Virtual de Educación Física</t>
  </si>
  <si>
    <t>VirtualPro</t>
  </si>
  <si>
    <t>Web Of Science</t>
  </si>
  <si>
    <t>Zotero</t>
  </si>
  <si>
    <t>$ 1.738.316.829</t>
  </si>
  <si>
    <t xml:space="preserve">1. Consortia
2. EBSCO HOST
3. Ambientalex. info
4. Naxos Music
5. Digitalia Publishing
6. eCollection- Icontec
7. Digital Content 7/24
</t>
  </si>
  <si>
    <t>1.1 Contratar la suscripción o compra de recursos bibliograficos digitales o impresos</t>
  </si>
  <si>
    <t>1. Consortia: 384.297
2. EBSCO HOST: 185.430
3. Ambientalex. info:  3.000 documentos entre journals, normas 
4. Naxos Music:  con cerca de +2’000.000 millones.
5. Digitalia Publishing: 7.0526 + 1.827 Digitalia Films
6. eCollection- Icontec: Rango de 501 a 1000
7. Digital Content 7/24: 238 libros electronicos</t>
  </si>
  <si>
    <t>$ 4.500.000</t>
  </si>
  <si>
    <t>1. Dewey</t>
  </si>
  <si>
    <t>1. Dewey: Relacion de los numeros de clasificacion, con acceso para 9 usuarios simultaneos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</si>
</sst>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&quot;$&quot;\ #,##0;[Red]\-&quot;$&quot;\ #,##0"/>
    <numFmt numFmtId="41" formatCode="_-* #,##0_-;\-* #,##0_-;_-* &quot;-&quot;_-;_-@_-"/>
    <numFmt numFmtId="165" formatCode="_(* #,##0_);_(* \(#,##0\);_(* &quot;-&quot;??_);_(@_)"/>
    <numFmt numFmtId="166" formatCode="_-[$$-409]* #,##0.00_ ;_-[$$-409]* \-#,##0.00\ ;_-[$$-409]* &quot;-&quot;??_ ;_-@_ "/>
    <numFmt numFmtId="167" formatCode="[$$-240A]#,##0"/>
    <numFmt numFmtId="168" formatCode="_-* #,##0\ _€_-;\-* #,##0\ _€_-;_-* &quot;-&quot;??\ _€_-;_-@"/>
  </numFmts>
  <fonts count="3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1"/>
      <color theme="1"/>
      <name val="Calibri"/>
      <family val="2"/>
    </font>
    <font>
      <u/>
      <sz val="10"/>
      <color rgb="FF000000"/>
      <name val="Arial Narrow"/>
      <family val="2"/>
    </font>
    <font>
      <sz val="10"/>
      <color rgb="FF000000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 Narrow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Arial"/>
      <family val="2"/>
    </font>
    <font>
      <sz val="8"/>
      <color theme="1"/>
      <name val="Calibri"/>
      <family val="2"/>
    </font>
    <font>
      <sz val="10"/>
      <name val="Calibri"/>
      <family val="2"/>
    </font>
    <font>
      <sz val="9"/>
      <color theme="1"/>
      <name val="&quot;Arial Narrow&quot;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0"/>
      <color rgb="FF000000"/>
      <name val="Arial Narrow"/>
      <family val="2"/>
    </font>
    <font>
      <sz val="10"/>
      <name val="Arial Narrow"/>
      <family val="2"/>
    </font>
    <font>
      <sz val="10"/>
      <color rgb="FF980000"/>
      <name val="Arial Narrow"/>
      <family val="2"/>
    </font>
    <font>
      <sz val="12"/>
      <color rgb="FFFFFFFF"/>
      <name val="Calibri"/>
      <family val="2"/>
    </font>
    <font>
      <b/>
      <sz val="10"/>
      <name val="Arial Narrow"/>
      <family val="2"/>
    </font>
    <font>
      <b/>
      <sz val="9"/>
      <color rgb="FF000000"/>
      <name val="Arial Narrow"/>
      <family val="2"/>
    </font>
    <font>
      <sz val="9"/>
      <color rgb="FF000000"/>
      <name val="Tahoma"/>
      <family val="2"/>
    </font>
    <font>
      <sz val="9"/>
      <color rgb="FF000000"/>
      <name val="Arial Narrow"/>
      <family val="2"/>
    </font>
    <font>
      <sz val="9"/>
      <name val="Calibri"/>
      <family val="2"/>
    </font>
    <font>
      <b/>
      <sz val="12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rgb="FFFDE9D9"/>
        <bgColor rgb="FFFDE9D9"/>
      </patternFill>
    </fill>
    <fill>
      <patternFill patternType="solid">
        <fgColor rgb="FFCCCCCC"/>
        <bgColor rgb="FFCCCCCC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DBE5F1"/>
      </patternFill>
    </fill>
    <fill>
      <patternFill patternType="solid">
        <fgColor theme="0" tint="-0.249977111117893"/>
        <bgColor rgb="FFB8CCE4"/>
      </patternFill>
    </fill>
    <fill>
      <patternFill patternType="solid">
        <fgColor rgb="FFFFFFFF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2" fillId="0" borderId="4"/>
    <xf numFmtId="41" fontId="2" fillId="0" borderId="4" applyFont="0" applyFill="0" applyBorder="0" applyAlignment="0" applyProtection="0"/>
    <xf numFmtId="0" fontId="10" fillId="0" borderId="4" applyNumberFormat="0" applyFill="0" applyBorder="0" applyAlignment="0" applyProtection="0"/>
    <xf numFmtId="0" fontId="10" fillId="0" borderId="4" applyNumberFormat="0" applyFill="0" applyBorder="0" applyAlignment="0" applyProtection="0"/>
  </cellStyleXfs>
  <cellXfs count="273">
    <xf numFmtId="0" fontId="0" fillId="0" borderId="0" xfId="0"/>
    <xf numFmtId="0" fontId="3" fillId="0" borderId="0" xfId="0" applyFont="1"/>
    <xf numFmtId="165" fontId="3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3" fillId="2" borderId="4" xfId="0" applyFont="1" applyFill="1" applyBorder="1"/>
    <xf numFmtId="0" fontId="4" fillId="2" borderId="4" xfId="0" applyFont="1" applyFill="1" applyBorder="1" applyAlignment="1">
      <alignment horizontal="center" wrapText="1"/>
    </xf>
    <xf numFmtId="0" fontId="3" fillId="0" borderId="4" xfId="1" applyFont="1"/>
    <xf numFmtId="0" fontId="8" fillId="7" borderId="4" xfId="1" applyFont="1" applyFill="1" applyAlignment="1">
      <alignment horizontal="center"/>
    </xf>
    <xf numFmtId="0" fontId="9" fillId="7" borderId="4" xfId="1" applyFont="1" applyFill="1"/>
    <xf numFmtId="0" fontId="3" fillId="7" borderId="4" xfId="1" applyFont="1" applyFill="1"/>
    <xf numFmtId="0" fontId="4" fillId="0" borderId="4" xfId="1" applyFont="1"/>
    <xf numFmtId="1" fontId="3" fillId="0" borderId="4" xfId="2" applyNumberFormat="1" applyFont="1" applyBorder="1"/>
    <xf numFmtId="0" fontId="11" fillId="0" borderId="4" xfId="3" applyFont="1"/>
    <xf numFmtId="0" fontId="12" fillId="0" borderId="4" xfId="1" applyFont="1"/>
    <xf numFmtId="0" fontId="2" fillId="0" borderId="4" xfId="1"/>
    <xf numFmtId="0" fontId="12" fillId="0" borderId="4" xfId="1" applyFont="1" applyAlignment="1">
      <alignment vertical="top"/>
    </xf>
    <xf numFmtId="0" fontId="3" fillId="0" borderId="4" xfId="1" applyFont="1" applyAlignment="1">
      <alignment horizontal="left" wrapText="1"/>
    </xf>
    <xf numFmtId="0" fontId="13" fillId="4" borderId="1" xfId="1" applyFont="1" applyFill="1" applyBorder="1" applyAlignment="1">
      <alignment horizontal="center" vertical="center" wrapText="1"/>
    </xf>
    <xf numFmtId="0" fontId="13" fillId="9" borderId="3" xfId="1" applyFont="1" applyFill="1" applyBorder="1" applyAlignment="1">
      <alignment horizontal="center" vertical="center" wrapText="1"/>
    </xf>
    <xf numFmtId="166" fontId="14" fillId="0" borderId="1" xfId="1" applyNumberFormat="1" applyFont="1" applyBorder="1" applyAlignment="1">
      <alignment horizontal="right" vertical="center" wrapText="1"/>
    </xf>
    <xf numFmtId="0" fontId="14" fillId="9" borderId="1" xfId="1" applyFont="1" applyFill="1" applyBorder="1" applyAlignment="1">
      <alignment horizontal="left" vertical="center" wrapText="1"/>
    </xf>
    <xf numFmtId="0" fontId="13" fillId="4" borderId="3" xfId="1" applyFont="1" applyFill="1" applyBorder="1" applyAlignment="1">
      <alignment horizontal="center" vertical="center" wrapText="1"/>
    </xf>
    <xf numFmtId="0" fontId="13" fillId="4" borderId="1" xfId="1" applyFont="1" applyFill="1" applyBorder="1" applyAlignment="1">
      <alignment horizontal="left" vertical="center" wrapText="1"/>
    </xf>
    <xf numFmtId="0" fontId="14" fillId="0" borderId="1" xfId="1" applyFont="1" applyBorder="1" applyAlignment="1">
      <alignment horizontal="left" vertical="center" wrapText="1"/>
    </xf>
    <xf numFmtId="0" fontId="15" fillId="7" borderId="1" xfId="1" applyFont="1" applyFill="1" applyBorder="1" applyAlignment="1">
      <alignment horizontal="left" vertical="center" wrapText="1"/>
    </xf>
    <xf numFmtId="6" fontId="14" fillId="0" borderId="1" xfId="1" applyNumberFormat="1" applyFont="1" applyBorder="1" applyAlignment="1">
      <alignment horizontal="left" vertical="center" wrapText="1"/>
    </xf>
    <xf numFmtId="0" fontId="14" fillId="0" borderId="1" xfId="1" applyFont="1" applyBorder="1" applyAlignment="1">
      <alignment horizontal="left" vertical="top" wrapText="1"/>
    </xf>
    <xf numFmtId="0" fontId="13" fillId="7" borderId="1" xfId="1" applyFont="1" applyFill="1" applyBorder="1" applyAlignment="1">
      <alignment horizontal="left" vertical="center" wrapText="1"/>
    </xf>
    <xf numFmtId="0" fontId="13" fillId="10" borderId="11" xfId="1" applyFont="1" applyFill="1" applyBorder="1" applyAlignment="1">
      <alignment horizontal="center" vertical="center" wrapText="1"/>
    </xf>
    <xf numFmtId="0" fontId="13" fillId="11" borderId="1" xfId="1" applyFont="1" applyFill="1" applyBorder="1" applyAlignment="1">
      <alignment horizontal="center" wrapText="1"/>
    </xf>
    <xf numFmtId="6" fontId="14" fillId="11" borderId="1" xfId="1" applyNumberFormat="1" applyFont="1" applyFill="1" applyBorder="1" applyAlignment="1">
      <alignment horizontal="right" wrapText="1"/>
    </xf>
    <xf numFmtId="0" fontId="16" fillId="11" borderId="1" xfId="1" applyFont="1" applyFill="1" applyBorder="1" applyAlignment="1">
      <alignment horizontal="left"/>
    </xf>
    <xf numFmtId="0" fontId="16" fillId="11" borderId="1" xfId="1" applyFont="1" applyFill="1" applyBorder="1" applyAlignment="1">
      <alignment horizontal="left" vertical="top" wrapText="1"/>
    </xf>
    <xf numFmtId="0" fontId="16" fillId="11" borderId="1" xfId="1" applyFont="1" applyFill="1" applyBorder="1" applyAlignment="1">
      <alignment horizontal="left" vertical="top"/>
    </xf>
    <xf numFmtId="0" fontId="14" fillId="12" borderId="1" xfId="1" applyFont="1" applyFill="1" applyBorder="1" applyAlignment="1">
      <alignment horizontal="center" vertical="center" wrapText="1"/>
    </xf>
    <xf numFmtId="6" fontId="14" fillId="0" borderId="1" xfId="1" applyNumberFormat="1" applyFont="1" applyBorder="1" applyAlignment="1">
      <alignment horizontal="right" vertical="center" wrapText="1"/>
    </xf>
    <xf numFmtId="0" fontId="17" fillId="0" borderId="4" xfId="1" applyFont="1" applyAlignment="1">
      <alignment vertical="top" wrapText="1"/>
    </xf>
    <xf numFmtId="0" fontId="13" fillId="13" borderId="1" xfId="1" applyFont="1" applyFill="1" applyBorder="1" applyAlignment="1">
      <alignment horizontal="center" vertical="center" wrapText="1"/>
    </xf>
    <xf numFmtId="3" fontId="14" fillId="0" borderId="1" xfId="1" applyNumberFormat="1" applyFont="1" applyBorder="1" applyAlignment="1">
      <alignment horizontal="left" vertical="center" wrapText="1"/>
    </xf>
    <xf numFmtId="0" fontId="12" fillId="5" borderId="4" xfId="1" applyFont="1" applyFill="1"/>
    <xf numFmtId="6" fontId="14" fillId="14" borderId="1" xfId="1" applyNumberFormat="1" applyFont="1" applyFill="1" applyBorder="1" applyAlignment="1">
      <alignment horizontal="right" vertical="center" wrapText="1"/>
    </xf>
    <xf numFmtId="0" fontId="16" fillId="14" borderId="1" xfId="1" applyFont="1" applyFill="1" applyBorder="1" applyAlignment="1">
      <alignment horizontal="left" vertical="center"/>
    </xf>
    <xf numFmtId="0" fontId="16" fillId="14" borderId="1" xfId="1" applyFont="1" applyFill="1" applyBorder="1" applyAlignment="1">
      <alignment horizontal="left" vertical="center" wrapText="1"/>
    </xf>
    <xf numFmtId="167" fontId="12" fillId="5" borderId="4" xfId="1" applyNumberFormat="1" applyFont="1" applyFill="1"/>
    <xf numFmtId="168" fontId="12" fillId="5" borderId="4" xfId="1" applyNumberFormat="1" applyFont="1" applyFill="1"/>
    <xf numFmtId="6" fontId="13" fillId="0" borderId="1" xfId="1" applyNumberFormat="1" applyFont="1" applyBorder="1" applyAlignment="1">
      <alignment horizontal="right" vertical="center" wrapText="1"/>
    </xf>
    <xf numFmtId="6" fontId="13" fillId="4" borderId="1" xfId="1" applyNumberFormat="1" applyFont="1" applyFill="1" applyBorder="1" applyAlignment="1">
      <alignment horizontal="right" vertical="center" wrapText="1"/>
    </xf>
    <xf numFmtId="0" fontId="16" fillId="4" borderId="1" xfId="1" applyFont="1" applyFill="1" applyBorder="1" applyAlignment="1">
      <alignment horizontal="left" vertical="center"/>
    </xf>
    <xf numFmtId="0" fontId="16" fillId="4" borderId="1" xfId="1" applyFont="1" applyFill="1" applyBorder="1" applyAlignment="1">
      <alignment horizontal="left" vertical="center" wrapText="1"/>
    </xf>
    <xf numFmtId="3" fontId="14" fillId="5" borderId="1" xfId="1" applyNumberFormat="1" applyFont="1" applyFill="1" applyBorder="1" applyAlignment="1">
      <alignment horizontal="left" vertical="center" wrapText="1"/>
    </xf>
    <xf numFmtId="0" fontId="14" fillId="5" borderId="1" xfId="1" applyFont="1" applyFill="1" applyBorder="1" applyAlignment="1">
      <alignment horizontal="left" vertical="center" wrapText="1"/>
    </xf>
    <xf numFmtId="0" fontId="13" fillId="4" borderId="1" xfId="1" applyFont="1" applyFill="1" applyBorder="1" applyAlignment="1">
      <alignment vertical="center" wrapText="1"/>
    </xf>
    <xf numFmtId="0" fontId="12" fillId="5" borderId="4" xfId="1" applyFont="1" applyFill="1" applyAlignment="1">
      <alignment wrapText="1"/>
    </xf>
    <xf numFmtId="0" fontId="12" fillId="5" borderId="4" xfId="1" applyFont="1" applyFill="1" applyAlignment="1">
      <alignment vertical="top"/>
    </xf>
    <xf numFmtId="0" fontId="19" fillId="0" borderId="4" xfId="1" applyFont="1"/>
    <xf numFmtId="0" fontId="20" fillId="0" borderId="4" xfId="1" applyFont="1"/>
    <xf numFmtId="0" fontId="20" fillId="5" borderId="4" xfId="1" applyFont="1" applyFill="1"/>
    <xf numFmtId="0" fontId="20" fillId="5" borderId="4" xfId="1" applyFont="1" applyFill="1" applyAlignment="1">
      <alignment wrapText="1"/>
    </xf>
    <xf numFmtId="0" fontId="20" fillId="5" borderId="4" xfId="1" applyFont="1" applyFill="1" applyAlignment="1">
      <alignment vertical="top"/>
    </xf>
    <xf numFmtId="0" fontId="21" fillId="0" borderId="4" xfId="1" applyFont="1"/>
    <xf numFmtId="0" fontId="12" fillId="0" borderId="4" xfId="1" applyFont="1" applyAlignment="1">
      <alignment wrapText="1"/>
    </xf>
    <xf numFmtId="0" fontId="7" fillId="0" borderId="1" xfId="1" applyFont="1" applyBorder="1" applyAlignment="1">
      <alignment wrapText="1"/>
    </xf>
    <xf numFmtId="0" fontId="7" fillId="0" borderId="9" xfId="1" applyFont="1" applyBorder="1" applyAlignment="1">
      <alignment vertical="center" wrapText="1"/>
    </xf>
    <xf numFmtId="0" fontId="7" fillId="7" borderId="1" xfId="1" applyFont="1" applyFill="1" applyBorder="1" applyAlignment="1">
      <alignment wrapText="1"/>
    </xf>
    <xf numFmtId="0" fontId="7" fillId="16" borderId="1" xfId="1" applyFont="1" applyFill="1" applyBorder="1" applyAlignment="1">
      <alignment wrapText="1"/>
    </xf>
    <xf numFmtId="0" fontId="3" fillId="0" borderId="1" xfId="1" applyFont="1" applyBorder="1" applyAlignment="1">
      <alignment horizontal="left" wrapText="1"/>
    </xf>
    <xf numFmtId="165" fontId="3" fillId="0" borderId="1" xfId="1" applyNumberFormat="1" applyFont="1" applyBorder="1" applyAlignment="1">
      <alignment horizontal="center" vertical="center" wrapText="1"/>
    </xf>
    <xf numFmtId="0" fontId="3" fillId="0" borderId="3" xfId="1" applyFont="1" applyBorder="1" applyAlignment="1">
      <alignment horizontal="left" wrapText="1"/>
    </xf>
    <xf numFmtId="165" fontId="3" fillId="0" borderId="3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top" wrapText="1"/>
    </xf>
    <xf numFmtId="0" fontId="3" fillId="0" borderId="9" xfId="1" applyFont="1" applyBorder="1" applyAlignment="1">
      <alignment horizontal="left" vertical="center" wrapText="1"/>
    </xf>
    <xf numFmtId="0" fontId="3" fillId="0" borderId="4" xfId="1" applyFont="1" applyAlignment="1">
      <alignment vertical="center"/>
    </xf>
    <xf numFmtId="0" fontId="3" fillId="0" borderId="3" xfId="1" applyFont="1" applyBorder="1"/>
    <xf numFmtId="0" fontId="3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wrapText="1"/>
    </xf>
    <xf numFmtId="0" fontId="3" fillId="0" borderId="10" xfId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1" fillId="0" borderId="4" xfId="3" applyFont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4" fillId="2" borderId="4" xfId="0" applyFont="1" applyFill="1" applyBorder="1" applyAlignment="1">
      <alignment horizontal="left" vertical="center" wrapText="1"/>
    </xf>
    <xf numFmtId="3" fontId="4" fillId="2" borderId="4" xfId="0" applyNumberFormat="1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vertical="center" wrapText="1"/>
    </xf>
    <xf numFmtId="0" fontId="4" fillId="17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center" vertical="center"/>
    </xf>
    <xf numFmtId="1" fontId="4" fillId="17" borderId="1" xfId="0" applyNumberFormat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/>
    </xf>
    <xf numFmtId="0" fontId="24" fillId="6" borderId="1" xfId="0" applyFont="1" applyFill="1" applyBorder="1" applyAlignment="1">
      <alignment horizontal="left" vertical="center" wrapText="1"/>
    </xf>
    <xf numFmtId="165" fontId="3" fillId="0" borderId="9" xfId="0" applyNumberFormat="1" applyFont="1" applyBorder="1" applyAlignment="1">
      <alignment horizontal="center" vertical="center" wrapText="1"/>
    </xf>
    <xf numFmtId="165" fontId="7" fillId="0" borderId="9" xfId="0" applyNumberFormat="1" applyFont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3" fontId="3" fillId="2" borderId="9" xfId="0" applyNumberFormat="1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>
      <alignment horizontal="center" vertical="center"/>
    </xf>
    <xf numFmtId="3" fontId="3" fillId="7" borderId="5" xfId="0" applyNumberFormat="1" applyFont="1" applyFill="1" applyBorder="1" applyAlignment="1">
      <alignment horizontal="center" vertical="center"/>
    </xf>
    <xf numFmtId="3" fontId="7" fillId="7" borderId="5" xfId="0" applyNumberFormat="1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wrapText="1"/>
    </xf>
    <xf numFmtId="0" fontId="3" fillId="0" borderId="15" xfId="0" applyFont="1" applyBorder="1" applyAlignment="1">
      <alignment horizontal="center" vertical="center" wrapText="1"/>
    </xf>
    <xf numFmtId="0" fontId="24" fillId="6" borderId="1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/>
    </xf>
    <xf numFmtId="0" fontId="24" fillId="6" borderId="1" xfId="0" applyFont="1" applyFill="1" applyBorder="1"/>
    <xf numFmtId="0" fontId="3" fillId="2" borderId="16" xfId="0" applyFont="1" applyFill="1" applyBorder="1" applyAlignment="1">
      <alignment horizontal="center" vertical="center" wrapText="1"/>
    </xf>
    <xf numFmtId="165" fontId="3" fillId="2" borderId="9" xfId="0" applyNumberFormat="1" applyFont="1" applyFill="1" applyBorder="1" applyAlignment="1">
      <alignment horizontal="center" vertical="center"/>
    </xf>
    <xf numFmtId="165" fontId="3" fillId="5" borderId="16" xfId="0" applyNumberFormat="1" applyFont="1" applyFill="1" applyBorder="1" applyAlignment="1">
      <alignment horizontal="center" vertical="center"/>
    </xf>
    <xf numFmtId="165" fontId="7" fillId="5" borderId="9" xfId="0" applyNumberFormat="1" applyFont="1" applyFill="1" applyBorder="1" applyAlignment="1">
      <alignment horizontal="center" vertical="center"/>
    </xf>
    <xf numFmtId="0" fontId="24" fillId="6" borderId="2" xfId="0" applyFont="1" applyFill="1" applyBorder="1"/>
    <xf numFmtId="165" fontId="7" fillId="5" borderId="15" xfId="0" applyNumberFormat="1" applyFont="1" applyFill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3" fillId="5" borderId="9" xfId="0" applyNumberFormat="1" applyFont="1" applyFill="1" applyBorder="1" applyAlignment="1">
      <alignment horizontal="center" vertical="center" wrapText="1"/>
    </xf>
    <xf numFmtId="3" fontId="3" fillId="5" borderId="9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24" fillId="6" borderId="1" xfId="0" applyFont="1" applyFill="1" applyBorder="1" applyAlignment="1">
      <alignment horizontal="left"/>
    </xf>
    <xf numFmtId="0" fontId="24" fillId="0" borderId="1" xfId="0" applyFont="1" applyBorder="1" applyAlignment="1">
      <alignment horizontal="left" vertical="center" wrapText="1"/>
    </xf>
    <xf numFmtId="0" fontId="24" fillId="2" borderId="1" xfId="0" applyFont="1" applyFill="1" applyBorder="1" applyAlignment="1">
      <alignment horizontal="left" vertical="center" wrapText="1"/>
    </xf>
    <xf numFmtId="165" fontId="3" fillId="0" borderId="13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3" fontId="25" fillId="2" borderId="9" xfId="0" applyNumberFormat="1" applyFont="1" applyFill="1" applyBorder="1" applyAlignment="1">
      <alignment horizontal="center" vertical="center"/>
    </xf>
    <xf numFmtId="165" fontId="7" fillId="5" borderId="10" xfId="0" applyNumberFormat="1" applyFont="1" applyFill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 wrapText="1"/>
    </xf>
    <xf numFmtId="165" fontId="7" fillId="0" borderId="15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top" wrapText="1"/>
    </xf>
    <xf numFmtId="165" fontId="3" fillId="0" borderId="13" xfId="0" applyNumberFormat="1" applyFont="1" applyBorder="1" applyAlignment="1">
      <alignment horizontal="center" vertical="top" wrapText="1"/>
    </xf>
    <xf numFmtId="165" fontId="3" fillId="0" borderId="11" xfId="0" applyNumberFormat="1" applyFont="1" applyBorder="1" applyAlignment="1">
      <alignment horizontal="center" vertical="top" wrapText="1"/>
    </xf>
    <xf numFmtId="165" fontId="3" fillId="0" borderId="14" xfId="0" applyNumberFormat="1" applyFont="1" applyBorder="1" applyAlignment="1">
      <alignment horizontal="center" vertical="top" wrapText="1"/>
    </xf>
    <xf numFmtId="0" fontId="24" fillId="0" borderId="11" xfId="0" applyFont="1" applyBorder="1" applyAlignment="1">
      <alignment horizontal="center" vertical="top"/>
    </xf>
    <xf numFmtId="0" fontId="24" fillId="0" borderId="14" xfId="0" applyFont="1" applyBorder="1" applyAlignment="1">
      <alignment horizontal="center" vertical="top"/>
    </xf>
    <xf numFmtId="0" fontId="24" fillId="0" borderId="2" xfId="0" applyFont="1" applyBorder="1" applyAlignment="1">
      <alignment horizontal="center" vertical="top"/>
    </xf>
    <xf numFmtId="0" fontId="24" fillId="0" borderId="15" xfId="0" applyFont="1" applyBorder="1" applyAlignment="1">
      <alignment horizontal="center" vertical="top"/>
    </xf>
    <xf numFmtId="0" fontId="7" fillId="0" borderId="9" xfId="0" applyFont="1" applyBorder="1" applyAlignment="1">
      <alignment horizontal="left"/>
    </xf>
    <xf numFmtId="0" fontId="24" fillId="0" borderId="2" xfId="0" applyFont="1" applyBorder="1"/>
    <xf numFmtId="3" fontId="3" fillId="7" borderId="5" xfId="0" applyNumberFormat="1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0" fontId="24" fillId="0" borderId="1" xfId="0" applyFont="1" applyBorder="1"/>
    <xf numFmtId="0" fontId="24" fillId="0" borderId="13" xfId="0" applyFont="1" applyBorder="1" applyAlignment="1">
      <alignment horizontal="left"/>
    </xf>
    <xf numFmtId="0" fontId="24" fillId="0" borderId="3" xfId="0" applyFont="1" applyBorder="1"/>
    <xf numFmtId="165" fontId="3" fillId="2" borderId="3" xfId="0" applyNumberFormat="1" applyFont="1" applyFill="1" applyBorder="1" applyAlignment="1">
      <alignment horizontal="center" vertical="center"/>
    </xf>
    <xf numFmtId="3" fontId="3" fillId="2" borderId="13" xfId="0" applyNumberFormat="1" applyFont="1" applyFill="1" applyBorder="1" applyAlignment="1">
      <alignment horizontal="center" vertical="center"/>
    </xf>
    <xf numFmtId="3" fontId="3" fillId="2" borderId="17" xfId="0" applyNumberFormat="1" applyFont="1" applyFill="1" applyBorder="1" applyAlignment="1">
      <alignment horizontal="center" vertical="center"/>
    </xf>
    <xf numFmtId="3" fontId="3" fillId="7" borderId="18" xfId="0" applyNumberFormat="1" applyFont="1" applyFill="1" applyBorder="1" applyAlignment="1">
      <alignment horizontal="center" vertical="center"/>
    </xf>
    <xf numFmtId="0" fontId="24" fillId="0" borderId="13" xfId="0" applyFont="1" applyBorder="1" applyAlignment="1">
      <alignment horizontal="left" wrapText="1"/>
    </xf>
    <xf numFmtId="3" fontId="3" fillId="7" borderId="22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wrapText="1"/>
    </xf>
    <xf numFmtId="0" fontId="4" fillId="2" borderId="4" xfId="1" applyFont="1" applyFill="1" applyAlignment="1">
      <alignment vertical="center" wrapText="1"/>
    </xf>
    <xf numFmtId="0" fontId="5" fillId="0" borderId="4" xfId="1" applyFont="1" applyAlignment="1">
      <alignment vertical="top" wrapText="1"/>
    </xf>
    <xf numFmtId="0" fontId="4" fillId="18" borderId="1" xfId="1" applyFont="1" applyFill="1" applyBorder="1" applyAlignment="1">
      <alignment horizontal="center" vertical="center" wrapText="1"/>
    </xf>
    <xf numFmtId="0" fontId="23" fillId="11" borderId="1" xfId="1" applyFont="1" applyFill="1" applyBorder="1" applyAlignment="1">
      <alignment horizontal="center" vertical="center" wrapText="1"/>
    </xf>
    <xf numFmtId="0" fontId="23" fillId="11" borderId="9" xfId="1" applyFont="1" applyFill="1" applyBorder="1" applyAlignment="1">
      <alignment horizontal="center" vertical="center" wrapText="1"/>
    </xf>
    <xf numFmtId="0" fontId="3" fillId="0" borderId="4" xfId="1" applyFont="1" applyAlignment="1">
      <alignment wrapText="1"/>
    </xf>
    <xf numFmtId="0" fontId="7" fillId="0" borderId="4" xfId="1" applyFont="1"/>
    <xf numFmtId="0" fontId="7" fillId="7" borderId="4" xfId="1" applyFont="1" applyFill="1"/>
    <xf numFmtId="0" fontId="1" fillId="7" borderId="0" xfId="0" applyFont="1" applyFill="1" applyAlignment="1">
      <alignment horizontal="center" vertical="center" wrapText="1"/>
    </xf>
    <xf numFmtId="3" fontId="24" fillId="0" borderId="5" xfId="0" applyNumberFormat="1" applyFont="1" applyBorder="1"/>
    <xf numFmtId="0" fontId="24" fillId="0" borderId="7" xfId="0" applyFont="1" applyBorder="1"/>
    <xf numFmtId="3" fontId="24" fillId="0" borderId="7" xfId="0" applyNumberFormat="1" applyFont="1" applyBorder="1"/>
    <xf numFmtId="0" fontId="24" fillId="19" borderId="7" xfId="0" applyFont="1" applyFill="1" applyBorder="1"/>
    <xf numFmtId="3" fontId="24" fillId="19" borderId="7" xfId="0" applyNumberFormat="1" applyFont="1" applyFill="1" applyBorder="1"/>
    <xf numFmtId="0" fontId="26" fillId="20" borderId="3" xfId="0" applyFont="1" applyFill="1" applyBorder="1" applyAlignment="1">
      <alignment wrapText="1"/>
    </xf>
    <xf numFmtId="0" fontId="26" fillId="20" borderId="1" xfId="0" applyFont="1" applyFill="1" applyBorder="1" applyAlignment="1">
      <alignment wrapText="1"/>
    </xf>
    <xf numFmtId="0" fontId="26" fillId="20" borderId="10" xfId="0" applyFont="1" applyFill="1" applyBorder="1" applyAlignment="1">
      <alignment wrapText="1"/>
    </xf>
    <xf numFmtId="0" fontId="26" fillId="20" borderId="5" xfId="0" applyFont="1" applyFill="1" applyBorder="1" applyAlignment="1">
      <alignment wrapText="1"/>
    </xf>
    <xf numFmtId="0" fontId="7" fillId="0" borderId="2" xfId="0" applyFont="1" applyBorder="1"/>
    <xf numFmtId="0" fontId="7" fillId="0" borderId="23" xfId="0" applyFont="1" applyBorder="1"/>
    <xf numFmtId="0" fontId="24" fillId="0" borderId="23" xfId="0" applyFont="1" applyBorder="1"/>
    <xf numFmtId="3" fontId="24" fillId="0" borderId="23" xfId="0" applyNumberFormat="1" applyFont="1" applyBorder="1"/>
    <xf numFmtId="3" fontId="7" fillId="0" borderId="23" xfId="0" applyNumberFormat="1" applyFont="1" applyBorder="1"/>
    <xf numFmtId="0" fontId="24" fillId="19" borderId="23" xfId="0" applyFont="1" applyFill="1" applyBorder="1"/>
    <xf numFmtId="3" fontId="24" fillId="19" borderId="23" xfId="0" applyNumberFormat="1" applyFont="1" applyFill="1" applyBorder="1"/>
    <xf numFmtId="0" fontId="7" fillId="19" borderId="23" xfId="0" applyFont="1" applyFill="1" applyBorder="1"/>
    <xf numFmtId="0" fontId="7" fillId="19" borderId="2" xfId="0" applyFont="1" applyFill="1" applyBorder="1"/>
    <xf numFmtId="3" fontId="27" fillId="19" borderId="5" xfId="0" applyNumberFormat="1" applyFont="1" applyFill="1" applyBorder="1"/>
    <xf numFmtId="0" fontId="27" fillId="19" borderId="6" xfId="0" applyFont="1" applyFill="1" applyBorder="1"/>
    <xf numFmtId="3" fontId="27" fillId="19" borderId="6" xfId="0" applyNumberFormat="1" applyFont="1" applyFill="1" applyBorder="1"/>
    <xf numFmtId="3" fontId="27" fillId="19" borderId="8" xfId="0" applyNumberFormat="1" applyFont="1" applyFill="1" applyBorder="1"/>
    <xf numFmtId="0" fontId="3" fillId="0" borderId="1" xfId="0" applyFont="1" applyBorder="1"/>
    <xf numFmtId="3" fontId="7" fillId="7" borderId="22" xfId="0" applyNumberFormat="1" applyFont="1" applyFill="1" applyBorder="1" applyAlignment="1">
      <alignment horizontal="center" vertical="center"/>
    </xf>
    <xf numFmtId="0" fontId="3" fillId="0" borderId="4" xfId="0" applyFont="1" applyBorder="1"/>
    <xf numFmtId="1" fontId="4" fillId="17" borderId="3" xfId="0" applyNumberFormat="1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wrapText="1"/>
    </xf>
    <xf numFmtId="0" fontId="28" fillId="3" borderId="10" xfId="0" applyFont="1" applyFill="1" applyBorder="1" applyAlignment="1">
      <alignment wrapText="1"/>
    </xf>
    <xf numFmtId="0" fontId="29" fillId="0" borderId="2" xfId="0" applyFont="1" applyBorder="1" applyAlignment="1">
      <alignment wrapText="1"/>
    </xf>
    <xf numFmtId="0" fontId="30" fillId="0" borderId="23" xfId="0" applyFont="1" applyBorder="1"/>
    <xf numFmtId="0" fontId="30" fillId="5" borderId="23" xfId="0" applyFont="1" applyFill="1" applyBorder="1"/>
    <xf numFmtId="9" fontId="28" fillId="3" borderId="23" xfId="0" applyNumberFormat="1" applyFont="1" applyFill="1" applyBorder="1" applyAlignment="1">
      <alignment wrapText="1"/>
    </xf>
    <xf numFmtId="3" fontId="30" fillId="0" borderId="23" xfId="0" applyNumberFormat="1" applyFont="1" applyBorder="1"/>
    <xf numFmtId="0" fontId="28" fillId="3" borderId="23" xfId="0" applyFont="1" applyFill="1" applyBorder="1" applyAlignment="1">
      <alignment wrapText="1"/>
    </xf>
    <xf numFmtId="0" fontId="28" fillId="4" borderId="2" xfId="0" applyFont="1" applyFill="1" applyBorder="1" applyAlignment="1">
      <alignment wrapText="1"/>
    </xf>
    <xf numFmtId="3" fontId="28" fillId="4" borderId="23" xfId="0" applyNumberFormat="1" applyFont="1" applyFill="1" applyBorder="1" applyAlignment="1">
      <alignment wrapText="1"/>
    </xf>
    <xf numFmtId="0" fontId="28" fillId="4" borderId="23" xfId="0" applyFont="1" applyFill="1" applyBorder="1" applyAlignment="1">
      <alignment wrapText="1"/>
    </xf>
    <xf numFmtId="9" fontId="28" fillId="4" borderId="23" xfId="0" applyNumberFormat="1" applyFont="1" applyFill="1" applyBorder="1" applyAlignment="1">
      <alignment wrapText="1"/>
    </xf>
    <xf numFmtId="0" fontId="31" fillId="0" borderId="23" xfId="0" applyFont="1" applyBorder="1"/>
    <xf numFmtId="0" fontId="7" fillId="16" borderId="2" xfId="0" applyFont="1" applyFill="1" applyBorder="1"/>
    <xf numFmtId="0" fontId="7" fillId="16" borderId="23" xfId="0" applyFont="1" applyFill="1" applyBorder="1"/>
    <xf numFmtId="3" fontId="24" fillId="16" borderId="23" xfId="0" applyNumberFormat="1" applyFont="1" applyFill="1" applyBorder="1"/>
    <xf numFmtId="3" fontId="24" fillId="21" borderId="23" xfId="0" applyNumberFormat="1" applyFont="1" applyFill="1" applyBorder="1"/>
    <xf numFmtId="0" fontId="24" fillId="21" borderId="23" xfId="0" applyFont="1" applyFill="1" applyBorder="1"/>
    <xf numFmtId="3" fontId="7" fillId="16" borderId="23" xfId="0" applyNumberFormat="1" applyFont="1" applyFill="1" applyBorder="1"/>
    <xf numFmtId="3" fontId="24" fillId="16" borderId="7" xfId="0" applyNumberFormat="1" applyFont="1" applyFill="1" applyBorder="1"/>
    <xf numFmtId="0" fontId="32" fillId="0" borderId="18" xfId="0" applyFont="1" applyBorder="1" applyAlignment="1">
      <alignment vertical="center" wrapText="1"/>
    </xf>
    <xf numFmtId="0" fontId="0" fillId="22" borderId="3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13" fillId="7" borderId="3" xfId="1" applyFont="1" applyFill="1" applyBorder="1" applyAlignment="1">
      <alignment horizontal="center" vertical="center" wrapText="1"/>
    </xf>
    <xf numFmtId="0" fontId="14" fillId="7" borderId="1" xfId="1" applyFont="1" applyFill="1" applyBorder="1" applyAlignment="1">
      <alignment horizontal="center" vertical="center" wrapText="1"/>
    </xf>
    <xf numFmtId="0" fontId="14" fillId="7" borderId="1" xfId="1" applyFont="1" applyFill="1" applyBorder="1" applyAlignment="1">
      <alignment horizontal="left" vertical="center" wrapText="1"/>
    </xf>
    <xf numFmtId="3" fontId="14" fillId="7" borderId="1" xfId="1" applyNumberFormat="1" applyFont="1" applyFill="1" applyBorder="1" applyAlignment="1">
      <alignment horizontal="center" vertical="center" wrapText="1"/>
    </xf>
    <xf numFmtId="0" fontId="3" fillId="0" borderId="4" xfId="1" applyFont="1" applyAlignment="1">
      <alignment horizontal="center"/>
    </xf>
    <xf numFmtId="0" fontId="8" fillId="8" borderId="4" xfId="1" applyFont="1" applyFill="1" applyAlignment="1">
      <alignment horizontal="center"/>
    </xf>
    <xf numFmtId="0" fontId="13" fillId="13" borderId="3" xfId="1" applyFont="1" applyFill="1" applyBorder="1" applyAlignment="1">
      <alignment horizontal="center" vertical="center" wrapText="1"/>
    </xf>
    <xf numFmtId="0" fontId="18" fillId="0" borderId="11" xfId="1" applyFont="1" applyBorder="1" applyAlignment="1">
      <alignment vertical="center"/>
    </xf>
    <xf numFmtId="0" fontId="18" fillId="0" borderId="2" xfId="1" applyFont="1" applyBorder="1" applyAlignment="1">
      <alignment vertical="center"/>
    </xf>
    <xf numFmtId="0" fontId="14" fillId="0" borderId="3" xfId="1" applyFont="1" applyBorder="1" applyAlignment="1">
      <alignment horizontal="left" vertical="center" wrapText="1"/>
    </xf>
    <xf numFmtId="0" fontId="18" fillId="0" borderId="11" xfId="1" applyFont="1" applyBorder="1" applyAlignment="1">
      <alignment horizontal="left" vertical="center"/>
    </xf>
    <xf numFmtId="0" fontId="18" fillId="0" borderId="2" xfId="1" applyFont="1" applyBorder="1" applyAlignment="1">
      <alignment horizontal="left" vertical="center"/>
    </xf>
    <xf numFmtId="0" fontId="5" fillId="0" borderId="4" xfId="1" applyFont="1" applyAlignment="1">
      <alignment horizontal="center" vertical="top" wrapText="1"/>
    </xf>
    <xf numFmtId="0" fontId="13" fillId="4" borderId="3" xfId="1" applyFont="1" applyFill="1" applyBorder="1" applyAlignment="1">
      <alignment horizontal="center" vertical="center" wrapText="1"/>
    </xf>
    <xf numFmtId="0" fontId="13" fillId="4" borderId="11" xfId="1" applyFont="1" applyFill="1" applyBorder="1" applyAlignment="1">
      <alignment horizontal="center" vertical="center" wrapText="1"/>
    </xf>
    <xf numFmtId="0" fontId="13" fillId="4" borderId="2" xfId="1" applyFont="1" applyFill="1" applyBorder="1" applyAlignment="1">
      <alignment horizontal="center" vertical="center" wrapText="1"/>
    </xf>
    <xf numFmtId="0" fontId="13" fillId="10" borderId="3" xfId="1" applyFont="1" applyFill="1" applyBorder="1" applyAlignment="1">
      <alignment horizontal="center" vertical="center" wrapText="1"/>
    </xf>
    <xf numFmtId="0" fontId="13" fillId="10" borderId="11" xfId="1" applyFont="1" applyFill="1" applyBorder="1" applyAlignment="1">
      <alignment horizontal="center" vertical="center" wrapText="1"/>
    </xf>
    <xf numFmtId="0" fontId="15" fillId="10" borderId="3" xfId="1" applyFont="1" applyFill="1" applyBorder="1" applyAlignment="1">
      <alignment horizontal="center" vertical="center" wrapText="1"/>
    </xf>
    <xf numFmtId="0" fontId="15" fillId="10" borderId="11" xfId="1" applyFont="1" applyFill="1" applyBorder="1" applyAlignment="1">
      <alignment horizontal="center" vertical="center" wrapText="1"/>
    </xf>
    <xf numFmtId="0" fontId="13" fillId="12" borderId="3" xfId="1" applyFont="1" applyFill="1" applyBorder="1" applyAlignment="1">
      <alignment horizontal="center" vertical="center" wrapText="1"/>
    </xf>
    <xf numFmtId="0" fontId="4" fillId="2" borderId="4" xfId="1" applyFont="1" applyFill="1" applyAlignment="1">
      <alignment horizontal="center" vertical="center" wrapText="1"/>
    </xf>
    <xf numFmtId="0" fontId="3" fillId="15" borderId="4" xfId="1" applyFont="1" applyFill="1" applyAlignment="1">
      <alignment vertical="center"/>
    </xf>
    <xf numFmtId="0" fontId="3" fillId="15" borderId="12" xfId="1" applyFont="1" applyFill="1" applyBorder="1" applyAlignment="1">
      <alignment vertical="center"/>
    </xf>
    <xf numFmtId="0" fontId="3" fillId="0" borderId="4" xfId="1" applyFont="1" applyAlignment="1">
      <alignment horizontal="left" vertical="center" wrapText="1"/>
    </xf>
    <xf numFmtId="0" fontId="3" fillId="0" borderId="4" xfId="1" applyFont="1" applyAlignment="1">
      <alignment horizontal="left" vertical="center"/>
    </xf>
    <xf numFmtId="165" fontId="3" fillId="7" borderId="18" xfId="0" applyNumberFormat="1" applyFont="1" applyFill="1" applyBorder="1" applyAlignment="1">
      <alignment horizontal="center" vertical="top" wrapText="1"/>
    </xf>
    <xf numFmtId="165" fontId="3" fillId="7" borderId="20" xfId="0" applyNumberFormat="1" applyFont="1" applyFill="1" applyBorder="1" applyAlignment="1">
      <alignment horizontal="center" vertical="top" wrapText="1"/>
    </xf>
    <xf numFmtId="165" fontId="3" fillId="7" borderId="21" xfId="0" applyNumberFormat="1" applyFont="1" applyFill="1" applyBorder="1" applyAlignment="1">
      <alignment horizontal="center" vertical="top" wrapText="1"/>
    </xf>
    <xf numFmtId="0" fontId="3" fillId="5" borderId="13" xfId="0" applyFont="1" applyFill="1" applyBorder="1" applyAlignment="1">
      <alignment horizontal="left" vertical="center"/>
    </xf>
    <xf numFmtId="0" fontId="3" fillId="5" borderId="14" xfId="0" applyFont="1" applyFill="1" applyBorder="1" applyAlignment="1">
      <alignment horizontal="left" vertical="center"/>
    </xf>
    <xf numFmtId="0" fontId="3" fillId="5" borderId="15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left" vertical="center"/>
    </xf>
    <xf numFmtId="0" fontId="24" fillId="0" borderId="3" xfId="0" applyFont="1" applyBorder="1" applyAlignment="1">
      <alignment vertical="center"/>
    </xf>
    <xf numFmtId="0" fontId="24" fillId="0" borderId="11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165" fontId="3" fillId="0" borderId="17" xfId="0" applyNumberFormat="1" applyFont="1" applyBorder="1" applyAlignment="1">
      <alignment horizontal="center" vertical="top" wrapText="1"/>
    </xf>
    <xf numFmtId="165" fontId="3" fillId="0" borderId="19" xfId="0" applyNumberFormat="1" applyFont="1" applyBorder="1" applyAlignment="1">
      <alignment horizontal="center" vertical="top" wrapText="1"/>
    </xf>
    <xf numFmtId="165" fontId="3" fillId="0" borderId="7" xfId="0" applyNumberFormat="1" applyFont="1" applyBorder="1" applyAlignment="1">
      <alignment horizontal="center" vertical="top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1" fillId="7" borderId="0" xfId="0" applyFont="1" applyFill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wrapText="1"/>
    </xf>
    <xf numFmtId="0" fontId="7" fillId="7" borderId="2" xfId="0" applyFont="1" applyFill="1" applyBorder="1"/>
    <xf numFmtId="0" fontId="7" fillId="7" borderId="23" xfId="0" applyFont="1" applyFill="1" applyBorder="1"/>
    <xf numFmtId="3" fontId="24" fillId="7" borderId="23" xfId="0" applyNumberFormat="1" applyFont="1" applyFill="1" applyBorder="1"/>
    <xf numFmtId="3" fontId="24" fillId="23" borderId="23" xfId="0" applyNumberFormat="1" applyFont="1" applyFill="1" applyBorder="1"/>
    <xf numFmtId="0" fontId="24" fillId="23" borderId="23" xfId="0" applyFont="1" applyFill="1" applyBorder="1"/>
    <xf numFmtId="0" fontId="24" fillId="7" borderId="7" xfId="0" applyFont="1" applyFill="1" applyBorder="1"/>
    <xf numFmtId="3" fontId="7" fillId="7" borderId="23" xfId="0" applyNumberFormat="1" applyFont="1" applyFill="1" applyBorder="1"/>
    <xf numFmtId="3" fontId="24" fillId="7" borderId="7" xfId="0" applyNumberFormat="1" applyFont="1" applyFill="1" applyBorder="1"/>
    <xf numFmtId="0" fontId="29" fillId="7" borderId="2" xfId="0" applyFont="1" applyFill="1" applyBorder="1" applyAlignment="1">
      <alignment wrapText="1"/>
    </xf>
    <xf numFmtId="0" fontId="30" fillId="7" borderId="23" xfId="0" applyFont="1" applyFill="1" applyBorder="1"/>
    <xf numFmtId="0" fontId="30" fillId="24" borderId="23" xfId="0" applyFont="1" applyFill="1" applyBorder="1"/>
    <xf numFmtId="0" fontId="29" fillId="25" borderId="2" xfId="0" applyFont="1" applyFill="1" applyBorder="1" applyAlignment="1">
      <alignment wrapText="1"/>
    </xf>
    <xf numFmtId="0" fontId="30" fillId="25" borderId="23" xfId="0" applyFont="1" applyFill="1" applyBorder="1"/>
    <xf numFmtId="0" fontId="30" fillId="26" borderId="23" xfId="0" applyFont="1" applyFill="1" applyBorder="1"/>
  </cellXfs>
  <cellStyles count="5">
    <cellStyle name="Hipervínculo 2" xfId="3"/>
    <cellStyle name="Hyperlink" xfId="4"/>
    <cellStyle name="Millares [0] 2" xfId="2"/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. Adquisici&#243;n_biblioteca'!A1"/><Relationship Id="rId2" Type="http://schemas.openxmlformats.org/officeDocument/2006/relationships/hyperlink" Target="#'A. Inversion '!A1"/><Relationship Id="rId1" Type="http://schemas.openxmlformats.org/officeDocument/2006/relationships/image" Target="../media/image1.png"/><Relationship Id="rId6" Type="http://schemas.openxmlformats.org/officeDocument/2006/relationships/hyperlink" Target="#'E. Adquisici&#243;n_Impresa'!A1"/><Relationship Id="rId5" Type="http://schemas.openxmlformats.org/officeDocument/2006/relationships/hyperlink" Target="#'D. Adquisici&#243;n_suscripci&#243;n BD'!A1"/><Relationship Id="rId4" Type="http://schemas.openxmlformats.org/officeDocument/2006/relationships/hyperlink" Target="#'B. Proyecci&#243;n_inversi&#243;n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Contenido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Contenido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Contenido!A1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0</xdr:row>
      <xdr:rowOff>180975</xdr:rowOff>
    </xdr:from>
    <xdr:to>
      <xdr:col>2</xdr:col>
      <xdr:colOff>2209800</xdr:colOff>
      <xdr:row>3</xdr:row>
      <xdr:rowOff>152061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80975"/>
          <a:ext cx="2028825" cy="514011"/>
        </a:xfrm>
        <a:prstGeom prst="rect">
          <a:avLst/>
        </a:prstGeom>
      </xdr:spPr>
    </xdr:pic>
    <xdr:clientData/>
  </xdr:twoCellAnchor>
  <xdr:twoCellAnchor>
    <xdr:from>
      <xdr:col>2</xdr:col>
      <xdr:colOff>2166448</xdr:colOff>
      <xdr:row>7</xdr:row>
      <xdr:rowOff>46870</xdr:rowOff>
    </xdr:from>
    <xdr:to>
      <xdr:col>4</xdr:col>
      <xdr:colOff>130266</xdr:colOff>
      <xdr:row>14</xdr:row>
      <xdr:rowOff>19609</xdr:rowOff>
    </xdr:to>
    <xdr:sp macro="" textlink="">
      <xdr:nvSpPr>
        <xdr:cNvPr id="4" name="Flecha a la derecha con ban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595073" y="1332745"/>
          <a:ext cx="3238287" cy="1139552"/>
        </a:xfrm>
        <a:prstGeom prst="stripedRightArrow">
          <a:avLst/>
        </a:prstGeom>
        <a:solidFill>
          <a:schemeClr val="accent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Arial Narrow" panose="020B0606020202030204" pitchFamily="34" charset="0"/>
            </a:rPr>
            <a:t>A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</a:t>
          </a:r>
          <a:r>
            <a:rPr lang="en-US" sz="90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INVERSIÓN BIBLIOGRÁFICA</a:t>
          </a:r>
          <a:endParaRPr lang="en-US" sz="90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1</xdr:col>
      <xdr:colOff>233978</xdr:colOff>
      <xdr:row>16</xdr:row>
      <xdr:rowOff>103655</xdr:rowOff>
    </xdr:from>
    <xdr:to>
      <xdr:col>3</xdr:col>
      <xdr:colOff>697565</xdr:colOff>
      <xdr:row>24</xdr:row>
      <xdr:rowOff>81244</xdr:rowOff>
    </xdr:to>
    <xdr:sp macro="" textlink="">
      <xdr:nvSpPr>
        <xdr:cNvPr id="5" name="Flecha a la derecha con ban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00666" y="2889718"/>
          <a:ext cx="3023430" cy="1311089"/>
        </a:xfrm>
        <a:prstGeom prst="stripedRightArrow">
          <a:avLst/>
        </a:prstGeom>
        <a:solidFill>
          <a:schemeClr val="accent3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C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ADQUISICIÓN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BIBLIOTECA RECURSOS IMPRESOS Y DIGITALES</a:t>
          </a:r>
          <a:endParaRPr lang="en-US" sz="105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4</xdr:col>
      <xdr:colOff>792049</xdr:colOff>
      <xdr:row>7</xdr:row>
      <xdr:rowOff>15813</xdr:rowOff>
    </xdr:from>
    <xdr:to>
      <xdr:col>9</xdr:col>
      <xdr:colOff>21012</xdr:colOff>
      <xdr:row>14</xdr:row>
      <xdr:rowOff>6303</xdr:rowOff>
    </xdr:to>
    <xdr:sp macro="" textlink="">
      <xdr:nvSpPr>
        <xdr:cNvPr id="6" name="Flecha a la derecha con banda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6495143" y="1301688"/>
          <a:ext cx="3527119" cy="1157303"/>
        </a:xfrm>
        <a:prstGeom prst="stripedRightArrow">
          <a:avLst/>
        </a:prstGeom>
        <a:solidFill>
          <a:schemeClr val="accent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B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PROYECCIONES INVERSIÓN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BIBLIOGRÁFICA </a:t>
          </a:r>
          <a:endParaRPr lang="en-US" sz="90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3</xdr:col>
      <xdr:colOff>1262707</xdr:colOff>
      <xdr:row>15</xdr:row>
      <xdr:rowOff>94550</xdr:rowOff>
    </xdr:from>
    <xdr:to>
      <xdr:col>5</xdr:col>
      <xdr:colOff>289252</xdr:colOff>
      <xdr:row>24</xdr:row>
      <xdr:rowOff>150580</xdr:rowOff>
    </xdr:to>
    <xdr:sp macro="" textlink="">
      <xdr:nvSpPr>
        <xdr:cNvPr id="7" name="Flecha a la derecha con banda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989238" y="2713925"/>
          <a:ext cx="3253264" cy="1556218"/>
        </a:xfrm>
        <a:prstGeom prst="stripedRightArrow">
          <a:avLst/>
        </a:prstGeom>
        <a:solidFill>
          <a:schemeClr val="accent3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D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RECURSOS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BIBLIOGRÁFICOS ADQUIRIDOS POR SUSCRIPCIÓN_BASE DE DATOS</a:t>
          </a:r>
          <a:endParaRPr lang="en-US" sz="105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6</xdr:col>
      <xdr:colOff>93514</xdr:colOff>
      <xdr:row>15</xdr:row>
      <xdr:rowOff>139793</xdr:rowOff>
    </xdr:from>
    <xdr:to>
      <xdr:col>10</xdr:col>
      <xdr:colOff>298778</xdr:colOff>
      <xdr:row>25</xdr:row>
      <xdr:rowOff>29136</xdr:rowOff>
    </xdr:to>
    <xdr:sp macro="" textlink="">
      <xdr:nvSpPr>
        <xdr:cNvPr id="12" name="Flecha a la derecha con bandas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808764" y="2759168"/>
          <a:ext cx="3253264" cy="1556218"/>
        </a:xfrm>
        <a:prstGeom prst="stripedRightArrow">
          <a:avLst/>
        </a:prstGeom>
        <a:solidFill>
          <a:schemeClr val="accent3"/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E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RECURSOS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BIBLIOGRÁFICOS ADQUIRIDOS IMPRESOS</a:t>
          </a:r>
          <a:endParaRPr lang="en-US" sz="105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4</xdr:col>
      <xdr:colOff>138757</xdr:colOff>
      <xdr:row>26</xdr:row>
      <xdr:rowOff>18349</xdr:rowOff>
    </xdr:from>
    <xdr:to>
      <xdr:col>7</xdr:col>
      <xdr:colOff>617865</xdr:colOff>
      <xdr:row>34</xdr:row>
      <xdr:rowOff>50567</xdr:rowOff>
    </xdr:to>
    <xdr:sp macro="" textlink="">
      <xdr:nvSpPr>
        <xdr:cNvPr id="13" name="Flecha a la derecha con banda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5841851" y="4495099"/>
          <a:ext cx="3253264" cy="1556218"/>
        </a:xfrm>
        <a:prstGeom prst="stripedRight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  <a:latin typeface="Arial Narrow" panose="020B0606020202030204" pitchFamily="34" charset="0"/>
            </a:rPr>
            <a:t>F</a:t>
          </a:r>
          <a:r>
            <a:rPr lang="en-US" sz="900" b="1">
              <a:solidFill>
                <a:sysClr val="windowText" lastClr="000000"/>
              </a:solidFill>
              <a:latin typeface="Arial Narrow" panose="020B0606020202030204" pitchFamily="34" charset="0"/>
            </a:rPr>
            <a:t>. </a:t>
          </a:r>
          <a:r>
            <a:rPr lang="en-US" sz="1050" b="1">
              <a:solidFill>
                <a:sysClr val="windowText" lastClr="000000"/>
              </a:solidFill>
              <a:latin typeface="Arial Narrow" panose="020B0606020202030204" pitchFamily="34" charset="0"/>
            </a:rPr>
            <a:t>RECURSOS</a:t>
          </a:r>
          <a:r>
            <a:rPr lang="en-US" sz="1050" b="1" baseline="0">
              <a:solidFill>
                <a:sysClr val="windowText" lastClr="000000"/>
              </a:solidFill>
              <a:latin typeface="Arial Narrow" panose="020B0606020202030204" pitchFamily="34" charset="0"/>
            </a:rPr>
            <a:t> BIBLIOGRÁFICOS ADQUIRIDOS SUSCRIPCIÓN PERTINENTES POR PROYECTO CURRICULAR</a:t>
          </a:r>
          <a:endParaRPr lang="en-US" sz="1050" b="1">
            <a:solidFill>
              <a:sysClr val="windowText" lastClr="000000"/>
            </a:solidFill>
            <a:latin typeface="Arial Narrow" panose="020B0606020202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19050</xdr:rowOff>
    </xdr:from>
    <xdr:to>
      <xdr:col>3</xdr:col>
      <xdr:colOff>371475</xdr:colOff>
      <xdr:row>0</xdr:row>
      <xdr:rowOff>533400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04850" y="19050"/>
          <a:ext cx="1543050" cy="514350"/>
        </a:xfrm>
        <a:prstGeom prst="leftArrow">
          <a:avLst/>
        </a:prstGeom>
        <a:solidFill>
          <a:schemeClr val="accent2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  <xdr:twoCellAnchor editAs="oneCell">
    <xdr:from>
      <xdr:col>3</xdr:col>
      <xdr:colOff>523875</xdr:colOff>
      <xdr:row>0</xdr:row>
      <xdr:rowOff>66675</xdr:rowOff>
    </xdr:from>
    <xdr:to>
      <xdr:col>4</xdr:col>
      <xdr:colOff>1171574</xdr:colOff>
      <xdr:row>0</xdr:row>
      <xdr:rowOff>476250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0" y="66675"/>
          <a:ext cx="1952624" cy="409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104775</xdr:rowOff>
    </xdr:from>
    <xdr:to>
      <xdr:col>2</xdr:col>
      <xdr:colOff>342900</xdr:colOff>
      <xdr:row>3</xdr:row>
      <xdr:rowOff>47625</xdr:rowOff>
    </xdr:to>
    <xdr:sp macro="" textlink="">
      <xdr:nvSpPr>
        <xdr:cNvPr id="2" name="Flech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90600" y="104775"/>
          <a:ext cx="1543050" cy="514350"/>
        </a:xfrm>
        <a:prstGeom prst="leftArrow">
          <a:avLst/>
        </a:prstGeom>
        <a:ln>
          <a:solidFill>
            <a:schemeClr val="accent2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  <xdr:twoCellAnchor editAs="oneCell">
    <xdr:from>
      <xdr:col>2</xdr:col>
      <xdr:colOff>495300</xdr:colOff>
      <xdr:row>0</xdr:row>
      <xdr:rowOff>152400</xdr:rowOff>
    </xdr:from>
    <xdr:to>
      <xdr:col>2</xdr:col>
      <xdr:colOff>2447924</xdr:colOff>
      <xdr:row>2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050" y="152400"/>
          <a:ext cx="1952624" cy="409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1</xdr:row>
      <xdr:rowOff>57150</xdr:rowOff>
    </xdr:from>
    <xdr:to>
      <xdr:col>2</xdr:col>
      <xdr:colOff>2409824</xdr:colOff>
      <xdr:row>3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247650"/>
          <a:ext cx="1952624" cy="4095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2</xdr:col>
      <xdr:colOff>352425</xdr:colOff>
      <xdr:row>3</xdr:row>
      <xdr:rowOff>161925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SpPr/>
      </xdr:nvSpPr>
      <xdr:spPr>
        <a:xfrm>
          <a:off x="247650" y="190500"/>
          <a:ext cx="1543050" cy="542925"/>
        </a:xfrm>
        <a:prstGeom prst="leftArrow">
          <a:avLst/>
        </a:prstGeom>
        <a:ln>
          <a:solidFill>
            <a:schemeClr val="accent2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3375931</xdr:colOff>
      <xdr:row>1</xdr:row>
      <xdr:rowOff>29936</xdr:rowOff>
    </xdr:from>
    <xdr:to>
      <xdr:col>3</xdr:col>
      <xdr:colOff>2422071</xdr:colOff>
      <xdr:row>4</xdr:row>
      <xdr:rowOff>21288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9931" y="193222"/>
          <a:ext cx="2488747" cy="522030"/>
        </a:xfrm>
        <a:prstGeom prst="rect">
          <a:avLst/>
        </a:prstGeom>
      </xdr:spPr>
    </xdr:pic>
    <xdr:clientData/>
  </xdr:twoCellAnchor>
  <xdr:twoCellAnchor>
    <xdr:from>
      <xdr:col>2</xdr:col>
      <xdr:colOff>1034142</xdr:colOff>
      <xdr:row>1</xdr:row>
      <xdr:rowOff>0</xdr:rowOff>
    </xdr:from>
    <xdr:to>
      <xdr:col>2</xdr:col>
      <xdr:colOff>2577192</xdr:colOff>
      <xdr:row>4</xdr:row>
      <xdr:rowOff>12247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3000000}"/>
            </a:ext>
            <a:ext uri="{147F2762-F138-4A5C-976F-8EAC2B608ADB}">
              <a16:predDERef xmlns:a16="http://schemas.microsoft.com/office/drawing/2014/main" pred="{00000000-0008-0000-0400-000002000000}"/>
            </a:ext>
          </a:extLst>
        </xdr:cNvPr>
        <xdr:cNvSpPr/>
      </xdr:nvSpPr>
      <xdr:spPr>
        <a:xfrm>
          <a:off x="2558142" y="163286"/>
          <a:ext cx="1543050" cy="542925"/>
        </a:xfrm>
        <a:prstGeom prst="leftArrow">
          <a:avLst/>
        </a:prstGeom>
        <a:ln>
          <a:solidFill>
            <a:schemeClr val="accent2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2051236</xdr:colOff>
      <xdr:row>0</xdr:row>
      <xdr:rowOff>90768</xdr:rowOff>
    </xdr:from>
    <xdr:to>
      <xdr:col>2</xdr:col>
      <xdr:colOff>403411</xdr:colOff>
      <xdr:row>2</xdr:row>
      <xdr:rowOff>63314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3589" y="90768"/>
          <a:ext cx="2173381" cy="409575"/>
        </a:xfrm>
        <a:prstGeom prst="rect">
          <a:avLst/>
        </a:prstGeom>
      </xdr:spPr>
    </xdr:pic>
    <xdr:clientData/>
  </xdr:twoCellAnchor>
  <xdr:twoCellAnchor>
    <xdr:from>
      <xdr:col>1</xdr:col>
      <xdr:colOff>33617</xdr:colOff>
      <xdr:row>0</xdr:row>
      <xdr:rowOff>0</xdr:rowOff>
    </xdr:from>
    <xdr:to>
      <xdr:col>1</xdr:col>
      <xdr:colOff>1576667</xdr:colOff>
      <xdr:row>2</xdr:row>
      <xdr:rowOff>105896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3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705970" y="0"/>
          <a:ext cx="1543050" cy="542925"/>
        </a:xfrm>
        <a:prstGeom prst="leftArrow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1</xdr:row>
      <xdr:rowOff>57150</xdr:rowOff>
    </xdr:from>
    <xdr:to>
      <xdr:col>4</xdr:col>
      <xdr:colOff>466724</xdr:colOff>
      <xdr:row>3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725" y="219075"/>
          <a:ext cx="1952624" cy="409575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1</xdr:row>
      <xdr:rowOff>0</xdr:rowOff>
    </xdr:from>
    <xdr:to>
      <xdr:col>1</xdr:col>
      <xdr:colOff>1733551</xdr:colOff>
      <xdr:row>4</xdr:row>
      <xdr:rowOff>28575</xdr:rowOff>
    </xdr:to>
    <xdr:sp macro="" textlink="">
      <xdr:nvSpPr>
        <xdr:cNvPr id="3" name="Flech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  <a:ext uri="{147F2762-F138-4A5C-976F-8EAC2B608ADB}">
              <a16:predDERef xmlns:a16="http://schemas.microsoft.com/office/drawing/2014/main" pred="{00000000-0008-0000-0600-000002000000}"/>
            </a:ext>
          </a:extLst>
        </xdr:cNvPr>
        <xdr:cNvSpPr/>
      </xdr:nvSpPr>
      <xdr:spPr>
        <a:xfrm>
          <a:off x="762001" y="161925"/>
          <a:ext cx="1733550" cy="542925"/>
        </a:xfrm>
        <a:prstGeom prst="leftArrow">
          <a:avLst/>
        </a:prstGeom>
        <a:solidFill>
          <a:schemeClr val="accent2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login.bdigital.udistrital.edu.co/login?url=https://www.oreilly.com/library-acces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XFC37"/>
  <sheetViews>
    <sheetView showGridLines="0" tabSelected="1" zoomScale="80" zoomScaleNormal="80" workbookViewId="0"/>
  </sheetViews>
  <sheetFormatPr baseColWidth="10" defaultColWidth="0" defaultRowHeight="15" customHeight="1" zeroHeight="1"/>
  <cols>
    <col min="1" max="1" width="2.42578125" style="6" customWidth="1"/>
    <col min="2" max="2" width="3.85546875" style="6" customWidth="1"/>
    <col min="3" max="3" width="34.42578125" style="6" customWidth="1"/>
    <col min="4" max="4" width="44.7109375" style="6" customWidth="1"/>
    <col min="5" max="5" width="18.7109375" style="6" customWidth="1"/>
    <col min="6" max="12" width="11.42578125" style="6" customWidth="1"/>
    <col min="13" max="16381" width="11.42578125" style="6" hidden="1" customWidth="1"/>
    <col min="16382" max="16382" width="6" style="6" hidden="1" customWidth="1"/>
    <col min="16383" max="16383" width="12.140625" style="6" hidden="1" customWidth="1"/>
    <col min="16384" max="16384" width="3" style="6" hidden="1" customWidth="1"/>
  </cols>
  <sheetData>
    <row r="1" spans="3:11" ht="15" customHeight="1"/>
    <row r="2" spans="3:11" ht="18">
      <c r="C2" s="212"/>
      <c r="D2" s="213" t="s">
        <v>0</v>
      </c>
      <c r="E2" s="213"/>
      <c r="F2" s="213"/>
      <c r="G2" s="213"/>
      <c r="H2" s="213"/>
      <c r="I2" s="213"/>
      <c r="J2" s="213"/>
      <c r="K2" s="213"/>
    </row>
    <row r="3" spans="3:11" s="9" customFormat="1" ht="9.75" customHeight="1">
      <c r="C3" s="212"/>
      <c r="D3" s="7"/>
      <c r="E3" s="7"/>
      <c r="F3" s="7"/>
      <c r="G3" s="7"/>
      <c r="H3" s="7"/>
      <c r="I3" s="8"/>
      <c r="J3" s="8"/>
      <c r="K3" s="8"/>
    </row>
    <row r="4" spans="3:11" ht="18">
      <c r="C4" s="212"/>
      <c r="D4" s="213" t="s">
        <v>1</v>
      </c>
      <c r="E4" s="213"/>
      <c r="F4" s="213"/>
      <c r="G4" s="213"/>
      <c r="H4" s="213"/>
      <c r="I4" s="213"/>
      <c r="J4" s="213"/>
      <c r="K4" s="213"/>
    </row>
    <row r="5" spans="3:11" ht="15" customHeight="1"/>
    <row r="6" spans="3:11" ht="12.75">
      <c r="C6" s="10" t="s">
        <v>2</v>
      </c>
      <c r="E6" s="11"/>
    </row>
    <row r="7" spans="3:11" ht="12.75">
      <c r="C7" s="6" t="s">
        <v>3</v>
      </c>
    </row>
    <row r="8" spans="3:11" ht="12.75"/>
    <row r="9" spans="3:11" ht="12.75">
      <c r="C9" s="10"/>
    </row>
    <row r="10" spans="3:11" ht="12.75">
      <c r="C10" s="10"/>
    </row>
    <row r="11" spans="3:11" ht="12.75">
      <c r="C11" s="10"/>
      <c r="D11" s="10"/>
      <c r="E11" s="10"/>
    </row>
    <row r="12" spans="3:11" ht="12.75">
      <c r="C12" s="10"/>
    </row>
    <row r="13" spans="3:11" ht="12.75">
      <c r="C13" s="10"/>
    </row>
    <row r="14" spans="3:11" ht="12.75">
      <c r="C14" s="10"/>
    </row>
    <row r="15" spans="3:11" ht="12.75">
      <c r="C15" s="10"/>
    </row>
    <row r="16" spans="3:11" ht="12.75">
      <c r="C16" s="10"/>
    </row>
    <row r="17" spans="3:3" ht="12.75">
      <c r="C17" s="10"/>
    </row>
    <row r="18" spans="3:3" ht="12.75">
      <c r="C18" s="10"/>
    </row>
    <row r="19" spans="3:3" ht="12.75">
      <c r="C19" s="12"/>
    </row>
    <row r="20" spans="3:3" ht="12.75">
      <c r="C20" s="12"/>
    </row>
    <row r="21" spans="3:3" ht="12.75">
      <c r="C21" s="12"/>
    </row>
    <row r="22" spans="3:3" ht="12.75">
      <c r="C22" s="12"/>
    </row>
    <row r="23" spans="3:3" ht="12.75">
      <c r="C23" s="12"/>
    </row>
    <row r="24" spans="3:3" ht="12.75">
      <c r="C24" s="12"/>
    </row>
    <row r="25" spans="3:3" ht="12.75">
      <c r="C25" s="12"/>
    </row>
    <row r="26" spans="3:3" ht="15" customHeight="1"/>
    <row r="27" spans="3:3" ht="15" customHeight="1"/>
    <row r="28" spans="3:3" ht="15" customHeight="1"/>
    <row r="29" spans="3:3" ht="15" customHeight="1"/>
    <row r="30" spans="3:3" ht="15" customHeight="1"/>
    <row r="31" spans="3:3" ht="15" customHeight="1"/>
    <row r="32" spans="3:3" ht="15" customHeight="1"/>
    <row r="33" ht="15" customHeight="1"/>
    <row r="34" ht="15" customHeight="1"/>
    <row r="35" ht="15" customHeight="1"/>
    <row r="36" ht="15" customHeight="1"/>
    <row r="37" ht="15" customHeight="1"/>
  </sheetData>
  <mergeCells count="3">
    <mergeCell ref="C2:C4"/>
    <mergeCell ref="D2:K2"/>
    <mergeCell ref="D4:K4"/>
  </mergeCells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1016"/>
  <sheetViews>
    <sheetView showGridLines="0" zoomScaleNormal="100" workbookViewId="0">
      <selection activeCell="D4" sqref="D4"/>
    </sheetView>
  </sheetViews>
  <sheetFormatPr baseColWidth="10" defaultColWidth="14.42578125" defaultRowHeight="15" customHeight="1"/>
  <cols>
    <col min="1" max="1" width="9.28515625" style="14" customWidth="1"/>
    <col min="2" max="2" width="7.5703125" style="14" customWidth="1"/>
    <col min="3" max="3" width="11.28515625" style="14" customWidth="1"/>
    <col min="4" max="4" width="19.5703125" style="14" customWidth="1"/>
    <col min="5" max="5" width="27.140625" style="14" customWidth="1"/>
    <col min="6" max="6" width="45.7109375" style="14" customWidth="1"/>
    <col min="7" max="7" width="67.42578125" style="14" customWidth="1"/>
    <col min="8" max="8" width="31.28515625" style="14" customWidth="1"/>
    <col min="9" max="26" width="10" style="14" customWidth="1"/>
    <col min="27" max="16384" width="14.42578125" style="14"/>
  </cols>
  <sheetData>
    <row r="1" spans="2:26" ht="79.5" customHeight="1">
      <c r="B1" s="13"/>
      <c r="C1" s="150"/>
      <c r="F1" s="220" t="s">
        <v>4</v>
      </c>
      <c r="G1" s="220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2:26" ht="12.75" customHeight="1">
      <c r="B2" s="13"/>
      <c r="C2" s="16"/>
      <c r="D2" s="16"/>
      <c r="E2" s="16"/>
      <c r="F2" s="16"/>
      <c r="G2" s="15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2:26" ht="30" customHeight="1">
      <c r="B3" s="17" t="s">
        <v>5</v>
      </c>
      <c r="C3" s="17" t="s">
        <v>6</v>
      </c>
      <c r="D3" s="17" t="s">
        <v>7</v>
      </c>
      <c r="E3" s="17" t="s">
        <v>8</v>
      </c>
      <c r="F3" s="17" t="s">
        <v>9</v>
      </c>
      <c r="G3" s="17" t="s">
        <v>10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2:26" ht="96.75" customHeight="1">
      <c r="B4" s="221">
        <v>2025</v>
      </c>
      <c r="C4" s="208" t="s">
        <v>35</v>
      </c>
      <c r="D4" s="209" t="s">
        <v>393</v>
      </c>
      <c r="E4" s="209" t="s">
        <v>394</v>
      </c>
      <c r="F4" s="210" t="s">
        <v>395</v>
      </c>
      <c r="G4" s="210" t="s">
        <v>396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2:26" ht="60" customHeight="1">
      <c r="B5" s="223"/>
      <c r="C5" s="208" t="s">
        <v>50</v>
      </c>
      <c r="D5" s="211" t="s">
        <v>397</v>
      </c>
      <c r="E5" s="209" t="s">
        <v>398</v>
      </c>
      <c r="F5" s="210" t="s">
        <v>395</v>
      </c>
      <c r="G5" s="210" t="s">
        <v>399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2:26" ht="69" customHeight="1">
      <c r="B6" s="221">
        <v>2024</v>
      </c>
      <c r="C6" s="18" t="s">
        <v>11</v>
      </c>
      <c r="D6" s="19">
        <v>59716000</v>
      </c>
      <c r="E6" s="20" t="s">
        <v>12</v>
      </c>
      <c r="F6" s="20" t="s">
        <v>13</v>
      </c>
      <c r="G6" s="20" t="s">
        <v>14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2:26" ht="60.75" customHeight="1">
      <c r="B7" s="222"/>
      <c r="C7" s="18" t="s">
        <v>15</v>
      </c>
      <c r="D7" s="19">
        <v>1183529300</v>
      </c>
      <c r="E7" s="20" t="s">
        <v>16</v>
      </c>
      <c r="F7" s="20" t="s">
        <v>13</v>
      </c>
      <c r="G7" s="20" t="s">
        <v>17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2:26" ht="60.75" customHeight="1">
      <c r="B8" s="222"/>
      <c r="C8" s="18" t="s">
        <v>15</v>
      </c>
      <c r="D8" s="19">
        <v>10182000</v>
      </c>
      <c r="E8" s="20" t="s">
        <v>18</v>
      </c>
      <c r="F8" s="20" t="s">
        <v>19</v>
      </c>
      <c r="G8" s="20" t="s">
        <v>20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2:26" ht="99.75" customHeight="1">
      <c r="B9" s="222"/>
      <c r="C9" s="18" t="s">
        <v>15</v>
      </c>
      <c r="D9" s="19">
        <v>99825750</v>
      </c>
      <c r="E9" s="20" t="s">
        <v>21</v>
      </c>
      <c r="F9" s="20" t="s">
        <v>22</v>
      </c>
      <c r="G9" s="20" t="s">
        <v>23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2:26" ht="30" customHeight="1">
      <c r="B10" s="223"/>
      <c r="C10" s="21" t="s">
        <v>24</v>
      </c>
      <c r="D10" s="17"/>
      <c r="E10" s="22"/>
      <c r="F10" s="22"/>
      <c r="G10" s="2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2:26" ht="186" customHeight="1">
      <c r="B11" s="224">
        <v>2023</v>
      </c>
      <c r="C11" s="226" t="s">
        <v>25</v>
      </c>
      <c r="D11" s="19">
        <v>1246943550</v>
      </c>
      <c r="E11" s="23" t="s">
        <v>26</v>
      </c>
      <c r="F11" s="23" t="s">
        <v>27</v>
      </c>
      <c r="G11" s="24" t="s">
        <v>28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2:26" ht="49.5" customHeight="1">
      <c r="B12" s="225"/>
      <c r="C12" s="227"/>
      <c r="D12" s="19">
        <v>63372258</v>
      </c>
      <c r="E12" s="25"/>
      <c r="F12" s="26" t="s">
        <v>29</v>
      </c>
      <c r="G12" s="27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2:26" ht="12.75" customHeight="1">
      <c r="B13" s="28"/>
      <c r="C13" s="29" t="s">
        <v>30</v>
      </c>
      <c r="D13" s="30">
        <f>+SUM(D11:D12)</f>
        <v>1310315808</v>
      </c>
      <c r="E13" s="31"/>
      <c r="F13" s="32"/>
      <c r="G13" s="3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2:26" ht="156" customHeight="1">
      <c r="B14" s="228">
        <v>2022</v>
      </c>
      <c r="C14" s="34" t="s">
        <v>25</v>
      </c>
      <c r="D14" s="35">
        <v>1125235525</v>
      </c>
      <c r="E14" s="23" t="s">
        <v>31</v>
      </c>
      <c r="F14" s="26" t="s">
        <v>27</v>
      </c>
      <c r="G14" s="26" t="s">
        <v>32</v>
      </c>
      <c r="H14" s="36" t="s">
        <v>33</v>
      </c>
      <c r="I14" s="36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2:26" ht="12.75" customHeight="1">
      <c r="B15" s="216"/>
      <c r="C15" s="29" t="s">
        <v>34</v>
      </c>
      <c r="D15" s="30">
        <f>+D14</f>
        <v>1125235525</v>
      </c>
      <c r="E15" s="31"/>
      <c r="F15" s="32"/>
      <c r="G15" s="3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2:26" ht="116.25" customHeight="1">
      <c r="B16" s="214">
        <v>2021</v>
      </c>
      <c r="C16" s="37" t="s">
        <v>35</v>
      </c>
      <c r="D16" s="35">
        <v>738619249</v>
      </c>
      <c r="E16" s="38">
        <v>42963</v>
      </c>
      <c r="F16" s="23" t="s">
        <v>36</v>
      </c>
      <c r="G16" s="23" t="s">
        <v>37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2:26" ht="36.75" customHeight="1">
      <c r="B17" s="215"/>
      <c r="C17" s="37" t="s">
        <v>15</v>
      </c>
      <c r="D17" s="35">
        <v>840662751</v>
      </c>
      <c r="E17" s="38">
        <v>15298946</v>
      </c>
      <c r="F17" s="23" t="s">
        <v>38</v>
      </c>
      <c r="G17" s="2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2:26" ht="56.25" customHeight="1">
      <c r="B18" s="216"/>
      <c r="C18" s="37" t="s">
        <v>15</v>
      </c>
      <c r="D18" s="35">
        <v>129902900</v>
      </c>
      <c r="E18" s="23">
        <v>3</v>
      </c>
      <c r="F18" s="23" t="s">
        <v>39</v>
      </c>
      <c r="G18" s="23" t="s">
        <v>40</v>
      </c>
      <c r="H18" s="39"/>
      <c r="I18" s="39"/>
      <c r="J18" s="39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2:26" ht="12.75" customHeight="1">
      <c r="B19" s="37"/>
      <c r="C19" s="17" t="s">
        <v>41</v>
      </c>
      <c r="D19" s="40">
        <v>1709184900</v>
      </c>
      <c r="E19" s="41"/>
      <c r="F19" s="42"/>
      <c r="G19" s="23"/>
      <c r="H19" s="39"/>
      <c r="I19" s="39"/>
      <c r="J19" s="39"/>
      <c r="K19" s="39"/>
      <c r="L19" s="39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2:26" ht="37.5" customHeight="1">
      <c r="B20" s="214">
        <v>2020</v>
      </c>
      <c r="C20" s="37" t="s">
        <v>15</v>
      </c>
      <c r="D20" s="35">
        <v>99289865</v>
      </c>
      <c r="E20" s="23">
        <v>814</v>
      </c>
      <c r="F20" s="23" t="s">
        <v>42</v>
      </c>
      <c r="G20" s="217" t="s">
        <v>43</v>
      </c>
      <c r="H20" s="39"/>
      <c r="I20" s="39"/>
      <c r="J20" s="43"/>
      <c r="K20" s="44"/>
      <c r="L20" s="39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2:26" ht="23.25" customHeight="1">
      <c r="B21" s="215"/>
      <c r="C21" s="37" t="s">
        <v>15</v>
      </c>
      <c r="D21" s="45">
        <v>799137697</v>
      </c>
      <c r="E21" s="23">
        <v>7</v>
      </c>
      <c r="F21" s="23" t="s">
        <v>38</v>
      </c>
      <c r="G21" s="218"/>
      <c r="H21" s="39"/>
      <c r="I21" s="39"/>
      <c r="J21" s="43"/>
      <c r="K21" s="44"/>
      <c r="L21" s="39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2:26" ht="12.75" customHeight="1">
      <c r="B22" s="216"/>
      <c r="C22" s="17" t="s">
        <v>44</v>
      </c>
      <c r="D22" s="46">
        <v>898427562</v>
      </c>
      <c r="E22" s="47"/>
      <c r="F22" s="48"/>
      <c r="G22" s="218"/>
      <c r="H22" s="39"/>
      <c r="I22" s="39"/>
      <c r="J22" s="43"/>
      <c r="K22" s="44"/>
      <c r="L22" s="39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2:26" ht="39" customHeight="1">
      <c r="B23" s="214">
        <v>2019</v>
      </c>
      <c r="C23" s="37" t="s">
        <v>35</v>
      </c>
      <c r="D23" s="35">
        <v>48759400</v>
      </c>
      <c r="E23" s="49">
        <v>35482</v>
      </c>
      <c r="F23" s="23" t="s">
        <v>39</v>
      </c>
      <c r="G23" s="218"/>
      <c r="H23" s="39"/>
      <c r="I23" s="39"/>
      <c r="J23" s="39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2:26" ht="27" customHeight="1">
      <c r="B24" s="215"/>
      <c r="C24" s="37" t="s">
        <v>35</v>
      </c>
      <c r="D24" s="35">
        <v>620986101</v>
      </c>
      <c r="E24" s="50">
        <v>8</v>
      </c>
      <c r="F24" s="23" t="s">
        <v>38</v>
      </c>
      <c r="G24" s="218"/>
      <c r="H24" s="39"/>
      <c r="I24" s="39"/>
      <c r="J24" s="39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2:26" ht="12.75" customHeight="1">
      <c r="B25" s="216"/>
      <c r="C25" s="17" t="s">
        <v>45</v>
      </c>
      <c r="D25" s="46">
        <v>669745501</v>
      </c>
      <c r="E25" s="47"/>
      <c r="F25" s="48"/>
      <c r="G25" s="218"/>
      <c r="H25" s="39"/>
      <c r="I25" s="39"/>
      <c r="J25" s="39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2:26" ht="32.25" customHeight="1">
      <c r="B26" s="214">
        <v>2018</v>
      </c>
      <c r="C26" s="37" t="s">
        <v>35</v>
      </c>
      <c r="D26" s="35">
        <v>355272541</v>
      </c>
      <c r="E26" s="38">
        <v>2642</v>
      </c>
      <c r="F26" s="23" t="s">
        <v>46</v>
      </c>
      <c r="G26" s="218"/>
      <c r="H26" s="39"/>
      <c r="I26" s="39"/>
      <c r="J26" s="39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2:26" ht="32.25" customHeight="1">
      <c r="B27" s="215"/>
      <c r="C27" s="37" t="s">
        <v>35</v>
      </c>
      <c r="D27" s="35">
        <v>1470922143</v>
      </c>
      <c r="E27" s="23">
        <v>25</v>
      </c>
      <c r="F27" s="23" t="s">
        <v>38</v>
      </c>
      <c r="G27" s="218"/>
      <c r="H27" s="39"/>
      <c r="I27" s="39"/>
      <c r="J27" s="39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2:26" ht="32.25" customHeight="1">
      <c r="B28" s="215"/>
      <c r="C28" s="37" t="s">
        <v>35</v>
      </c>
      <c r="D28" s="35">
        <v>100000000</v>
      </c>
      <c r="E28" s="23">
        <v>5</v>
      </c>
      <c r="F28" s="23" t="s">
        <v>47</v>
      </c>
      <c r="G28" s="218"/>
      <c r="H28" s="39"/>
      <c r="I28" s="39"/>
      <c r="J28" s="39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2:26" ht="12.75" customHeight="1">
      <c r="B29" s="216"/>
      <c r="C29" s="17" t="s">
        <v>48</v>
      </c>
      <c r="D29" s="46">
        <v>1926194684</v>
      </c>
      <c r="E29" s="47"/>
      <c r="F29" s="48"/>
      <c r="G29" s="218"/>
      <c r="H29" s="39"/>
      <c r="I29" s="39"/>
      <c r="J29" s="39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2:26" ht="27.75" customHeight="1">
      <c r="B30" s="214">
        <v>2017</v>
      </c>
      <c r="C30" s="37" t="s">
        <v>35</v>
      </c>
      <c r="D30" s="35">
        <v>180000000</v>
      </c>
      <c r="E30" s="23">
        <v>311</v>
      </c>
      <c r="F30" s="23" t="s">
        <v>49</v>
      </c>
      <c r="G30" s="218"/>
      <c r="H30" s="39"/>
      <c r="I30" s="39"/>
      <c r="J30" s="39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2:26" ht="27.75" customHeight="1">
      <c r="B31" s="215"/>
      <c r="C31" s="37" t="s">
        <v>50</v>
      </c>
      <c r="D31" s="35">
        <v>550380609</v>
      </c>
      <c r="E31" s="23">
        <v>12</v>
      </c>
      <c r="F31" s="23" t="s">
        <v>51</v>
      </c>
      <c r="G31" s="218"/>
      <c r="H31" s="39"/>
      <c r="I31" s="39"/>
      <c r="J31" s="39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2:26" ht="12.75" customHeight="1">
      <c r="B32" s="216"/>
      <c r="C32" s="17" t="s">
        <v>52</v>
      </c>
      <c r="D32" s="46">
        <v>730380609</v>
      </c>
      <c r="E32" s="47"/>
      <c r="F32" s="48"/>
      <c r="G32" s="218"/>
      <c r="H32" s="39"/>
      <c r="I32" s="39"/>
      <c r="J32" s="39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2:26" ht="17.25" customHeight="1">
      <c r="B33" s="214">
        <v>2016</v>
      </c>
      <c r="C33" s="37" t="s">
        <v>50</v>
      </c>
      <c r="D33" s="35">
        <v>500000000</v>
      </c>
      <c r="E33" s="38">
        <v>3654</v>
      </c>
      <c r="F33" s="23" t="s">
        <v>53</v>
      </c>
      <c r="G33" s="218"/>
      <c r="H33" s="39"/>
      <c r="I33" s="39"/>
      <c r="J33" s="39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2:26" ht="15.75" customHeight="1">
      <c r="B34" s="215"/>
      <c r="C34" s="37" t="s">
        <v>35</v>
      </c>
      <c r="D34" s="35">
        <v>1231642357</v>
      </c>
      <c r="E34" s="23">
        <v>21</v>
      </c>
      <c r="F34" s="23" t="s">
        <v>51</v>
      </c>
      <c r="G34" s="218"/>
      <c r="H34" s="39"/>
      <c r="I34" s="39"/>
      <c r="J34" s="39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2:26" ht="12.75" customHeight="1">
      <c r="B35" s="216"/>
      <c r="C35" s="17" t="s">
        <v>54</v>
      </c>
      <c r="D35" s="46">
        <v>1731642357</v>
      </c>
      <c r="E35" s="47"/>
      <c r="F35" s="48"/>
      <c r="G35" s="218"/>
      <c r="H35" s="39"/>
      <c r="I35" s="39"/>
      <c r="J35" s="39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2:26" ht="28.5" customHeight="1">
      <c r="B36" s="214">
        <v>2015</v>
      </c>
      <c r="C36" s="37" t="s">
        <v>50</v>
      </c>
      <c r="D36" s="35">
        <v>222041100</v>
      </c>
      <c r="E36" s="38">
        <v>1436</v>
      </c>
      <c r="F36" s="23" t="s">
        <v>55</v>
      </c>
      <c r="G36" s="218"/>
      <c r="H36" s="39"/>
      <c r="I36" s="39"/>
      <c r="J36" s="39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2:26" ht="28.5" customHeight="1">
      <c r="B37" s="215"/>
      <c r="C37" s="37" t="s">
        <v>35</v>
      </c>
      <c r="D37" s="35">
        <v>1056698174</v>
      </c>
      <c r="E37" s="23">
        <v>21</v>
      </c>
      <c r="F37" s="23" t="s">
        <v>51</v>
      </c>
      <c r="G37" s="218"/>
      <c r="H37" s="39"/>
      <c r="I37" s="39"/>
      <c r="J37" s="39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2:26" ht="12.75" customHeight="1">
      <c r="B38" s="216"/>
      <c r="C38" s="17" t="s">
        <v>56</v>
      </c>
      <c r="D38" s="46">
        <v>1278739274</v>
      </c>
      <c r="E38" s="47"/>
      <c r="F38" s="48"/>
      <c r="G38" s="218"/>
      <c r="H38" s="39"/>
      <c r="I38" s="39"/>
      <c r="J38" s="39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2:26" ht="25.5" customHeight="1">
      <c r="B39" s="214">
        <v>2014</v>
      </c>
      <c r="C39" s="37" t="s">
        <v>50</v>
      </c>
      <c r="D39" s="35">
        <v>819500000</v>
      </c>
      <c r="E39" s="38">
        <v>5246</v>
      </c>
      <c r="F39" s="23" t="s">
        <v>55</v>
      </c>
      <c r="G39" s="218"/>
      <c r="H39" s="39"/>
      <c r="I39" s="39"/>
      <c r="J39" s="39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2:26" ht="25.5" customHeight="1">
      <c r="B40" s="215"/>
      <c r="C40" s="37" t="s">
        <v>35</v>
      </c>
      <c r="D40" s="35">
        <v>421819549</v>
      </c>
      <c r="E40" s="23">
        <v>22</v>
      </c>
      <c r="F40" s="23" t="s">
        <v>51</v>
      </c>
      <c r="G40" s="218"/>
      <c r="H40" s="39"/>
      <c r="I40" s="39"/>
      <c r="J40" s="39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2:26" ht="12.75" customHeight="1">
      <c r="B41" s="216"/>
      <c r="C41" s="17" t="s">
        <v>57</v>
      </c>
      <c r="D41" s="46">
        <v>1241319549</v>
      </c>
      <c r="E41" s="47"/>
      <c r="F41" s="48"/>
      <c r="G41" s="218"/>
      <c r="H41" s="39"/>
      <c r="I41" s="39"/>
      <c r="J41" s="39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2:26" ht="26.25" customHeight="1">
      <c r="B42" s="214">
        <v>2013</v>
      </c>
      <c r="C42" s="37" t="s">
        <v>50</v>
      </c>
      <c r="D42" s="35">
        <v>169912104</v>
      </c>
      <c r="E42" s="38">
        <v>2022</v>
      </c>
      <c r="F42" s="23" t="s">
        <v>55</v>
      </c>
      <c r="G42" s="218"/>
      <c r="H42" s="39"/>
      <c r="I42" s="39"/>
      <c r="J42" s="39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2:26" ht="26.25" customHeight="1">
      <c r="B43" s="215"/>
      <c r="C43" s="37" t="s">
        <v>35</v>
      </c>
      <c r="D43" s="35">
        <v>906244310</v>
      </c>
      <c r="E43" s="23">
        <v>16</v>
      </c>
      <c r="F43" s="23" t="s">
        <v>51</v>
      </c>
      <c r="G43" s="218"/>
      <c r="H43" s="39"/>
      <c r="I43" s="39"/>
      <c r="J43" s="39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2:26" ht="12.75" customHeight="1">
      <c r="B44" s="216"/>
      <c r="C44" s="17" t="s">
        <v>58</v>
      </c>
      <c r="D44" s="46">
        <v>1076156414</v>
      </c>
      <c r="E44" s="47"/>
      <c r="F44" s="48"/>
      <c r="G44" s="218"/>
      <c r="H44" s="39"/>
      <c r="I44" s="39"/>
      <c r="J44" s="39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2:26" ht="27" customHeight="1">
      <c r="B45" s="214">
        <v>2012</v>
      </c>
      <c r="C45" s="37" t="s">
        <v>50</v>
      </c>
      <c r="D45" s="35">
        <v>500000000</v>
      </c>
      <c r="E45" s="38">
        <v>2083</v>
      </c>
      <c r="F45" s="23" t="s">
        <v>55</v>
      </c>
      <c r="G45" s="218"/>
      <c r="H45" s="39"/>
      <c r="I45" s="39"/>
      <c r="J45" s="39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2:26" ht="27" customHeight="1">
      <c r="B46" s="215"/>
      <c r="C46" s="37" t="s">
        <v>35</v>
      </c>
      <c r="D46" s="35">
        <v>187555600</v>
      </c>
      <c r="E46" s="23">
        <v>11</v>
      </c>
      <c r="F46" s="23" t="s">
        <v>51</v>
      </c>
      <c r="G46" s="218"/>
      <c r="H46" s="39"/>
      <c r="I46" s="39"/>
      <c r="J46" s="39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2:26" ht="12.75" customHeight="1">
      <c r="B47" s="216"/>
      <c r="C47" s="51" t="s">
        <v>59</v>
      </c>
      <c r="D47" s="46">
        <v>687555600</v>
      </c>
      <c r="E47" s="47"/>
      <c r="F47" s="22"/>
      <c r="G47" s="219"/>
      <c r="H47" s="39"/>
      <c r="I47" s="39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2:26" ht="12.75" customHeight="1">
      <c r="B48" s="13"/>
      <c r="C48" s="13"/>
      <c r="D48" s="39"/>
      <c r="E48" s="39"/>
      <c r="F48" s="52"/>
      <c r="G48" s="53"/>
      <c r="H48" s="39"/>
      <c r="I48" s="39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2:26" s="59" customFormat="1" ht="12.75" customHeight="1">
      <c r="B49" s="54" t="s">
        <v>60</v>
      </c>
      <c r="C49" s="55"/>
      <c r="D49" s="56"/>
      <c r="E49" s="56"/>
      <c r="F49" s="57"/>
      <c r="G49" s="58"/>
      <c r="H49" s="56"/>
      <c r="I49" s="56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2:26" ht="12.75" customHeight="1">
      <c r="B50" s="13"/>
      <c r="C50" s="13"/>
      <c r="D50" s="39"/>
      <c r="E50" s="39"/>
      <c r="F50" s="52"/>
      <c r="G50" s="53"/>
      <c r="H50" s="39"/>
      <c r="I50" s="39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2:26" ht="12.75" customHeight="1">
      <c r="B51" s="13"/>
      <c r="C51" s="13"/>
      <c r="D51" s="39"/>
      <c r="E51" s="39"/>
      <c r="F51" s="52"/>
      <c r="G51" s="53"/>
      <c r="H51" s="39"/>
      <c r="I51" s="39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2:26" ht="12.75" customHeight="1">
      <c r="B52" s="13"/>
      <c r="C52" s="13"/>
      <c r="D52" s="13"/>
      <c r="E52" s="13"/>
      <c r="F52" s="60"/>
      <c r="G52" s="15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2:26" ht="12.75" customHeight="1">
      <c r="B53" s="13"/>
      <c r="C53" s="13"/>
      <c r="D53" s="13"/>
      <c r="E53" s="13"/>
      <c r="F53" s="60"/>
      <c r="G53" s="15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2:26" ht="12.75" customHeight="1">
      <c r="B54" s="13"/>
      <c r="C54" s="13"/>
      <c r="D54" s="13"/>
      <c r="E54" s="13"/>
      <c r="F54" s="60"/>
      <c r="G54" s="15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2:26" ht="12.75" customHeight="1">
      <c r="B55" s="13"/>
      <c r="C55" s="13"/>
      <c r="D55" s="13"/>
      <c r="E55" s="13"/>
      <c r="F55" s="60"/>
      <c r="G55" s="15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2:26" ht="12.75" customHeight="1">
      <c r="B56" s="13"/>
      <c r="C56" s="13"/>
      <c r="D56" s="13"/>
      <c r="E56" s="13"/>
      <c r="F56" s="60"/>
      <c r="G56" s="15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2:26" ht="12.75" customHeight="1">
      <c r="B57" s="13"/>
      <c r="C57" s="13"/>
      <c r="D57" s="13"/>
      <c r="E57" s="13"/>
      <c r="F57" s="60"/>
      <c r="G57" s="15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2:26" ht="12.75" customHeight="1">
      <c r="B58" s="13"/>
      <c r="C58" s="39"/>
      <c r="D58" s="39"/>
      <c r="E58" s="39"/>
      <c r="F58" s="60"/>
      <c r="G58" s="15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2:26" ht="12.75" customHeight="1">
      <c r="B59" s="13"/>
      <c r="C59" s="13"/>
      <c r="D59" s="13"/>
      <c r="E59" s="13"/>
      <c r="F59" s="60"/>
      <c r="G59" s="15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2:26" ht="12.75" customHeight="1">
      <c r="B60" s="13"/>
      <c r="C60" s="13"/>
      <c r="D60" s="13"/>
      <c r="E60" s="13"/>
      <c r="F60" s="60"/>
      <c r="G60" s="15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2:26" ht="12.75" customHeight="1">
      <c r="B61" s="13"/>
      <c r="C61" s="13"/>
      <c r="D61" s="13"/>
      <c r="E61" s="13"/>
      <c r="F61" s="60"/>
      <c r="G61" s="15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2:26" ht="12.75" customHeight="1">
      <c r="B62" s="13"/>
      <c r="C62" s="13"/>
      <c r="D62" s="13"/>
      <c r="E62" s="13"/>
      <c r="F62" s="60"/>
      <c r="G62" s="15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2:26" ht="12.75" customHeight="1">
      <c r="B63" s="13"/>
      <c r="C63" s="13"/>
      <c r="D63" s="13"/>
      <c r="E63" s="13"/>
      <c r="F63" s="60"/>
      <c r="G63" s="15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2:26" ht="12.75" customHeight="1">
      <c r="B64" s="13"/>
      <c r="C64" s="13"/>
      <c r="D64" s="13"/>
      <c r="E64" s="13"/>
      <c r="F64" s="60"/>
      <c r="G64" s="15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2:26" ht="12.75" customHeight="1">
      <c r="B65" s="13"/>
      <c r="C65" s="13"/>
      <c r="D65" s="13"/>
      <c r="E65" s="13"/>
      <c r="F65" s="60"/>
      <c r="G65" s="15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2:26" ht="12.75" customHeight="1">
      <c r="B66" s="13"/>
      <c r="C66" s="13"/>
      <c r="D66" s="13"/>
      <c r="E66" s="13"/>
      <c r="F66" s="60"/>
      <c r="G66" s="15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2:26" ht="12.75" customHeight="1">
      <c r="B67" s="13"/>
      <c r="C67" s="13"/>
      <c r="D67" s="13"/>
      <c r="E67" s="13"/>
      <c r="F67" s="60"/>
      <c r="G67" s="15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2:26" ht="12.75" customHeight="1">
      <c r="B68" s="13"/>
      <c r="C68" s="13"/>
      <c r="D68" s="13"/>
      <c r="E68" s="13"/>
      <c r="F68" s="60"/>
      <c r="G68" s="15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2:26" ht="12.75" customHeight="1">
      <c r="B69" s="13"/>
      <c r="C69" s="13"/>
      <c r="D69" s="13"/>
      <c r="E69" s="13"/>
      <c r="F69" s="60"/>
      <c r="G69" s="15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2:26" ht="12.75" customHeight="1">
      <c r="B70" s="13"/>
      <c r="C70" s="13"/>
      <c r="D70" s="13"/>
      <c r="E70" s="13"/>
      <c r="F70" s="60"/>
      <c r="G70" s="15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2:26" ht="12.75" customHeight="1">
      <c r="B71" s="13"/>
      <c r="C71" s="13"/>
      <c r="D71" s="13"/>
      <c r="E71" s="13"/>
      <c r="F71" s="60"/>
      <c r="G71" s="15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2:26" ht="12.75" customHeight="1">
      <c r="B72" s="13"/>
      <c r="C72" s="13"/>
      <c r="D72" s="13"/>
      <c r="E72" s="13"/>
      <c r="F72" s="60"/>
      <c r="G72" s="15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2:26" ht="12.75" customHeight="1">
      <c r="B73" s="13"/>
      <c r="C73" s="13"/>
      <c r="D73" s="13"/>
      <c r="E73" s="13"/>
      <c r="F73" s="60"/>
      <c r="G73" s="15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2:26" ht="12.75" customHeight="1">
      <c r="B74" s="13"/>
      <c r="C74" s="13"/>
      <c r="D74" s="13"/>
      <c r="E74" s="13"/>
      <c r="F74" s="60"/>
      <c r="G74" s="15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2:26" ht="12.75" customHeight="1">
      <c r="B75" s="13"/>
      <c r="C75" s="13"/>
      <c r="D75" s="13"/>
      <c r="E75" s="13"/>
      <c r="F75" s="60"/>
      <c r="G75" s="15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2:26" ht="12.75" customHeight="1">
      <c r="B76" s="13"/>
      <c r="C76" s="13"/>
      <c r="D76" s="13"/>
      <c r="E76" s="13"/>
      <c r="F76" s="60"/>
      <c r="G76" s="15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2:26" ht="12.75" customHeight="1">
      <c r="B77" s="13"/>
      <c r="C77" s="13"/>
      <c r="D77" s="13"/>
      <c r="E77" s="13"/>
      <c r="F77" s="60"/>
      <c r="G77" s="15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2:26" ht="12.75" customHeight="1">
      <c r="B78" s="13"/>
      <c r="C78" s="13"/>
      <c r="D78" s="13"/>
      <c r="E78" s="13"/>
      <c r="F78" s="60"/>
      <c r="G78" s="15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2:26" ht="12.75" customHeight="1">
      <c r="B79" s="13"/>
      <c r="C79" s="13"/>
      <c r="D79" s="13"/>
      <c r="E79" s="13"/>
      <c r="F79" s="60"/>
      <c r="G79" s="15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2:26" ht="12.75" customHeight="1">
      <c r="B80" s="13"/>
      <c r="C80" s="13"/>
      <c r="D80" s="13"/>
      <c r="E80" s="13"/>
      <c r="F80" s="60"/>
      <c r="G80" s="15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2:26" ht="12.75" customHeight="1">
      <c r="B81" s="13"/>
      <c r="C81" s="13"/>
      <c r="D81" s="13"/>
      <c r="E81" s="13"/>
      <c r="F81" s="60"/>
      <c r="G81" s="15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2:26" ht="12.75" customHeight="1">
      <c r="B82" s="13"/>
      <c r="C82" s="13"/>
      <c r="D82" s="13"/>
      <c r="E82" s="13"/>
      <c r="F82" s="60"/>
      <c r="G82" s="15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2:26" ht="12.75" customHeight="1">
      <c r="B83" s="13"/>
      <c r="C83" s="13"/>
      <c r="D83" s="13"/>
      <c r="E83" s="13"/>
      <c r="F83" s="60"/>
      <c r="G83" s="15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2:26" ht="12.75" customHeight="1">
      <c r="B84" s="13"/>
      <c r="C84" s="13"/>
      <c r="D84" s="13"/>
      <c r="E84" s="13"/>
      <c r="F84" s="60"/>
      <c r="G84" s="15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2:26" ht="12.75" customHeight="1">
      <c r="B85" s="13"/>
      <c r="C85" s="13"/>
      <c r="D85" s="13"/>
      <c r="E85" s="13"/>
      <c r="F85" s="60"/>
      <c r="G85" s="15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2:26" ht="12.75" customHeight="1">
      <c r="B86" s="13"/>
      <c r="C86" s="13"/>
      <c r="D86" s="13"/>
      <c r="E86" s="13"/>
      <c r="F86" s="60"/>
      <c r="G86" s="15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2:26" ht="12.75" customHeight="1">
      <c r="B87" s="13"/>
      <c r="C87" s="13"/>
      <c r="D87" s="13"/>
      <c r="E87" s="13"/>
      <c r="F87" s="60"/>
      <c r="G87" s="15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2:26" ht="12.75" customHeight="1">
      <c r="B88" s="13"/>
      <c r="C88" s="13"/>
      <c r="D88" s="13"/>
      <c r="E88" s="13"/>
      <c r="F88" s="60"/>
      <c r="G88" s="15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2:26" ht="12.75" customHeight="1">
      <c r="B89" s="13"/>
      <c r="C89" s="13"/>
      <c r="D89" s="13"/>
      <c r="E89" s="13"/>
      <c r="F89" s="60"/>
      <c r="G89" s="15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2:26" ht="12.75" customHeight="1">
      <c r="B90" s="13"/>
      <c r="C90" s="13"/>
      <c r="D90" s="13"/>
      <c r="E90" s="13"/>
      <c r="F90" s="60"/>
      <c r="G90" s="15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2:26" ht="12.75" customHeight="1">
      <c r="B91" s="13"/>
      <c r="C91" s="13"/>
      <c r="D91" s="13"/>
      <c r="E91" s="13"/>
      <c r="F91" s="60"/>
      <c r="G91" s="15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2:26" ht="12.75" customHeight="1">
      <c r="B92" s="13"/>
      <c r="C92" s="13"/>
      <c r="D92" s="13"/>
      <c r="E92" s="13"/>
      <c r="F92" s="60"/>
      <c r="G92" s="15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2:26" ht="12.75" customHeight="1">
      <c r="B93" s="13"/>
      <c r="C93" s="13"/>
      <c r="D93" s="13"/>
      <c r="E93" s="13"/>
      <c r="F93" s="60"/>
      <c r="G93" s="15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2:26" ht="12.75" customHeight="1">
      <c r="B94" s="13"/>
      <c r="C94" s="13"/>
      <c r="D94" s="13"/>
      <c r="E94" s="13"/>
      <c r="F94" s="60"/>
      <c r="G94" s="15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2:26" ht="12.75" customHeight="1">
      <c r="B95" s="13"/>
      <c r="C95" s="13"/>
      <c r="D95" s="13"/>
      <c r="E95" s="13"/>
      <c r="F95" s="60"/>
      <c r="G95" s="15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2:26" ht="12.75" customHeight="1">
      <c r="B96" s="13"/>
      <c r="C96" s="13"/>
      <c r="D96" s="13"/>
      <c r="E96" s="13"/>
      <c r="F96" s="60"/>
      <c r="G96" s="15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2:26" ht="12.75" customHeight="1">
      <c r="B97" s="13"/>
      <c r="C97" s="13"/>
      <c r="D97" s="13"/>
      <c r="E97" s="13"/>
      <c r="F97" s="60"/>
      <c r="G97" s="15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2:26" ht="12.75" customHeight="1">
      <c r="B98" s="13"/>
      <c r="C98" s="13"/>
      <c r="D98" s="13"/>
      <c r="E98" s="13"/>
      <c r="F98" s="60"/>
      <c r="G98" s="15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2:26" ht="12.75" customHeight="1">
      <c r="B99" s="13"/>
      <c r="C99" s="13"/>
      <c r="D99" s="13"/>
      <c r="E99" s="13"/>
      <c r="F99" s="60"/>
      <c r="G99" s="15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2:26" ht="12.75" customHeight="1">
      <c r="B100" s="13"/>
      <c r="C100" s="13"/>
      <c r="D100" s="13"/>
      <c r="E100" s="13"/>
      <c r="F100" s="60"/>
      <c r="G100" s="15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2:26" ht="12.75" customHeight="1">
      <c r="B101" s="13"/>
      <c r="C101" s="13"/>
      <c r="D101" s="13"/>
      <c r="E101" s="13"/>
      <c r="F101" s="60"/>
      <c r="G101" s="15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2:26" ht="12.75" customHeight="1">
      <c r="B102" s="13"/>
      <c r="C102" s="13"/>
      <c r="D102" s="13"/>
      <c r="E102" s="13"/>
      <c r="F102" s="60"/>
      <c r="G102" s="15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2:26" ht="12.75" customHeight="1">
      <c r="B103" s="13"/>
      <c r="C103" s="13"/>
      <c r="D103" s="13"/>
      <c r="E103" s="13"/>
      <c r="F103" s="60"/>
      <c r="G103" s="15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2:26" ht="12.75" customHeight="1">
      <c r="B104" s="13"/>
      <c r="C104" s="13"/>
      <c r="D104" s="13"/>
      <c r="E104" s="13"/>
      <c r="F104" s="60"/>
      <c r="G104" s="15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2:26" ht="12.75" customHeight="1">
      <c r="B105" s="13"/>
      <c r="C105" s="13"/>
      <c r="D105" s="13"/>
      <c r="E105" s="13"/>
      <c r="F105" s="60"/>
      <c r="G105" s="15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2:26" ht="12.75" customHeight="1">
      <c r="B106" s="13"/>
      <c r="C106" s="13"/>
      <c r="D106" s="13"/>
      <c r="E106" s="13"/>
      <c r="F106" s="60"/>
      <c r="G106" s="15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2:26" ht="12.75" customHeight="1">
      <c r="B107" s="13"/>
      <c r="C107" s="13"/>
      <c r="D107" s="13"/>
      <c r="E107" s="13"/>
      <c r="F107" s="60"/>
      <c r="G107" s="15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2:26" ht="12.75" customHeight="1">
      <c r="B108" s="13"/>
      <c r="C108" s="13"/>
      <c r="D108" s="13"/>
      <c r="E108" s="13"/>
      <c r="F108" s="60"/>
      <c r="G108" s="15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2:26" ht="12.75" customHeight="1">
      <c r="B109" s="13"/>
      <c r="C109" s="13"/>
      <c r="D109" s="13"/>
      <c r="E109" s="13"/>
      <c r="F109" s="60"/>
      <c r="G109" s="15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2:26" ht="12.75" customHeight="1">
      <c r="B110" s="13"/>
      <c r="C110" s="13"/>
      <c r="D110" s="13"/>
      <c r="E110" s="13"/>
      <c r="F110" s="60"/>
      <c r="G110" s="15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2:26" ht="12.75" customHeight="1">
      <c r="B111" s="13"/>
      <c r="C111" s="13"/>
      <c r="D111" s="13"/>
      <c r="E111" s="13"/>
      <c r="F111" s="60"/>
      <c r="G111" s="15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2:26" ht="12.75" customHeight="1">
      <c r="B112" s="13"/>
      <c r="C112" s="13"/>
      <c r="D112" s="13"/>
      <c r="E112" s="13"/>
      <c r="F112" s="60"/>
      <c r="G112" s="15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2:26" ht="12.75" customHeight="1">
      <c r="B113" s="13"/>
      <c r="C113" s="13"/>
      <c r="D113" s="13"/>
      <c r="E113" s="13"/>
      <c r="F113" s="60"/>
      <c r="G113" s="15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2:26" ht="12.75" customHeight="1">
      <c r="B114" s="13"/>
      <c r="C114" s="13"/>
      <c r="D114" s="13"/>
      <c r="E114" s="13"/>
      <c r="F114" s="60"/>
      <c r="G114" s="15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2:26" ht="12.75" customHeight="1">
      <c r="B115" s="13"/>
      <c r="C115" s="13"/>
      <c r="D115" s="13"/>
      <c r="E115" s="13"/>
      <c r="F115" s="60"/>
      <c r="G115" s="15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2:26" ht="12.75" customHeight="1">
      <c r="B116" s="13"/>
      <c r="C116" s="13"/>
      <c r="D116" s="13"/>
      <c r="E116" s="13"/>
      <c r="F116" s="60"/>
      <c r="G116" s="15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2:26" ht="12.75" customHeight="1">
      <c r="B117" s="13"/>
      <c r="C117" s="13"/>
      <c r="D117" s="13"/>
      <c r="E117" s="13"/>
      <c r="F117" s="60"/>
      <c r="G117" s="15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2:26" ht="12.75" customHeight="1">
      <c r="B118" s="13"/>
      <c r="C118" s="13"/>
      <c r="D118" s="13"/>
      <c r="E118" s="13"/>
      <c r="F118" s="60"/>
      <c r="G118" s="15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2:26" ht="12.75" customHeight="1">
      <c r="B119" s="13"/>
      <c r="C119" s="13"/>
      <c r="D119" s="13"/>
      <c r="E119" s="13"/>
      <c r="F119" s="60"/>
      <c r="G119" s="15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2:26" ht="12.75" customHeight="1">
      <c r="B120" s="13"/>
      <c r="C120" s="13"/>
      <c r="D120" s="13"/>
      <c r="E120" s="13"/>
      <c r="F120" s="60"/>
      <c r="G120" s="15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2:26" ht="12.75" customHeight="1">
      <c r="B121" s="13"/>
      <c r="C121" s="13"/>
      <c r="D121" s="13"/>
      <c r="E121" s="13"/>
      <c r="F121" s="60"/>
      <c r="G121" s="15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2:26" ht="12.75" customHeight="1">
      <c r="B122" s="13"/>
      <c r="C122" s="13"/>
      <c r="D122" s="13"/>
      <c r="E122" s="13"/>
      <c r="F122" s="60"/>
      <c r="G122" s="15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2:26" ht="12.75" customHeight="1">
      <c r="B123" s="13"/>
      <c r="C123" s="13"/>
      <c r="D123" s="13"/>
      <c r="E123" s="13"/>
      <c r="F123" s="60"/>
      <c r="G123" s="15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2:26" ht="12.75" customHeight="1">
      <c r="B124" s="13"/>
      <c r="C124" s="13"/>
      <c r="D124" s="13"/>
      <c r="E124" s="13"/>
      <c r="F124" s="60"/>
      <c r="G124" s="15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2:26" ht="12.75" customHeight="1">
      <c r="B125" s="13"/>
      <c r="C125" s="13"/>
      <c r="D125" s="13"/>
      <c r="E125" s="13"/>
      <c r="F125" s="60"/>
      <c r="G125" s="15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2:26" ht="12.75" customHeight="1">
      <c r="B126" s="13"/>
      <c r="C126" s="13"/>
      <c r="D126" s="13"/>
      <c r="E126" s="13"/>
      <c r="F126" s="60"/>
      <c r="G126" s="15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2:26" ht="12.75" customHeight="1">
      <c r="B127" s="13"/>
      <c r="C127" s="13"/>
      <c r="D127" s="13"/>
      <c r="E127" s="13"/>
      <c r="F127" s="60"/>
      <c r="G127" s="15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2:26" ht="12.75" customHeight="1">
      <c r="B128" s="13"/>
      <c r="C128" s="13"/>
      <c r="D128" s="13"/>
      <c r="E128" s="13"/>
      <c r="F128" s="60"/>
      <c r="G128" s="15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2:26" ht="12.75" customHeight="1">
      <c r="B129" s="13"/>
      <c r="C129" s="13"/>
      <c r="D129" s="13"/>
      <c r="E129" s="13"/>
      <c r="F129" s="60"/>
      <c r="G129" s="15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2:26" ht="12.75" customHeight="1">
      <c r="B130" s="13"/>
      <c r="C130" s="13"/>
      <c r="D130" s="13"/>
      <c r="E130" s="13"/>
      <c r="F130" s="60"/>
      <c r="G130" s="15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2:26" ht="12.75" customHeight="1">
      <c r="B131" s="13"/>
      <c r="C131" s="13"/>
      <c r="D131" s="13"/>
      <c r="E131" s="13"/>
      <c r="F131" s="60"/>
      <c r="G131" s="15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2:26" ht="12.75" customHeight="1">
      <c r="B132" s="13"/>
      <c r="C132" s="13"/>
      <c r="D132" s="13"/>
      <c r="E132" s="13"/>
      <c r="F132" s="60"/>
      <c r="G132" s="15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2:26" ht="12.75" customHeight="1">
      <c r="B133" s="13"/>
      <c r="C133" s="13"/>
      <c r="D133" s="13"/>
      <c r="E133" s="13"/>
      <c r="F133" s="60"/>
      <c r="G133" s="15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2:26" ht="12.75" customHeight="1">
      <c r="B134" s="13"/>
      <c r="C134" s="13"/>
      <c r="D134" s="13"/>
      <c r="E134" s="13"/>
      <c r="F134" s="60"/>
      <c r="G134" s="15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2:26" ht="12.75" customHeight="1">
      <c r="B135" s="13"/>
      <c r="C135" s="13"/>
      <c r="D135" s="13"/>
      <c r="E135" s="13"/>
      <c r="F135" s="60"/>
      <c r="G135" s="15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2:26" ht="12.75" customHeight="1">
      <c r="B136" s="13"/>
      <c r="C136" s="13"/>
      <c r="D136" s="13"/>
      <c r="E136" s="13"/>
      <c r="F136" s="60"/>
      <c r="G136" s="15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2:26" ht="12.75" customHeight="1">
      <c r="B137" s="13"/>
      <c r="C137" s="13"/>
      <c r="D137" s="13"/>
      <c r="E137" s="13"/>
      <c r="F137" s="60"/>
      <c r="G137" s="15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2:26" ht="12.75" customHeight="1">
      <c r="B138" s="13"/>
      <c r="C138" s="13"/>
      <c r="D138" s="13"/>
      <c r="E138" s="13"/>
      <c r="F138" s="60"/>
      <c r="G138" s="15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2:26" ht="12.75" customHeight="1">
      <c r="B139" s="13"/>
      <c r="C139" s="13"/>
      <c r="D139" s="13"/>
      <c r="E139" s="13"/>
      <c r="F139" s="60"/>
      <c r="G139" s="15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2:26" ht="12.75" customHeight="1">
      <c r="B140" s="13"/>
      <c r="C140" s="13"/>
      <c r="D140" s="13"/>
      <c r="E140" s="13"/>
      <c r="F140" s="60"/>
      <c r="G140" s="15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2:26" ht="12.75" customHeight="1">
      <c r="B141" s="13"/>
      <c r="C141" s="13"/>
      <c r="D141" s="13"/>
      <c r="E141" s="13"/>
      <c r="F141" s="60"/>
      <c r="G141" s="15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2:26" ht="12.75" customHeight="1">
      <c r="B142" s="13"/>
      <c r="C142" s="13"/>
      <c r="D142" s="13"/>
      <c r="E142" s="13"/>
      <c r="F142" s="60"/>
      <c r="G142" s="15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2:26" ht="12.75" customHeight="1">
      <c r="B143" s="13"/>
      <c r="C143" s="13"/>
      <c r="D143" s="13"/>
      <c r="E143" s="13"/>
      <c r="F143" s="60"/>
      <c r="G143" s="15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2:26" ht="12.75" customHeight="1">
      <c r="B144" s="13"/>
      <c r="C144" s="13"/>
      <c r="D144" s="13"/>
      <c r="E144" s="13"/>
      <c r="F144" s="60"/>
      <c r="G144" s="15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2:26" ht="12.75" customHeight="1">
      <c r="B145" s="13"/>
      <c r="C145" s="13"/>
      <c r="D145" s="13"/>
      <c r="E145" s="13"/>
      <c r="F145" s="60"/>
      <c r="G145" s="15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2:26" ht="12.75" customHeight="1">
      <c r="B146" s="13"/>
      <c r="C146" s="13"/>
      <c r="D146" s="13"/>
      <c r="E146" s="13"/>
      <c r="F146" s="60"/>
      <c r="G146" s="15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2:26" ht="12.75" customHeight="1">
      <c r="B147" s="13"/>
      <c r="C147" s="13"/>
      <c r="D147" s="13"/>
      <c r="E147" s="13"/>
      <c r="F147" s="60"/>
      <c r="G147" s="15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2:26" ht="12.75" customHeight="1">
      <c r="B148" s="13"/>
      <c r="C148" s="13"/>
      <c r="D148" s="13"/>
      <c r="E148" s="13"/>
      <c r="F148" s="60"/>
      <c r="G148" s="15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2:26" ht="12.75" customHeight="1">
      <c r="B149" s="13"/>
      <c r="C149" s="13"/>
      <c r="D149" s="13"/>
      <c r="E149" s="13"/>
      <c r="F149" s="60"/>
      <c r="G149" s="15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2:26" ht="12.75" customHeight="1">
      <c r="B150" s="13"/>
      <c r="C150" s="13"/>
      <c r="D150" s="13"/>
      <c r="E150" s="13"/>
      <c r="F150" s="60"/>
      <c r="G150" s="15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2:26" ht="12.75" customHeight="1">
      <c r="B151" s="13"/>
      <c r="C151" s="13"/>
      <c r="D151" s="13"/>
      <c r="E151" s="13"/>
      <c r="F151" s="60"/>
      <c r="G151" s="15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2:26" ht="12.75" customHeight="1">
      <c r="B152" s="13"/>
      <c r="C152" s="13"/>
      <c r="D152" s="13"/>
      <c r="E152" s="13"/>
      <c r="F152" s="60"/>
      <c r="G152" s="15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2:26" ht="12.75" customHeight="1">
      <c r="B153" s="13"/>
      <c r="C153" s="13"/>
      <c r="D153" s="13"/>
      <c r="E153" s="13"/>
      <c r="F153" s="60"/>
      <c r="G153" s="15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2:26" ht="12.75" customHeight="1">
      <c r="B154" s="13"/>
      <c r="C154" s="13"/>
      <c r="D154" s="13"/>
      <c r="E154" s="13"/>
      <c r="F154" s="60"/>
      <c r="G154" s="15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2:26" ht="12.75" customHeight="1">
      <c r="B155" s="13"/>
      <c r="C155" s="13"/>
      <c r="D155" s="13"/>
      <c r="E155" s="13"/>
      <c r="F155" s="60"/>
      <c r="G155" s="15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2:26" ht="12.75" customHeight="1">
      <c r="B156" s="13"/>
      <c r="C156" s="13"/>
      <c r="D156" s="13"/>
      <c r="E156" s="13"/>
      <c r="F156" s="60"/>
      <c r="G156" s="15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2:26" ht="12.75" customHeight="1">
      <c r="B157" s="13"/>
      <c r="C157" s="13"/>
      <c r="D157" s="13"/>
      <c r="E157" s="13"/>
      <c r="F157" s="60"/>
      <c r="G157" s="15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2:26" ht="12.75" customHeight="1">
      <c r="B158" s="13"/>
      <c r="C158" s="13"/>
      <c r="D158" s="13"/>
      <c r="E158" s="13"/>
      <c r="F158" s="60"/>
      <c r="G158" s="15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2:26" ht="12.75" customHeight="1">
      <c r="B159" s="13"/>
      <c r="C159" s="13"/>
      <c r="D159" s="13"/>
      <c r="E159" s="13"/>
      <c r="F159" s="60"/>
      <c r="G159" s="15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2:26" ht="12.75" customHeight="1">
      <c r="B160" s="13"/>
      <c r="C160" s="13"/>
      <c r="D160" s="13"/>
      <c r="E160" s="13"/>
      <c r="F160" s="60"/>
      <c r="G160" s="15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2:26" ht="12.75" customHeight="1">
      <c r="B161" s="13"/>
      <c r="C161" s="13"/>
      <c r="D161" s="13"/>
      <c r="E161" s="13"/>
      <c r="F161" s="60"/>
      <c r="G161" s="15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2:26" ht="12.75" customHeight="1">
      <c r="B162" s="13"/>
      <c r="C162" s="13"/>
      <c r="D162" s="13"/>
      <c r="E162" s="13"/>
      <c r="F162" s="60"/>
      <c r="G162" s="15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2:26" ht="12.75" customHeight="1">
      <c r="B163" s="13"/>
      <c r="C163" s="13"/>
      <c r="D163" s="13"/>
      <c r="E163" s="13"/>
      <c r="F163" s="60"/>
      <c r="G163" s="15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2:26" ht="12.75" customHeight="1">
      <c r="B164" s="13"/>
      <c r="C164" s="13"/>
      <c r="D164" s="13"/>
      <c r="E164" s="13"/>
      <c r="F164" s="60"/>
      <c r="G164" s="15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2:26" ht="12.75" customHeight="1">
      <c r="B165" s="13"/>
      <c r="C165" s="13"/>
      <c r="D165" s="13"/>
      <c r="E165" s="13"/>
      <c r="F165" s="60"/>
      <c r="G165" s="15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2:26" ht="12.75" customHeight="1">
      <c r="B166" s="13"/>
      <c r="C166" s="13"/>
      <c r="D166" s="13"/>
      <c r="E166" s="13"/>
      <c r="F166" s="60"/>
      <c r="G166" s="15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2:26" ht="12.75" customHeight="1">
      <c r="B167" s="13"/>
      <c r="C167" s="13"/>
      <c r="D167" s="13"/>
      <c r="E167" s="13"/>
      <c r="F167" s="60"/>
      <c r="G167" s="15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2:26" ht="12.75" customHeight="1">
      <c r="B168" s="13"/>
      <c r="C168" s="13"/>
      <c r="D168" s="13"/>
      <c r="E168" s="13"/>
      <c r="F168" s="60"/>
      <c r="G168" s="15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2:26" ht="12.75" customHeight="1">
      <c r="B169" s="13"/>
      <c r="C169" s="13"/>
      <c r="D169" s="13"/>
      <c r="E169" s="13"/>
      <c r="F169" s="60"/>
      <c r="G169" s="15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2:26" ht="12.75" customHeight="1">
      <c r="B170" s="13"/>
      <c r="C170" s="13"/>
      <c r="D170" s="13"/>
      <c r="E170" s="13"/>
      <c r="F170" s="60"/>
      <c r="G170" s="15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2:26" ht="12.75" customHeight="1">
      <c r="B171" s="13"/>
      <c r="C171" s="13"/>
      <c r="D171" s="13"/>
      <c r="E171" s="13"/>
      <c r="F171" s="60"/>
      <c r="G171" s="15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2:26" ht="12.75" customHeight="1">
      <c r="B172" s="13"/>
      <c r="C172" s="13"/>
      <c r="D172" s="13"/>
      <c r="E172" s="13"/>
      <c r="F172" s="60"/>
      <c r="G172" s="15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2:26" ht="12.75" customHeight="1">
      <c r="B173" s="13"/>
      <c r="C173" s="13"/>
      <c r="D173" s="13"/>
      <c r="E173" s="13"/>
      <c r="F173" s="60"/>
      <c r="G173" s="15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2:26" ht="12.75" customHeight="1">
      <c r="B174" s="13"/>
      <c r="C174" s="13"/>
      <c r="D174" s="13"/>
      <c r="E174" s="13"/>
      <c r="F174" s="60"/>
      <c r="G174" s="15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2:26" ht="12.75" customHeight="1">
      <c r="B175" s="13"/>
      <c r="C175" s="13"/>
      <c r="D175" s="13"/>
      <c r="E175" s="13"/>
      <c r="F175" s="60"/>
      <c r="G175" s="15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2:26" ht="12.75" customHeight="1">
      <c r="B176" s="13"/>
      <c r="C176" s="13"/>
      <c r="D176" s="13"/>
      <c r="E176" s="13"/>
      <c r="F176" s="60"/>
      <c r="G176" s="15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2:26" ht="12.75" customHeight="1">
      <c r="B177" s="13"/>
      <c r="C177" s="13"/>
      <c r="D177" s="13"/>
      <c r="E177" s="13"/>
      <c r="F177" s="60"/>
      <c r="G177" s="15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2:26" ht="12.75" customHeight="1">
      <c r="B178" s="13"/>
      <c r="C178" s="13"/>
      <c r="D178" s="13"/>
      <c r="E178" s="13"/>
      <c r="F178" s="60"/>
      <c r="G178" s="15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2:26" ht="12.75" customHeight="1">
      <c r="B179" s="13"/>
      <c r="C179" s="13"/>
      <c r="D179" s="13"/>
      <c r="E179" s="13"/>
      <c r="F179" s="60"/>
      <c r="G179" s="15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2:26" ht="12.75" customHeight="1">
      <c r="B180" s="13"/>
      <c r="C180" s="13"/>
      <c r="D180" s="13"/>
      <c r="E180" s="13"/>
      <c r="F180" s="60"/>
      <c r="G180" s="15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2:26" ht="12.75" customHeight="1">
      <c r="B181" s="13"/>
      <c r="C181" s="13"/>
      <c r="D181" s="13"/>
      <c r="E181" s="13"/>
      <c r="F181" s="60"/>
      <c r="G181" s="15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2:26" ht="12.75" customHeight="1">
      <c r="B182" s="13"/>
      <c r="C182" s="13"/>
      <c r="D182" s="13"/>
      <c r="E182" s="13"/>
      <c r="F182" s="60"/>
      <c r="G182" s="15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2:26" ht="12.75" customHeight="1">
      <c r="B183" s="13"/>
      <c r="C183" s="13"/>
      <c r="D183" s="13"/>
      <c r="E183" s="13"/>
      <c r="F183" s="60"/>
      <c r="G183" s="15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2:26" ht="12.75" customHeight="1">
      <c r="B184" s="13"/>
      <c r="C184" s="13"/>
      <c r="D184" s="13"/>
      <c r="E184" s="13"/>
      <c r="F184" s="60"/>
      <c r="G184" s="15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2:26" ht="12.75" customHeight="1">
      <c r="B185" s="13"/>
      <c r="C185" s="13"/>
      <c r="D185" s="13"/>
      <c r="E185" s="13"/>
      <c r="F185" s="60"/>
      <c r="G185" s="15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2:26" ht="12.75" customHeight="1">
      <c r="B186" s="13"/>
      <c r="C186" s="13"/>
      <c r="D186" s="13"/>
      <c r="E186" s="13"/>
      <c r="F186" s="60"/>
      <c r="G186" s="15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2:26" ht="12.75" customHeight="1">
      <c r="B187" s="13"/>
      <c r="C187" s="13"/>
      <c r="D187" s="13"/>
      <c r="E187" s="13"/>
      <c r="F187" s="60"/>
      <c r="G187" s="15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2:26" ht="12.75" customHeight="1">
      <c r="B188" s="13"/>
      <c r="C188" s="13"/>
      <c r="D188" s="13"/>
      <c r="E188" s="13"/>
      <c r="F188" s="60"/>
      <c r="G188" s="15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2:26" ht="12.75" customHeight="1">
      <c r="B189" s="13"/>
      <c r="C189" s="13"/>
      <c r="D189" s="13"/>
      <c r="E189" s="13"/>
      <c r="F189" s="60"/>
      <c r="G189" s="15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2:26" ht="12.75" customHeight="1">
      <c r="B190" s="13"/>
      <c r="C190" s="13"/>
      <c r="D190" s="13"/>
      <c r="E190" s="13"/>
      <c r="F190" s="60"/>
      <c r="G190" s="15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2:26" ht="12.75" customHeight="1">
      <c r="B191" s="13"/>
      <c r="C191" s="13"/>
      <c r="D191" s="13"/>
      <c r="E191" s="13"/>
      <c r="F191" s="60"/>
      <c r="G191" s="15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2:26" ht="12.75" customHeight="1">
      <c r="B192" s="13"/>
      <c r="C192" s="13"/>
      <c r="D192" s="13"/>
      <c r="E192" s="13"/>
      <c r="F192" s="60"/>
      <c r="G192" s="15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2:26" ht="12.75" customHeight="1">
      <c r="B193" s="13"/>
      <c r="C193" s="13"/>
      <c r="D193" s="13"/>
      <c r="E193" s="13"/>
      <c r="F193" s="60"/>
      <c r="G193" s="15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2:26" ht="12.75" customHeight="1">
      <c r="B194" s="13"/>
      <c r="C194" s="13"/>
      <c r="D194" s="13"/>
      <c r="E194" s="13"/>
      <c r="F194" s="60"/>
      <c r="G194" s="15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2:26" ht="12.75" customHeight="1">
      <c r="B195" s="13"/>
      <c r="C195" s="13"/>
      <c r="D195" s="13"/>
      <c r="E195" s="13"/>
      <c r="F195" s="60"/>
      <c r="G195" s="15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2:26" ht="12.75" customHeight="1">
      <c r="B196" s="13"/>
      <c r="C196" s="13"/>
      <c r="D196" s="13"/>
      <c r="E196" s="13"/>
      <c r="F196" s="60"/>
      <c r="G196" s="15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2:26" ht="12.75" customHeight="1">
      <c r="B197" s="13"/>
      <c r="C197" s="13"/>
      <c r="D197" s="13"/>
      <c r="E197" s="13"/>
      <c r="F197" s="60"/>
      <c r="G197" s="15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2:26" ht="12.75" customHeight="1">
      <c r="B198" s="13"/>
      <c r="C198" s="13"/>
      <c r="D198" s="13"/>
      <c r="E198" s="13"/>
      <c r="F198" s="60"/>
      <c r="G198" s="15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2:26" ht="12.75" customHeight="1">
      <c r="B199" s="13"/>
      <c r="C199" s="13"/>
      <c r="D199" s="13"/>
      <c r="E199" s="13"/>
      <c r="F199" s="60"/>
      <c r="G199" s="15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2:26" ht="12.75" customHeight="1">
      <c r="B200" s="13"/>
      <c r="C200" s="13"/>
      <c r="D200" s="13"/>
      <c r="E200" s="13"/>
      <c r="F200" s="60"/>
      <c r="G200" s="15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2:26" ht="12.75" customHeight="1">
      <c r="B201" s="13"/>
      <c r="C201" s="13"/>
      <c r="D201" s="13"/>
      <c r="E201" s="13"/>
      <c r="F201" s="60"/>
      <c r="G201" s="15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2:26" ht="12.75" customHeight="1">
      <c r="B202" s="13"/>
      <c r="C202" s="13"/>
      <c r="D202" s="13"/>
      <c r="E202" s="13"/>
      <c r="F202" s="60"/>
      <c r="G202" s="15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2:26" ht="12.75" customHeight="1">
      <c r="B203" s="13"/>
      <c r="C203" s="13"/>
      <c r="D203" s="13"/>
      <c r="E203" s="13"/>
      <c r="F203" s="60"/>
      <c r="G203" s="15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2:26" ht="12.75" customHeight="1">
      <c r="B204" s="13"/>
      <c r="C204" s="13"/>
      <c r="D204" s="13"/>
      <c r="E204" s="13"/>
      <c r="F204" s="60"/>
      <c r="G204" s="15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2:26" ht="12.75" customHeight="1">
      <c r="B205" s="13"/>
      <c r="C205" s="13"/>
      <c r="D205" s="13"/>
      <c r="E205" s="13"/>
      <c r="F205" s="60"/>
      <c r="G205" s="15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2:26" ht="12.75" customHeight="1">
      <c r="B206" s="13"/>
      <c r="C206" s="13"/>
      <c r="D206" s="13"/>
      <c r="E206" s="13"/>
      <c r="F206" s="60"/>
      <c r="G206" s="15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2:26" ht="12.75" customHeight="1">
      <c r="B207" s="13"/>
      <c r="C207" s="13"/>
      <c r="D207" s="13"/>
      <c r="E207" s="13"/>
      <c r="F207" s="60"/>
      <c r="G207" s="15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2:26" ht="12.75" customHeight="1">
      <c r="B208" s="13"/>
      <c r="C208" s="13"/>
      <c r="D208" s="13"/>
      <c r="E208" s="13"/>
      <c r="F208" s="60"/>
      <c r="G208" s="15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2:26" ht="12.75" customHeight="1">
      <c r="B209" s="13"/>
      <c r="C209" s="13"/>
      <c r="D209" s="13"/>
      <c r="E209" s="13"/>
      <c r="F209" s="60"/>
      <c r="G209" s="15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2:26" ht="12.75" customHeight="1">
      <c r="B210" s="13"/>
      <c r="C210" s="13"/>
      <c r="D210" s="13"/>
      <c r="E210" s="13"/>
      <c r="F210" s="60"/>
      <c r="G210" s="15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2:26" ht="12.75" customHeight="1">
      <c r="B211" s="13"/>
      <c r="C211" s="13"/>
      <c r="D211" s="13"/>
      <c r="E211" s="13"/>
      <c r="F211" s="60"/>
      <c r="G211" s="15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2:26" ht="12.75" customHeight="1">
      <c r="B212" s="13"/>
      <c r="C212" s="13"/>
      <c r="D212" s="13"/>
      <c r="E212" s="13"/>
      <c r="F212" s="60"/>
      <c r="G212" s="15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2:26" ht="12.75" customHeight="1">
      <c r="B213" s="13"/>
      <c r="C213" s="13"/>
      <c r="D213" s="13"/>
      <c r="E213" s="13"/>
      <c r="F213" s="60"/>
      <c r="G213" s="15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2:26" ht="12.75" customHeight="1">
      <c r="B214" s="13"/>
      <c r="C214" s="13"/>
      <c r="D214" s="13"/>
      <c r="E214" s="13"/>
      <c r="F214" s="60"/>
      <c r="G214" s="15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2:26" ht="12.75" customHeight="1">
      <c r="B215" s="13"/>
      <c r="C215" s="13"/>
      <c r="D215" s="13"/>
      <c r="E215" s="13"/>
      <c r="F215" s="60"/>
      <c r="G215" s="15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2:26" ht="12.75" customHeight="1">
      <c r="B216" s="13"/>
      <c r="C216" s="13"/>
      <c r="D216" s="13"/>
      <c r="E216" s="13"/>
      <c r="F216" s="60"/>
      <c r="G216" s="15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2:26" ht="12.75" customHeight="1">
      <c r="B217" s="13"/>
      <c r="C217" s="13"/>
      <c r="D217" s="13"/>
      <c r="E217" s="13"/>
      <c r="F217" s="60"/>
      <c r="G217" s="15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2:26" ht="12.75" customHeight="1">
      <c r="B218" s="13"/>
      <c r="C218" s="13"/>
      <c r="D218" s="13"/>
      <c r="E218" s="13"/>
      <c r="F218" s="60"/>
      <c r="G218" s="15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2:26" ht="12.75" customHeight="1">
      <c r="B219" s="13"/>
      <c r="C219" s="13"/>
      <c r="D219" s="13"/>
      <c r="E219" s="13"/>
      <c r="F219" s="60"/>
      <c r="G219" s="15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2:26" ht="12.75" customHeight="1">
      <c r="B220" s="13"/>
      <c r="C220" s="13"/>
      <c r="D220" s="13"/>
      <c r="E220" s="13"/>
      <c r="F220" s="60"/>
      <c r="G220" s="15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2:26" ht="12.75" customHeight="1">
      <c r="B221" s="13"/>
      <c r="C221" s="13"/>
      <c r="D221" s="13"/>
      <c r="E221" s="13"/>
      <c r="F221" s="60"/>
      <c r="G221" s="15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2:26" ht="12.75" customHeight="1">
      <c r="B222" s="13"/>
      <c r="C222" s="13"/>
      <c r="D222" s="13"/>
      <c r="E222" s="13"/>
      <c r="F222" s="60"/>
      <c r="G222" s="15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2:26" ht="12.75" customHeight="1">
      <c r="B223" s="13"/>
      <c r="C223" s="13"/>
      <c r="D223" s="13"/>
      <c r="E223" s="13"/>
      <c r="F223" s="60"/>
      <c r="G223" s="15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2:26" ht="12.75" customHeight="1">
      <c r="B224" s="13"/>
      <c r="C224" s="13"/>
      <c r="D224" s="13"/>
      <c r="E224" s="13"/>
      <c r="F224" s="60"/>
      <c r="G224" s="15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2:26" ht="12.75" customHeight="1">
      <c r="B225" s="13"/>
      <c r="C225" s="13"/>
      <c r="D225" s="13"/>
      <c r="E225" s="13"/>
      <c r="F225" s="60"/>
      <c r="G225" s="15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2:26" ht="12.75" customHeight="1">
      <c r="B226" s="13"/>
      <c r="C226" s="13"/>
      <c r="D226" s="13"/>
      <c r="E226" s="13"/>
      <c r="F226" s="60"/>
      <c r="G226" s="15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2:26" ht="12.75" customHeight="1">
      <c r="B227" s="13"/>
      <c r="C227" s="13"/>
      <c r="D227" s="13"/>
      <c r="E227" s="13"/>
      <c r="F227" s="60"/>
      <c r="G227" s="15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2:26" ht="12.75" customHeight="1">
      <c r="B228" s="13"/>
      <c r="C228" s="13"/>
      <c r="D228" s="13"/>
      <c r="E228" s="13"/>
      <c r="F228" s="60"/>
      <c r="G228" s="15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2:26" ht="12.75" customHeight="1">
      <c r="B229" s="13"/>
      <c r="C229" s="13"/>
      <c r="D229" s="13"/>
      <c r="E229" s="13"/>
      <c r="F229" s="60"/>
      <c r="G229" s="15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2:26" ht="12.75" customHeight="1">
      <c r="B230" s="13"/>
      <c r="C230" s="13"/>
      <c r="D230" s="13"/>
      <c r="E230" s="13"/>
      <c r="F230" s="60"/>
      <c r="G230" s="15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2:26" ht="12.75" customHeight="1">
      <c r="B231" s="13"/>
      <c r="C231" s="13"/>
      <c r="D231" s="13"/>
      <c r="E231" s="13"/>
      <c r="F231" s="60"/>
      <c r="G231" s="15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2:26" ht="12.75" customHeight="1">
      <c r="B232" s="13"/>
      <c r="C232" s="13"/>
      <c r="D232" s="13"/>
      <c r="E232" s="13"/>
      <c r="F232" s="60"/>
      <c r="G232" s="15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2:26" ht="12.75" customHeight="1">
      <c r="B233" s="13"/>
      <c r="C233" s="13"/>
      <c r="D233" s="13"/>
      <c r="E233" s="13"/>
      <c r="F233" s="60"/>
      <c r="G233" s="15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2:26" ht="12.75" customHeight="1">
      <c r="B234" s="13"/>
      <c r="C234" s="13"/>
      <c r="D234" s="13"/>
      <c r="E234" s="13"/>
      <c r="F234" s="60"/>
      <c r="G234" s="15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2:26" ht="12.75" customHeight="1">
      <c r="B235" s="13"/>
      <c r="C235" s="13"/>
      <c r="D235" s="13"/>
      <c r="E235" s="13"/>
      <c r="F235" s="60"/>
      <c r="G235" s="15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2:26" ht="12.75" customHeight="1">
      <c r="B236" s="13"/>
      <c r="C236" s="13"/>
      <c r="D236" s="13"/>
      <c r="E236" s="13"/>
      <c r="F236" s="60"/>
      <c r="G236" s="15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2:26" ht="12.75" customHeight="1">
      <c r="B237" s="13"/>
      <c r="C237" s="13"/>
      <c r="D237" s="13"/>
      <c r="E237" s="13"/>
      <c r="F237" s="60"/>
      <c r="G237" s="15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2:26" ht="12.75" customHeight="1">
      <c r="B238" s="13"/>
      <c r="C238" s="13"/>
      <c r="D238" s="13"/>
      <c r="E238" s="13"/>
      <c r="F238" s="60"/>
      <c r="G238" s="15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2:26" ht="12.75" customHeight="1">
      <c r="B239" s="13"/>
      <c r="C239" s="13"/>
      <c r="D239" s="13"/>
      <c r="E239" s="13"/>
      <c r="F239" s="60"/>
      <c r="G239" s="15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2:26" ht="12.75" customHeight="1">
      <c r="B240" s="13"/>
      <c r="C240" s="13"/>
      <c r="D240" s="13"/>
      <c r="E240" s="13"/>
      <c r="F240" s="60"/>
      <c r="G240" s="15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2:26" ht="12.75" customHeight="1">
      <c r="B241" s="13"/>
      <c r="C241" s="13"/>
      <c r="D241" s="13"/>
      <c r="E241" s="13"/>
      <c r="F241" s="60"/>
      <c r="G241" s="15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2:26" ht="12.75" customHeight="1">
      <c r="B242" s="13"/>
      <c r="C242" s="13"/>
      <c r="D242" s="13"/>
      <c r="E242" s="13"/>
      <c r="F242" s="60"/>
      <c r="G242" s="15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2:26" ht="12.75" customHeight="1">
      <c r="B243" s="13"/>
      <c r="C243" s="13"/>
      <c r="D243" s="13"/>
      <c r="E243" s="13"/>
      <c r="F243" s="60"/>
      <c r="G243" s="15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2:26" ht="12.75" customHeight="1">
      <c r="B244" s="13"/>
      <c r="C244" s="13"/>
      <c r="D244" s="13"/>
      <c r="E244" s="13"/>
      <c r="F244" s="60"/>
      <c r="G244" s="15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2:26" ht="12.75" customHeight="1">
      <c r="B245" s="13"/>
      <c r="C245" s="13"/>
      <c r="D245" s="13"/>
      <c r="E245" s="13"/>
      <c r="F245" s="60"/>
      <c r="G245" s="15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2:26" ht="12.75" customHeight="1">
      <c r="B246" s="13"/>
      <c r="C246" s="13"/>
      <c r="D246" s="13"/>
      <c r="E246" s="13"/>
      <c r="F246" s="60"/>
      <c r="G246" s="15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2:26" ht="12.75" customHeight="1">
      <c r="B247" s="13"/>
      <c r="C247" s="13"/>
      <c r="D247" s="13"/>
      <c r="E247" s="13"/>
      <c r="F247" s="60"/>
      <c r="G247" s="15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2:26" ht="12.75" customHeight="1">
      <c r="B248" s="13"/>
      <c r="C248" s="13"/>
      <c r="D248" s="13"/>
      <c r="E248" s="13"/>
      <c r="F248" s="60"/>
      <c r="G248" s="15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2:26" ht="12.75" customHeight="1">
      <c r="B249" s="13"/>
      <c r="C249" s="13"/>
      <c r="D249" s="13"/>
      <c r="E249" s="13"/>
      <c r="F249" s="60"/>
      <c r="G249" s="15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2:26" ht="12.75" customHeight="1">
      <c r="B250" s="13"/>
      <c r="C250" s="13"/>
      <c r="D250" s="13"/>
      <c r="E250" s="13"/>
      <c r="F250" s="60"/>
      <c r="G250" s="15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2:26" ht="12.75" customHeight="1">
      <c r="B251" s="13"/>
      <c r="C251" s="13"/>
      <c r="D251" s="13"/>
      <c r="E251" s="13"/>
      <c r="F251" s="60"/>
      <c r="G251" s="15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2:26" ht="12.75" customHeight="1">
      <c r="B252" s="13"/>
      <c r="C252" s="13"/>
      <c r="D252" s="13"/>
      <c r="E252" s="13"/>
      <c r="F252" s="60"/>
      <c r="G252" s="15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2:26" ht="12.75" customHeight="1">
      <c r="B253" s="13"/>
      <c r="C253" s="13"/>
      <c r="D253" s="13"/>
      <c r="E253" s="13"/>
      <c r="F253" s="60"/>
      <c r="G253" s="15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2:26" ht="12.75" customHeight="1">
      <c r="B254" s="13"/>
      <c r="C254" s="13"/>
      <c r="D254" s="13"/>
      <c r="E254" s="13"/>
      <c r="F254" s="60"/>
      <c r="G254" s="15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2:26" ht="12.75" customHeight="1">
      <c r="B255" s="13"/>
      <c r="C255" s="13"/>
      <c r="D255" s="13"/>
      <c r="E255" s="13"/>
      <c r="F255" s="60"/>
      <c r="G255" s="15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2:26" ht="12.75" customHeight="1">
      <c r="B256" s="13"/>
      <c r="C256" s="13"/>
      <c r="D256" s="13"/>
      <c r="E256" s="13"/>
      <c r="F256" s="60"/>
      <c r="G256" s="15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2:26" ht="12.75" customHeight="1">
      <c r="B257" s="13"/>
      <c r="C257" s="13"/>
      <c r="D257" s="13"/>
      <c r="E257" s="13"/>
      <c r="F257" s="60"/>
      <c r="G257" s="15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2:26" ht="12.75" customHeight="1">
      <c r="B258" s="13"/>
      <c r="C258" s="13"/>
      <c r="D258" s="13"/>
      <c r="E258" s="13"/>
      <c r="F258" s="60"/>
      <c r="G258" s="15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2:26" ht="12.75" customHeight="1">
      <c r="B259" s="13"/>
      <c r="C259" s="13"/>
      <c r="D259" s="13"/>
      <c r="E259" s="13"/>
      <c r="F259" s="60"/>
      <c r="G259" s="15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2:26" ht="12.75" customHeight="1">
      <c r="B260" s="13"/>
      <c r="C260" s="13"/>
      <c r="D260" s="13"/>
      <c r="E260" s="13"/>
      <c r="F260" s="60"/>
      <c r="G260" s="15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2:26" ht="12.75" customHeight="1">
      <c r="B261" s="13"/>
      <c r="C261" s="13"/>
      <c r="D261" s="13"/>
      <c r="E261" s="13"/>
      <c r="F261" s="60"/>
      <c r="G261" s="15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2:26" ht="12.75" customHeight="1">
      <c r="B262" s="13"/>
      <c r="C262" s="13"/>
      <c r="D262" s="13"/>
      <c r="E262" s="13"/>
      <c r="F262" s="60"/>
      <c r="G262" s="15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2:26" ht="12.75" customHeight="1">
      <c r="B263" s="13"/>
      <c r="C263" s="13"/>
      <c r="D263" s="13"/>
      <c r="E263" s="13"/>
      <c r="F263" s="60"/>
      <c r="G263" s="15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2:26" ht="12.75" customHeight="1">
      <c r="B264" s="13"/>
      <c r="C264" s="13"/>
      <c r="D264" s="13"/>
      <c r="E264" s="13"/>
      <c r="F264" s="60"/>
      <c r="G264" s="15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2:26" ht="12.75" customHeight="1">
      <c r="B265" s="13"/>
      <c r="C265" s="13"/>
      <c r="D265" s="13"/>
      <c r="E265" s="13"/>
      <c r="F265" s="60"/>
      <c r="G265" s="15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2:26" ht="12.75" customHeight="1">
      <c r="B266" s="13"/>
      <c r="C266" s="13"/>
      <c r="D266" s="13"/>
      <c r="E266" s="13"/>
      <c r="F266" s="60"/>
      <c r="G266" s="15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2:26" ht="12.75" customHeight="1">
      <c r="B267" s="13"/>
      <c r="C267" s="13"/>
      <c r="D267" s="13"/>
      <c r="E267" s="13"/>
      <c r="F267" s="60"/>
      <c r="G267" s="15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2:26" ht="12.75" customHeight="1">
      <c r="B268" s="13"/>
      <c r="C268" s="13"/>
      <c r="D268" s="13"/>
      <c r="E268" s="13"/>
      <c r="F268" s="60"/>
      <c r="G268" s="15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2:26" ht="12.75" customHeight="1">
      <c r="B269" s="13"/>
      <c r="C269" s="13"/>
      <c r="D269" s="13"/>
      <c r="E269" s="13"/>
      <c r="F269" s="60"/>
      <c r="G269" s="15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2:26" ht="12.75" customHeight="1">
      <c r="B270" s="13"/>
      <c r="C270" s="13"/>
      <c r="D270" s="13"/>
      <c r="E270" s="13"/>
      <c r="F270" s="60"/>
      <c r="G270" s="15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2:26" ht="12.75" customHeight="1">
      <c r="B271" s="13"/>
      <c r="C271" s="13"/>
      <c r="D271" s="13"/>
      <c r="E271" s="13"/>
      <c r="F271" s="60"/>
      <c r="G271" s="15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2:26" ht="12.75" customHeight="1">
      <c r="B272" s="13"/>
      <c r="C272" s="13"/>
      <c r="D272" s="13"/>
      <c r="E272" s="13"/>
      <c r="F272" s="60"/>
      <c r="G272" s="15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2:26" ht="12.75" customHeight="1">
      <c r="B273" s="13"/>
      <c r="C273" s="13"/>
      <c r="D273" s="13"/>
      <c r="E273" s="13"/>
      <c r="F273" s="60"/>
      <c r="G273" s="15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2:26" ht="12.75" customHeight="1">
      <c r="B274" s="13"/>
      <c r="C274" s="13"/>
      <c r="D274" s="13"/>
      <c r="E274" s="13"/>
      <c r="F274" s="60"/>
      <c r="G274" s="15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2:26" ht="12.75" customHeight="1">
      <c r="B275" s="13"/>
      <c r="C275" s="13"/>
      <c r="D275" s="13"/>
      <c r="E275" s="13"/>
      <c r="F275" s="60"/>
      <c r="G275" s="15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2:26" ht="12.75" customHeight="1">
      <c r="B276" s="13"/>
      <c r="C276" s="13"/>
      <c r="D276" s="13"/>
      <c r="E276" s="13"/>
      <c r="F276" s="60"/>
      <c r="G276" s="15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2:26" ht="12.75" customHeight="1">
      <c r="B277" s="13"/>
      <c r="C277" s="13"/>
      <c r="D277" s="13"/>
      <c r="E277" s="13"/>
      <c r="F277" s="60"/>
      <c r="G277" s="15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2:26" ht="12.75" customHeight="1">
      <c r="B278" s="13"/>
      <c r="C278" s="13"/>
      <c r="D278" s="13"/>
      <c r="E278" s="13"/>
      <c r="F278" s="60"/>
      <c r="G278" s="15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2:26" ht="12.75" customHeight="1">
      <c r="B279" s="13"/>
      <c r="C279" s="13"/>
      <c r="D279" s="13"/>
      <c r="E279" s="13"/>
      <c r="F279" s="60"/>
      <c r="G279" s="15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2:26" ht="12.75" customHeight="1">
      <c r="B280" s="13"/>
      <c r="C280" s="13"/>
      <c r="D280" s="13"/>
      <c r="E280" s="13"/>
      <c r="F280" s="60"/>
      <c r="G280" s="15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2:26" ht="12.75" customHeight="1">
      <c r="B281" s="13"/>
      <c r="C281" s="13"/>
      <c r="D281" s="13"/>
      <c r="E281" s="13"/>
      <c r="F281" s="60"/>
      <c r="G281" s="15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2:26" ht="12.75" customHeight="1">
      <c r="B282" s="13"/>
      <c r="C282" s="13"/>
      <c r="D282" s="13"/>
      <c r="E282" s="13"/>
      <c r="F282" s="60"/>
      <c r="G282" s="15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2:26" ht="12.75" customHeight="1">
      <c r="B283" s="13"/>
      <c r="C283" s="13"/>
      <c r="D283" s="13"/>
      <c r="E283" s="13"/>
      <c r="F283" s="60"/>
      <c r="G283" s="15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2:26" ht="12.75" customHeight="1">
      <c r="B284" s="13"/>
      <c r="C284" s="13"/>
      <c r="D284" s="13"/>
      <c r="E284" s="13"/>
      <c r="F284" s="60"/>
      <c r="G284" s="15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2:26" ht="12.75" customHeight="1">
      <c r="B285" s="13"/>
      <c r="C285" s="13"/>
      <c r="D285" s="13"/>
      <c r="E285" s="13"/>
      <c r="F285" s="60"/>
      <c r="G285" s="15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2:26" ht="12.75" customHeight="1">
      <c r="B286" s="13"/>
      <c r="C286" s="13"/>
      <c r="D286" s="13"/>
      <c r="E286" s="13"/>
      <c r="F286" s="60"/>
      <c r="G286" s="15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2:26" ht="12.75" customHeight="1">
      <c r="B287" s="13"/>
      <c r="C287" s="13"/>
      <c r="D287" s="13"/>
      <c r="E287" s="13"/>
      <c r="F287" s="60"/>
      <c r="G287" s="15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2:26" ht="12.75" customHeight="1">
      <c r="B288" s="13"/>
      <c r="C288" s="13"/>
      <c r="D288" s="13"/>
      <c r="E288" s="13"/>
      <c r="F288" s="60"/>
      <c r="G288" s="15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2:26" ht="12.75" customHeight="1">
      <c r="B289" s="13"/>
      <c r="C289" s="13"/>
      <c r="D289" s="13"/>
      <c r="E289" s="13"/>
      <c r="F289" s="60"/>
      <c r="G289" s="15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2:26" ht="12.75" customHeight="1">
      <c r="B290" s="13"/>
      <c r="C290" s="13"/>
      <c r="D290" s="13"/>
      <c r="E290" s="13"/>
      <c r="F290" s="60"/>
      <c r="G290" s="15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2:26" ht="12.75" customHeight="1">
      <c r="B291" s="13"/>
      <c r="C291" s="13"/>
      <c r="D291" s="13"/>
      <c r="E291" s="13"/>
      <c r="F291" s="60"/>
      <c r="G291" s="15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2:26" ht="12.75" customHeight="1">
      <c r="B292" s="13"/>
      <c r="C292" s="13"/>
      <c r="D292" s="13"/>
      <c r="E292" s="13"/>
      <c r="F292" s="60"/>
      <c r="G292" s="15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2:26" ht="12.75" customHeight="1">
      <c r="B293" s="13"/>
      <c r="C293" s="13"/>
      <c r="D293" s="13"/>
      <c r="E293" s="13"/>
      <c r="F293" s="60"/>
      <c r="G293" s="15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2:26" ht="12.75" customHeight="1">
      <c r="B294" s="13"/>
      <c r="C294" s="13"/>
      <c r="D294" s="13"/>
      <c r="E294" s="13"/>
      <c r="F294" s="60"/>
      <c r="G294" s="15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2:26" ht="12.75" customHeight="1">
      <c r="B295" s="13"/>
      <c r="C295" s="13"/>
      <c r="D295" s="13"/>
      <c r="E295" s="13"/>
      <c r="F295" s="60"/>
      <c r="G295" s="15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2:26" ht="12.75" customHeight="1">
      <c r="B296" s="13"/>
      <c r="C296" s="13"/>
      <c r="D296" s="13"/>
      <c r="E296" s="13"/>
      <c r="F296" s="60"/>
      <c r="G296" s="15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2:26" ht="12.75" customHeight="1">
      <c r="B297" s="13"/>
      <c r="C297" s="13"/>
      <c r="D297" s="13"/>
      <c r="E297" s="13"/>
      <c r="F297" s="60"/>
      <c r="G297" s="15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2:26" ht="12.75" customHeight="1">
      <c r="B298" s="13"/>
      <c r="C298" s="13"/>
      <c r="D298" s="13"/>
      <c r="E298" s="13"/>
      <c r="F298" s="60"/>
      <c r="G298" s="15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2:26" ht="12.75" customHeight="1">
      <c r="B299" s="13"/>
      <c r="C299" s="13"/>
      <c r="D299" s="13"/>
      <c r="E299" s="13"/>
      <c r="F299" s="60"/>
      <c r="G299" s="15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2:26" ht="12.75" customHeight="1">
      <c r="B300" s="13"/>
      <c r="C300" s="13"/>
      <c r="D300" s="13"/>
      <c r="E300" s="13"/>
      <c r="F300" s="60"/>
      <c r="G300" s="15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2:26" ht="12.75" customHeight="1">
      <c r="B301" s="13"/>
      <c r="C301" s="13"/>
      <c r="D301" s="13"/>
      <c r="E301" s="13"/>
      <c r="F301" s="60"/>
      <c r="G301" s="15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2:26" ht="12.75" customHeight="1">
      <c r="B302" s="13"/>
      <c r="C302" s="13"/>
      <c r="D302" s="13"/>
      <c r="E302" s="13"/>
      <c r="F302" s="60"/>
      <c r="G302" s="15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2:26" ht="12.75" customHeight="1">
      <c r="B303" s="13"/>
      <c r="C303" s="13"/>
      <c r="D303" s="13"/>
      <c r="E303" s="13"/>
      <c r="F303" s="60"/>
      <c r="G303" s="15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2:26" ht="12.75" customHeight="1">
      <c r="B304" s="13"/>
      <c r="C304" s="13"/>
      <c r="D304" s="13"/>
      <c r="E304" s="13"/>
      <c r="F304" s="60"/>
      <c r="G304" s="15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2:26" ht="12.75" customHeight="1">
      <c r="B305" s="13"/>
      <c r="C305" s="13"/>
      <c r="D305" s="13"/>
      <c r="E305" s="13"/>
      <c r="F305" s="60"/>
      <c r="G305" s="15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2:26" ht="12.75" customHeight="1">
      <c r="B306" s="13"/>
      <c r="C306" s="13"/>
      <c r="D306" s="13"/>
      <c r="E306" s="13"/>
      <c r="F306" s="60"/>
      <c r="G306" s="15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2:26" ht="12.75" customHeight="1">
      <c r="B307" s="13"/>
      <c r="C307" s="13"/>
      <c r="D307" s="13"/>
      <c r="E307" s="13"/>
      <c r="F307" s="60"/>
      <c r="G307" s="15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2:26" ht="12.75" customHeight="1">
      <c r="B308" s="13"/>
      <c r="C308" s="13"/>
      <c r="D308" s="13"/>
      <c r="E308" s="13"/>
      <c r="F308" s="60"/>
      <c r="G308" s="15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2:26" ht="12.75" customHeight="1">
      <c r="B309" s="13"/>
      <c r="C309" s="13"/>
      <c r="D309" s="13"/>
      <c r="E309" s="13"/>
      <c r="F309" s="60"/>
      <c r="G309" s="15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2:26" ht="12.75" customHeight="1">
      <c r="B310" s="13"/>
      <c r="C310" s="13"/>
      <c r="D310" s="13"/>
      <c r="E310" s="13"/>
      <c r="F310" s="60"/>
      <c r="G310" s="15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2:26" ht="12.75" customHeight="1">
      <c r="B311" s="13"/>
      <c r="C311" s="13"/>
      <c r="D311" s="13"/>
      <c r="E311" s="13"/>
      <c r="F311" s="60"/>
      <c r="G311" s="15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2:26" ht="12.75" customHeight="1">
      <c r="B312" s="13"/>
      <c r="C312" s="13"/>
      <c r="D312" s="13"/>
      <c r="E312" s="13"/>
      <c r="F312" s="60"/>
      <c r="G312" s="15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2:26" ht="12.75" customHeight="1">
      <c r="B313" s="13"/>
      <c r="C313" s="13"/>
      <c r="D313" s="13"/>
      <c r="E313" s="13"/>
      <c r="F313" s="60"/>
      <c r="G313" s="15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2:26" ht="12.75" customHeight="1">
      <c r="B314" s="13"/>
      <c r="C314" s="13"/>
      <c r="D314" s="13"/>
      <c r="E314" s="13"/>
      <c r="F314" s="60"/>
      <c r="G314" s="15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2:26" ht="12.75" customHeight="1">
      <c r="B315" s="13"/>
      <c r="C315" s="13"/>
      <c r="D315" s="13"/>
      <c r="E315" s="13"/>
      <c r="F315" s="60"/>
      <c r="G315" s="15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2:26" ht="12.75" customHeight="1">
      <c r="B316" s="13"/>
      <c r="C316" s="13"/>
      <c r="D316" s="13"/>
      <c r="E316" s="13"/>
      <c r="F316" s="60"/>
      <c r="G316" s="15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2:26" ht="12.75" customHeight="1">
      <c r="B317" s="13"/>
      <c r="C317" s="13"/>
      <c r="D317" s="13"/>
      <c r="E317" s="13"/>
      <c r="F317" s="60"/>
      <c r="G317" s="15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2:26" ht="12.75" customHeight="1">
      <c r="B318" s="13"/>
      <c r="C318" s="13"/>
      <c r="D318" s="13"/>
      <c r="E318" s="13"/>
      <c r="F318" s="60"/>
      <c r="G318" s="15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2:26" ht="12.75" customHeight="1">
      <c r="B319" s="13"/>
      <c r="C319" s="13"/>
      <c r="D319" s="13"/>
      <c r="E319" s="13"/>
      <c r="F319" s="60"/>
      <c r="G319" s="15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2:26" ht="12.75" customHeight="1">
      <c r="B320" s="13"/>
      <c r="C320" s="13"/>
      <c r="D320" s="13"/>
      <c r="E320" s="13"/>
      <c r="F320" s="60"/>
      <c r="G320" s="15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2:26" ht="12.75" customHeight="1">
      <c r="B321" s="13"/>
      <c r="C321" s="13"/>
      <c r="D321" s="13"/>
      <c r="E321" s="13"/>
      <c r="F321" s="60"/>
      <c r="G321" s="15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2:26" ht="12.75" customHeight="1">
      <c r="B322" s="13"/>
      <c r="C322" s="13"/>
      <c r="D322" s="13"/>
      <c r="E322" s="13"/>
      <c r="F322" s="60"/>
      <c r="G322" s="15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2:26" ht="12.75" customHeight="1">
      <c r="B323" s="13"/>
      <c r="C323" s="13"/>
      <c r="D323" s="13"/>
      <c r="E323" s="13"/>
      <c r="F323" s="60"/>
      <c r="G323" s="15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2:26" ht="12.75" customHeight="1">
      <c r="B324" s="13"/>
      <c r="C324" s="13"/>
      <c r="D324" s="13"/>
      <c r="E324" s="13"/>
      <c r="F324" s="60"/>
      <c r="G324" s="15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2:26" ht="12.75" customHeight="1">
      <c r="B325" s="13"/>
      <c r="C325" s="13"/>
      <c r="D325" s="13"/>
      <c r="E325" s="13"/>
      <c r="F325" s="60"/>
      <c r="G325" s="15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2:26" ht="12.75" customHeight="1">
      <c r="B326" s="13"/>
      <c r="C326" s="13"/>
      <c r="D326" s="13"/>
      <c r="E326" s="13"/>
      <c r="F326" s="60"/>
      <c r="G326" s="15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2:26" ht="12.75" customHeight="1">
      <c r="B327" s="13"/>
      <c r="C327" s="13"/>
      <c r="D327" s="13"/>
      <c r="E327" s="13"/>
      <c r="F327" s="60"/>
      <c r="G327" s="15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2:26" ht="12.75" customHeight="1">
      <c r="B328" s="13"/>
      <c r="C328" s="13"/>
      <c r="D328" s="13"/>
      <c r="E328" s="13"/>
      <c r="F328" s="60"/>
      <c r="G328" s="15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2:26" ht="12.75" customHeight="1">
      <c r="B329" s="13"/>
      <c r="C329" s="13"/>
      <c r="D329" s="13"/>
      <c r="E329" s="13"/>
      <c r="F329" s="60"/>
      <c r="G329" s="15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2:26" ht="12.75" customHeight="1">
      <c r="B330" s="13"/>
      <c r="C330" s="13"/>
      <c r="D330" s="13"/>
      <c r="E330" s="13"/>
      <c r="F330" s="60"/>
      <c r="G330" s="15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2:26" ht="12.75" customHeight="1">
      <c r="B331" s="13"/>
      <c r="C331" s="13"/>
      <c r="D331" s="13"/>
      <c r="E331" s="13"/>
      <c r="F331" s="60"/>
      <c r="G331" s="15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2:26" ht="12.75" customHeight="1">
      <c r="B332" s="13"/>
      <c r="C332" s="13"/>
      <c r="D332" s="13"/>
      <c r="E332" s="13"/>
      <c r="F332" s="60"/>
      <c r="G332" s="15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2:26" ht="12.75" customHeight="1">
      <c r="B333" s="13"/>
      <c r="C333" s="13"/>
      <c r="D333" s="13"/>
      <c r="E333" s="13"/>
      <c r="F333" s="60"/>
      <c r="G333" s="15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2:26" ht="12.75" customHeight="1">
      <c r="B334" s="13"/>
      <c r="C334" s="13"/>
      <c r="D334" s="13"/>
      <c r="E334" s="13"/>
      <c r="F334" s="60"/>
      <c r="G334" s="15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2:26" ht="12.75" customHeight="1">
      <c r="B335" s="13"/>
      <c r="C335" s="13"/>
      <c r="D335" s="13"/>
      <c r="E335" s="13"/>
      <c r="F335" s="60"/>
      <c r="G335" s="15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2:26" ht="12.75" customHeight="1">
      <c r="B336" s="13"/>
      <c r="C336" s="13"/>
      <c r="D336" s="13"/>
      <c r="E336" s="13"/>
      <c r="F336" s="60"/>
      <c r="G336" s="15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2:26" ht="12.75" customHeight="1">
      <c r="B337" s="13"/>
      <c r="C337" s="13"/>
      <c r="D337" s="13"/>
      <c r="E337" s="13"/>
      <c r="F337" s="60"/>
      <c r="G337" s="15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2:26" ht="12.75" customHeight="1">
      <c r="B338" s="13"/>
      <c r="C338" s="13"/>
      <c r="D338" s="13"/>
      <c r="E338" s="13"/>
      <c r="F338" s="60"/>
      <c r="G338" s="15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2:26" ht="12.75" customHeight="1">
      <c r="B339" s="13"/>
      <c r="C339" s="13"/>
      <c r="D339" s="13"/>
      <c r="E339" s="13"/>
      <c r="F339" s="60"/>
      <c r="G339" s="15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2:26" ht="12.75" customHeight="1">
      <c r="B340" s="13"/>
      <c r="C340" s="13"/>
      <c r="D340" s="13"/>
      <c r="E340" s="13"/>
      <c r="F340" s="60"/>
      <c r="G340" s="15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2:26" ht="12.75" customHeight="1">
      <c r="B341" s="13"/>
      <c r="C341" s="13"/>
      <c r="D341" s="13"/>
      <c r="E341" s="13"/>
      <c r="F341" s="60"/>
      <c r="G341" s="15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2:26" ht="12.75" customHeight="1">
      <c r="B342" s="13"/>
      <c r="C342" s="13"/>
      <c r="D342" s="13"/>
      <c r="E342" s="13"/>
      <c r="F342" s="60"/>
      <c r="G342" s="15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2:26" ht="12.75" customHeight="1">
      <c r="B343" s="13"/>
      <c r="C343" s="13"/>
      <c r="D343" s="13"/>
      <c r="E343" s="13"/>
      <c r="F343" s="60"/>
      <c r="G343" s="15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2:26" ht="12.75" customHeight="1">
      <c r="B344" s="13"/>
      <c r="C344" s="13"/>
      <c r="D344" s="13"/>
      <c r="E344" s="13"/>
      <c r="F344" s="60"/>
      <c r="G344" s="15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2:26" ht="12.75" customHeight="1">
      <c r="B345" s="13"/>
      <c r="C345" s="13"/>
      <c r="D345" s="13"/>
      <c r="E345" s="13"/>
      <c r="F345" s="60"/>
      <c r="G345" s="15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2:26" ht="12.75" customHeight="1">
      <c r="B346" s="13"/>
      <c r="C346" s="13"/>
      <c r="D346" s="13"/>
      <c r="E346" s="13"/>
      <c r="F346" s="60"/>
      <c r="G346" s="15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2:26" ht="12.75" customHeight="1">
      <c r="B347" s="13"/>
      <c r="C347" s="13"/>
      <c r="D347" s="13"/>
      <c r="E347" s="13"/>
      <c r="F347" s="60"/>
      <c r="G347" s="15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2:26" ht="12.75" customHeight="1">
      <c r="B348" s="13"/>
      <c r="C348" s="13"/>
      <c r="D348" s="13"/>
      <c r="E348" s="13"/>
      <c r="F348" s="60"/>
      <c r="G348" s="15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2:26" ht="12.75" customHeight="1">
      <c r="B349" s="13"/>
      <c r="C349" s="13"/>
      <c r="D349" s="13"/>
      <c r="E349" s="13"/>
      <c r="F349" s="60"/>
      <c r="G349" s="15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2:26" ht="12.75" customHeight="1">
      <c r="B350" s="13"/>
      <c r="C350" s="13"/>
      <c r="D350" s="13"/>
      <c r="E350" s="13"/>
      <c r="F350" s="60"/>
      <c r="G350" s="15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2:26" ht="12.75" customHeight="1">
      <c r="B351" s="13"/>
      <c r="C351" s="13"/>
      <c r="D351" s="13"/>
      <c r="E351" s="13"/>
      <c r="F351" s="60"/>
      <c r="G351" s="15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2:26" ht="12.75" customHeight="1">
      <c r="B352" s="13"/>
      <c r="C352" s="13"/>
      <c r="D352" s="13"/>
      <c r="E352" s="13"/>
      <c r="F352" s="60"/>
      <c r="G352" s="15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2:26" ht="12.75" customHeight="1">
      <c r="B353" s="13"/>
      <c r="C353" s="13"/>
      <c r="D353" s="13"/>
      <c r="E353" s="13"/>
      <c r="F353" s="60"/>
      <c r="G353" s="15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2:26" ht="12.75" customHeight="1">
      <c r="B354" s="13"/>
      <c r="C354" s="13"/>
      <c r="D354" s="13"/>
      <c r="E354" s="13"/>
      <c r="F354" s="60"/>
      <c r="G354" s="15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2:26" ht="12.75" customHeight="1">
      <c r="B355" s="13"/>
      <c r="C355" s="13"/>
      <c r="D355" s="13"/>
      <c r="E355" s="13"/>
      <c r="F355" s="60"/>
      <c r="G355" s="15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2:26" ht="12.75" customHeight="1">
      <c r="B356" s="13"/>
      <c r="C356" s="13"/>
      <c r="D356" s="13"/>
      <c r="E356" s="13"/>
      <c r="F356" s="60"/>
      <c r="G356" s="15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2:26" ht="12.75" customHeight="1">
      <c r="B357" s="13"/>
      <c r="C357" s="13"/>
      <c r="D357" s="13"/>
      <c r="E357" s="13"/>
      <c r="F357" s="60"/>
      <c r="G357" s="15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2:26" ht="12.75" customHeight="1">
      <c r="B358" s="13"/>
      <c r="C358" s="13"/>
      <c r="D358" s="13"/>
      <c r="E358" s="13"/>
      <c r="F358" s="60"/>
      <c r="G358" s="15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2:26" ht="12.75" customHeight="1">
      <c r="B359" s="13"/>
      <c r="C359" s="13"/>
      <c r="D359" s="13"/>
      <c r="E359" s="13"/>
      <c r="F359" s="60"/>
      <c r="G359" s="15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2:26" ht="12.75" customHeight="1">
      <c r="B360" s="13"/>
      <c r="C360" s="13"/>
      <c r="D360" s="13"/>
      <c r="E360" s="13"/>
      <c r="F360" s="60"/>
      <c r="G360" s="15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2:26" ht="12.75" customHeight="1">
      <c r="B361" s="13"/>
      <c r="C361" s="13"/>
      <c r="D361" s="13"/>
      <c r="E361" s="13"/>
      <c r="F361" s="60"/>
      <c r="G361" s="15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2:26" ht="12.75" customHeight="1">
      <c r="B362" s="13"/>
      <c r="C362" s="13"/>
      <c r="D362" s="13"/>
      <c r="E362" s="13"/>
      <c r="F362" s="60"/>
      <c r="G362" s="15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2:26" ht="12.75" customHeight="1">
      <c r="B363" s="13"/>
      <c r="C363" s="13"/>
      <c r="D363" s="13"/>
      <c r="E363" s="13"/>
      <c r="F363" s="60"/>
      <c r="G363" s="15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2:26" ht="12.75" customHeight="1">
      <c r="B364" s="13"/>
      <c r="C364" s="13"/>
      <c r="D364" s="13"/>
      <c r="E364" s="13"/>
      <c r="F364" s="60"/>
      <c r="G364" s="15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2:26" ht="12.75" customHeight="1">
      <c r="B365" s="13"/>
      <c r="C365" s="13"/>
      <c r="D365" s="13"/>
      <c r="E365" s="13"/>
      <c r="F365" s="60"/>
      <c r="G365" s="15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2:26" ht="12.75" customHeight="1">
      <c r="B366" s="13"/>
      <c r="C366" s="13"/>
      <c r="D366" s="13"/>
      <c r="E366" s="13"/>
      <c r="F366" s="60"/>
      <c r="G366" s="15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2:26" ht="12.75" customHeight="1">
      <c r="B367" s="13"/>
      <c r="C367" s="13"/>
      <c r="D367" s="13"/>
      <c r="E367" s="13"/>
      <c r="F367" s="60"/>
      <c r="G367" s="15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2:26" ht="12.75" customHeight="1">
      <c r="B368" s="13"/>
      <c r="C368" s="13"/>
      <c r="D368" s="13"/>
      <c r="E368" s="13"/>
      <c r="F368" s="60"/>
      <c r="G368" s="15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2:26" ht="12.75" customHeight="1">
      <c r="B369" s="13"/>
      <c r="C369" s="13"/>
      <c r="D369" s="13"/>
      <c r="E369" s="13"/>
      <c r="F369" s="60"/>
      <c r="G369" s="15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2:26" ht="12.75" customHeight="1">
      <c r="B370" s="13"/>
      <c r="C370" s="13"/>
      <c r="D370" s="13"/>
      <c r="E370" s="13"/>
      <c r="F370" s="60"/>
      <c r="G370" s="15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2:26" ht="12.75" customHeight="1">
      <c r="B371" s="13"/>
      <c r="C371" s="13"/>
      <c r="D371" s="13"/>
      <c r="E371" s="13"/>
      <c r="F371" s="60"/>
      <c r="G371" s="15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2:26" ht="12.75" customHeight="1">
      <c r="B372" s="13"/>
      <c r="C372" s="13"/>
      <c r="D372" s="13"/>
      <c r="E372" s="13"/>
      <c r="F372" s="60"/>
      <c r="G372" s="15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2:26" ht="12.75" customHeight="1">
      <c r="B373" s="13"/>
      <c r="C373" s="13"/>
      <c r="D373" s="13"/>
      <c r="E373" s="13"/>
      <c r="F373" s="60"/>
      <c r="G373" s="15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2:26" ht="12.75" customHeight="1">
      <c r="B374" s="13"/>
      <c r="C374" s="13"/>
      <c r="D374" s="13"/>
      <c r="E374" s="13"/>
      <c r="F374" s="60"/>
      <c r="G374" s="15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2:26" ht="12.75" customHeight="1">
      <c r="B375" s="13"/>
      <c r="C375" s="13"/>
      <c r="D375" s="13"/>
      <c r="E375" s="13"/>
      <c r="F375" s="60"/>
      <c r="G375" s="15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2:26" ht="12.75" customHeight="1">
      <c r="B376" s="13"/>
      <c r="C376" s="13"/>
      <c r="D376" s="13"/>
      <c r="E376" s="13"/>
      <c r="F376" s="60"/>
      <c r="G376" s="15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2:26" ht="12.75" customHeight="1">
      <c r="B377" s="13"/>
      <c r="C377" s="13"/>
      <c r="D377" s="13"/>
      <c r="E377" s="13"/>
      <c r="F377" s="60"/>
      <c r="G377" s="15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2:26" ht="12.75" customHeight="1">
      <c r="B378" s="13"/>
      <c r="C378" s="13"/>
      <c r="D378" s="13"/>
      <c r="E378" s="13"/>
      <c r="F378" s="60"/>
      <c r="G378" s="15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2:26" ht="12.75" customHeight="1">
      <c r="B379" s="13"/>
      <c r="C379" s="13"/>
      <c r="D379" s="13"/>
      <c r="E379" s="13"/>
      <c r="F379" s="60"/>
      <c r="G379" s="15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2:26" ht="12.75" customHeight="1">
      <c r="B380" s="13"/>
      <c r="C380" s="13"/>
      <c r="D380" s="13"/>
      <c r="E380" s="13"/>
      <c r="F380" s="60"/>
      <c r="G380" s="15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2:26" ht="12.75" customHeight="1">
      <c r="B381" s="13"/>
      <c r="C381" s="13"/>
      <c r="D381" s="13"/>
      <c r="E381" s="13"/>
      <c r="F381" s="60"/>
      <c r="G381" s="15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2:26" ht="12.75" customHeight="1">
      <c r="B382" s="13"/>
      <c r="C382" s="13"/>
      <c r="D382" s="13"/>
      <c r="E382" s="13"/>
      <c r="F382" s="60"/>
      <c r="G382" s="15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2:26" ht="12.75" customHeight="1">
      <c r="B383" s="13"/>
      <c r="C383" s="13"/>
      <c r="D383" s="13"/>
      <c r="E383" s="13"/>
      <c r="F383" s="60"/>
      <c r="G383" s="15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2:26" ht="12.75" customHeight="1">
      <c r="B384" s="13"/>
      <c r="C384" s="13"/>
      <c r="D384" s="13"/>
      <c r="E384" s="13"/>
      <c r="F384" s="60"/>
      <c r="G384" s="15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2:26" ht="12.75" customHeight="1">
      <c r="B385" s="13"/>
      <c r="C385" s="13"/>
      <c r="D385" s="13"/>
      <c r="E385" s="13"/>
      <c r="F385" s="60"/>
      <c r="G385" s="15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2:26" ht="12.75" customHeight="1">
      <c r="B386" s="13"/>
      <c r="C386" s="13"/>
      <c r="D386" s="13"/>
      <c r="E386" s="13"/>
      <c r="F386" s="60"/>
      <c r="G386" s="15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2:26" ht="12.75" customHeight="1">
      <c r="B387" s="13"/>
      <c r="C387" s="13"/>
      <c r="D387" s="13"/>
      <c r="E387" s="13"/>
      <c r="F387" s="60"/>
      <c r="G387" s="15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2:26" ht="12.75" customHeight="1">
      <c r="B388" s="13"/>
      <c r="C388" s="13"/>
      <c r="D388" s="13"/>
      <c r="E388" s="13"/>
      <c r="F388" s="60"/>
      <c r="G388" s="15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2:26" ht="12.75" customHeight="1">
      <c r="B389" s="13"/>
      <c r="C389" s="13"/>
      <c r="D389" s="13"/>
      <c r="E389" s="13"/>
      <c r="F389" s="60"/>
      <c r="G389" s="15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2:26" ht="12.75" customHeight="1">
      <c r="B390" s="13"/>
      <c r="C390" s="13"/>
      <c r="D390" s="13"/>
      <c r="E390" s="13"/>
      <c r="F390" s="60"/>
      <c r="G390" s="15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2:26" ht="12.75" customHeight="1">
      <c r="B391" s="13"/>
      <c r="C391" s="13"/>
      <c r="D391" s="13"/>
      <c r="E391" s="13"/>
      <c r="F391" s="60"/>
      <c r="G391" s="15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2:26" ht="12.75" customHeight="1">
      <c r="B392" s="13"/>
      <c r="C392" s="13"/>
      <c r="D392" s="13"/>
      <c r="E392" s="13"/>
      <c r="F392" s="60"/>
      <c r="G392" s="15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2:26" ht="12.75" customHeight="1">
      <c r="B393" s="13"/>
      <c r="C393" s="13"/>
      <c r="D393" s="13"/>
      <c r="E393" s="13"/>
      <c r="F393" s="60"/>
      <c r="G393" s="15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2:26" ht="12.75" customHeight="1">
      <c r="B394" s="13"/>
      <c r="C394" s="13"/>
      <c r="D394" s="13"/>
      <c r="E394" s="13"/>
      <c r="F394" s="60"/>
      <c r="G394" s="15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2:26" ht="12.75" customHeight="1">
      <c r="B395" s="13"/>
      <c r="C395" s="13"/>
      <c r="D395" s="13"/>
      <c r="E395" s="13"/>
      <c r="F395" s="60"/>
      <c r="G395" s="15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2:26" ht="12.75" customHeight="1">
      <c r="B396" s="13"/>
      <c r="C396" s="13"/>
      <c r="D396" s="13"/>
      <c r="E396" s="13"/>
      <c r="F396" s="60"/>
      <c r="G396" s="15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2:26" ht="12.75" customHeight="1">
      <c r="B397" s="13"/>
      <c r="C397" s="13"/>
      <c r="D397" s="13"/>
      <c r="E397" s="13"/>
      <c r="F397" s="60"/>
      <c r="G397" s="15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2:26" ht="12.75" customHeight="1">
      <c r="B398" s="13"/>
      <c r="C398" s="13"/>
      <c r="D398" s="13"/>
      <c r="E398" s="13"/>
      <c r="F398" s="60"/>
      <c r="G398" s="15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2:26" ht="12.75" customHeight="1">
      <c r="B399" s="13"/>
      <c r="C399" s="13"/>
      <c r="D399" s="13"/>
      <c r="E399" s="13"/>
      <c r="F399" s="60"/>
      <c r="G399" s="15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2:26" ht="12.75" customHeight="1">
      <c r="B400" s="13"/>
      <c r="C400" s="13"/>
      <c r="D400" s="13"/>
      <c r="E400" s="13"/>
      <c r="F400" s="60"/>
      <c r="G400" s="15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2:26" ht="12.75" customHeight="1">
      <c r="B401" s="13"/>
      <c r="C401" s="13"/>
      <c r="D401" s="13"/>
      <c r="E401" s="13"/>
      <c r="F401" s="60"/>
      <c r="G401" s="15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2:26" ht="12.75" customHeight="1">
      <c r="B402" s="13"/>
      <c r="C402" s="13"/>
      <c r="D402" s="13"/>
      <c r="E402" s="13"/>
      <c r="F402" s="60"/>
      <c r="G402" s="15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2:26" ht="12.75" customHeight="1">
      <c r="B403" s="13"/>
      <c r="C403" s="13"/>
      <c r="D403" s="13"/>
      <c r="E403" s="13"/>
      <c r="F403" s="60"/>
      <c r="G403" s="15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2:26" ht="12.75" customHeight="1">
      <c r="B404" s="13"/>
      <c r="C404" s="13"/>
      <c r="D404" s="13"/>
      <c r="E404" s="13"/>
      <c r="F404" s="60"/>
      <c r="G404" s="15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2:26" ht="12.75" customHeight="1">
      <c r="B405" s="13"/>
      <c r="C405" s="13"/>
      <c r="D405" s="13"/>
      <c r="E405" s="13"/>
      <c r="F405" s="60"/>
      <c r="G405" s="15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2:26" ht="12.75" customHeight="1">
      <c r="B406" s="13"/>
      <c r="C406" s="13"/>
      <c r="D406" s="13"/>
      <c r="E406" s="13"/>
      <c r="F406" s="60"/>
      <c r="G406" s="15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2:26" ht="12.75" customHeight="1">
      <c r="B407" s="13"/>
      <c r="C407" s="13"/>
      <c r="D407" s="13"/>
      <c r="E407" s="13"/>
      <c r="F407" s="60"/>
      <c r="G407" s="15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2:26" ht="12.75" customHeight="1">
      <c r="B408" s="13"/>
      <c r="C408" s="13"/>
      <c r="D408" s="13"/>
      <c r="E408" s="13"/>
      <c r="F408" s="60"/>
      <c r="G408" s="15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2:26" ht="12.75" customHeight="1">
      <c r="B409" s="13"/>
      <c r="C409" s="13"/>
      <c r="D409" s="13"/>
      <c r="E409" s="13"/>
      <c r="F409" s="60"/>
      <c r="G409" s="15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2:26" ht="12.75" customHeight="1">
      <c r="B410" s="13"/>
      <c r="C410" s="13"/>
      <c r="D410" s="13"/>
      <c r="E410" s="13"/>
      <c r="F410" s="60"/>
      <c r="G410" s="15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2:26" ht="12.75" customHeight="1">
      <c r="B411" s="13"/>
      <c r="C411" s="13"/>
      <c r="D411" s="13"/>
      <c r="E411" s="13"/>
      <c r="F411" s="60"/>
      <c r="G411" s="15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2:26" ht="12.75" customHeight="1">
      <c r="B412" s="13"/>
      <c r="C412" s="13"/>
      <c r="D412" s="13"/>
      <c r="E412" s="13"/>
      <c r="F412" s="60"/>
      <c r="G412" s="15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2:26" ht="12.75" customHeight="1">
      <c r="B413" s="13"/>
      <c r="C413" s="13"/>
      <c r="D413" s="13"/>
      <c r="E413" s="13"/>
      <c r="F413" s="60"/>
      <c r="G413" s="15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2:26" ht="12.75" customHeight="1">
      <c r="B414" s="13"/>
      <c r="C414" s="13"/>
      <c r="D414" s="13"/>
      <c r="E414" s="13"/>
      <c r="F414" s="60"/>
      <c r="G414" s="15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2:26" ht="12.75" customHeight="1">
      <c r="B415" s="13"/>
      <c r="C415" s="13"/>
      <c r="D415" s="13"/>
      <c r="E415" s="13"/>
      <c r="F415" s="60"/>
      <c r="G415" s="15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2:26" ht="12.75" customHeight="1">
      <c r="B416" s="13"/>
      <c r="C416" s="13"/>
      <c r="D416" s="13"/>
      <c r="E416" s="13"/>
      <c r="F416" s="60"/>
      <c r="G416" s="15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2:26" ht="12.75" customHeight="1">
      <c r="B417" s="13"/>
      <c r="C417" s="13"/>
      <c r="D417" s="13"/>
      <c r="E417" s="13"/>
      <c r="F417" s="60"/>
      <c r="G417" s="15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2:26" ht="12.75" customHeight="1">
      <c r="B418" s="13"/>
      <c r="C418" s="13"/>
      <c r="D418" s="13"/>
      <c r="E418" s="13"/>
      <c r="F418" s="60"/>
      <c r="G418" s="15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2:26" ht="12.75" customHeight="1">
      <c r="B419" s="13"/>
      <c r="C419" s="13"/>
      <c r="D419" s="13"/>
      <c r="E419" s="13"/>
      <c r="F419" s="60"/>
      <c r="G419" s="15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2:26" ht="12.75" customHeight="1">
      <c r="B420" s="13"/>
      <c r="C420" s="13"/>
      <c r="D420" s="13"/>
      <c r="E420" s="13"/>
      <c r="F420" s="60"/>
      <c r="G420" s="15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2:26" ht="12.75" customHeight="1">
      <c r="B421" s="13"/>
      <c r="C421" s="13"/>
      <c r="D421" s="13"/>
      <c r="E421" s="13"/>
      <c r="F421" s="60"/>
      <c r="G421" s="15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2:26" ht="12.75" customHeight="1">
      <c r="B422" s="13"/>
      <c r="C422" s="13"/>
      <c r="D422" s="13"/>
      <c r="E422" s="13"/>
      <c r="F422" s="60"/>
      <c r="G422" s="15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2:26" ht="12.75" customHeight="1">
      <c r="B423" s="13"/>
      <c r="C423" s="13"/>
      <c r="D423" s="13"/>
      <c r="E423" s="13"/>
      <c r="F423" s="60"/>
      <c r="G423" s="15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2:26" ht="12.75" customHeight="1">
      <c r="B424" s="13"/>
      <c r="C424" s="13"/>
      <c r="D424" s="13"/>
      <c r="E424" s="13"/>
      <c r="F424" s="60"/>
      <c r="G424" s="15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2:26" ht="12.75" customHeight="1">
      <c r="B425" s="13"/>
      <c r="C425" s="13"/>
      <c r="D425" s="13"/>
      <c r="E425" s="13"/>
      <c r="F425" s="60"/>
      <c r="G425" s="15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2:26" ht="12.75" customHeight="1">
      <c r="B426" s="13"/>
      <c r="C426" s="13"/>
      <c r="D426" s="13"/>
      <c r="E426" s="13"/>
      <c r="F426" s="60"/>
      <c r="G426" s="15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2:26" ht="12.75" customHeight="1">
      <c r="B427" s="13"/>
      <c r="C427" s="13"/>
      <c r="D427" s="13"/>
      <c r="E427" s="13"/>
      <c r="F427" s="60"/>
      <c r="G427" s="15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2:26" ht="12.75" customHeight="1">
      <c r="B428" s="13"/>
      <c r="C428" s="13"/>
      <c r="D428" s="13"/>
      <c r="E428" s="13"/>
      <c r="F428" s="60"/>
      <c r="G428" s="15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2:26" ht="12.75" customHeight="1">
      <c r="B429" s="13"/>
      <c r="C429" s="13"/>
      <c r="D429" s="13"/>
      <c r="E429" s="13"/>
      <c r="F429" s="60"/>
      <c r="G429" s="15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2:26" ht="12.75" customHeight="1">
      <c r="B430" s="13"/>
      <c r="C430" s="13"/>
      <c r="D430" s="13"/>
      <c r="E430" s="13"/>
      <c r="F430" s="60"/>
      <c r="G430" s="15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2:26" ht="12.75" customHeight="1">
      <c r="B431" s="13"/>
      <c r="C431" s="13"/>
      <c r="D431" s="13"/>
      <c r="E431" s="13"/>
      <c r="F431" s="60"/>
      <c r="G431" s="15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2:26" ht="12.75" customHeight="1">
      <c r="B432" s="13"/>
      <c r="C432" s="13"/>
      <c r="D432" s="13"/>
      <c r="E432" s="13"/>
      <c r="F432" s="60"/>
      <c r="G432" s="15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2:26" ht="12.75" customHeight="1">
      <c r="B433" s="13"/>
      <c r="C433" s="13"/>
      <c r="D433" s="13"/>
      <c r="E433" s="13"/>
      <c r="F433" s="60"/>
      <c r="G433" s="15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2:26" ht="12.75" customHeight="1">
      <c r="B434" s="13"/>
      <c r="C434" s="13"/>
      <c r="D434" s="13"/>
      <c r="E434" s="13"/>
      <c r="F434" s="60"/>
      <c r="G434" s="15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2:26" ht="12.75" customHeight="1">
      <c r="B435" s="13"/>
      <c r="C435" s="13"/>
      <c r="D435" s="13"/>
      <c r="E435" s="13"/>
      <c r="F435" s="60"/>
      <c r="G435" s="15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2:26" ht="12.75" customHeight="1">
      <c r="B436" s="13"/>
      <c r="C436" s="13"/>
      <c r="D436" s="13"/>
      <c r="E436" s="13"/>
      <c r="F436" s="60"/>
      <c r="G436" s="15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2:26" ht="12.75" customHeight="1">
      <c r="B437" s="13"/>
      <c r="C437" s="13"/>
      <c r="D437" s="13"/>
      <c r="E437" s="13"/>
      <c r="F437" s="60"/>
      <c r="G437" s="15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2:26" ht="12.75" customHeight="1">
      <c r="B438" s="13"/>
      <c r="C438" s="13"/>
      <c r="D438" s="13"/>
      <c r="E438" s="13"/>
      <c r="F438" s="60"/>
      <c r="G438" s="15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2:26" ht="12.75" customHeight="1">
      <c r="B439" s="13"/>
      <c r="C439" s="13"/>
      <c r="D439" s="13"/>
      <c r="E439" s="13"/>
      <c r="F439" s="60"/>
      <c r="G439" s="15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2:26" ht="12.75" customHeight="1">
      <c r="B440" s="13"/>
      <c r="C440" s="13"/>
      <c r="D440" s="13"/>
      <c r="E440" s="13"/>
      <c r="F440" s="60"/>
      <c r="G440" s="15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2:26" ht="12.75" customHeight="1">
      <c r="B441" s="13"/>
      <c r="C441" s="13"/>
      <c r="D441" s="13"/>
      <c r="E441" s="13"/>
      <c r="F441" s="60"/>
      <c r="G441" s="15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2:26" ht="12.75" customHeight="1">
      <c r="B442" s="13"/>
      <c r="C442" s="13"/>
      <c r="D442" s="13"/>
      <c r="E442" s="13"/>
      <c r="F442" s="60"/>
      <c r="G442" s="15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2:26" ht="12.75" customHeight="1">
      <c r="B443" s="13"/>
      <c r="C443" s="13"/>
      <c r="D443" s="13"/>
      <c r="E443" s="13"/>
      <c r="F443" s="60"/>
      <c r="G443" s="15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2:26" ht="12.75" customHeight="1">
      <c r="B444" s="13"/>
      <c r="C444" s="13"/>
      <c r="D444" s="13"/>
      <c r="E444" s="13"/>
      <c r="F444" s="60"/>
      <c r="G444" s="15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2:26" ht="12.75" customHeight="1">
      <c r="B445" s="13"/>
      <c r="C445" s="13"/>
      <c r="D445" s="13"/>
      <c r="E445" s="13"/>
      <c r="F445" s="60"/>
      <c r="G445" s="15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2:26" ht="12.75" customHeight="1">
      <c r="B446" s="13"/>
      <c r="C446" s="13"/>
      <c r="D446" s="13"/>
      <c r="E446" s="13"/>
      <c r="F446" s="60"/>
      <c r="G446" s="15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2:26" ht="12.75" customHeight="1">
      <c r="B447" s="13"/>
      <c r="C447" s="13"/>
      <c r="D447" s="13"/>
      <c r="E447" s="13"/>
      <c r="F447" s="60"/>
      <c r="G447" s="15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2:26" ht="12.75" customHeight="1">
      <c r="B448" s="13"/>
      <c r="C448" s="13"/>
      <c r="D448" s="13"/>
      <c r="E448" s="13"/>
      <c r="F448" s="60"/>
      <c r="G448" s="15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2:26" ht="12.75" customHeight="1">
      <c r="B449" s="13"/>
      <c r="C449" s="13"/>
      <c r="D449" s="13"/>
      <c r="E449" s="13"/>
      <c r="F449" s="60"/>
      <c r="G449" s="15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2:26" ht="12.75" customHeight="1">
      <c r="B450" s="13"/>
      <c r="C450" s="13"/>
      <c r="D450" s="13"/>
      <c r="E450" s="13"/>
      <c r="F450" s="60"/>
      <c r="G450" s="15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2:26" ht="12.75" customHeight="1">
      <c r="B451" s="13"/>
      <c r="C451" s="13"/>
      <c r="D451" s="13"/>
      <c r="E451" s="13"/>
      <c r="F451" s="60"/>
      <c r="G451" s="15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2:26" ht="12.75" customHeight="1">
      <c r="B452" s="13"/>
      <c r="C452" s="13"/>
      <c r="D452" s="13"/>
      <c r="E452" s="13"/>
      <c r="F452" s="60"/>
      <c r="G452" s="15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2:26" ht="12.75" customHeight="1">
      <c r="B453" s="13"/>
      <c r="C453" s="13"/>
      <c r="D453" s="13"/>
      <c r="E453" s="13"/>
      <c r="F453" s="60"/>
      <c r="G453" s="15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2:26" ht="12.75" customHeight="1">
      <c r="B454" s="13"/>
      <c r="C454" s="13"/>
      <c r="D454" s="13"/>
      <c r="E454" s="13"/>
      <c r="F454" s="60"/>
      <c r="G454" s="15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2:26" ht="12.75" customHeight="1">
      <c r="B455" s="13"/>
      <c r="C455" s="13"/>
      <c r="D455" s="13"/>
      <c r="E455" s="13"/>
      <c r="F455" s="60"/>
      <c r="G455" s="15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2:26" ht="12.75" customHeight="1">
      <c r="B456" s="13"/>
      <c r="C456" s="13"/>
      <c r="D456" s="13"/>
      <c r="E456" s="13"/>
      <c r="F456" s="60"/>
      <c r="G456" s="15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2:26" ht="12.75" customHeight="1">
      <c r="B457" s="13"/>
      <c r="C457" s="13"/>
      <c r="D457" s="13"/>
      <c r="E457" s="13"/>
      <c r="F457" s="60"/>
      <c r="G457" s="15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2:26" ht="12.75" customHeight="1">
      <c r="B458" s="13"/>
      <c r="C458" s="13"/>
      <c r="D458" s="13"/>
      <c r="E458" s="13"/>
      <c r="F458" s="60"/>
      <c r="G458" s="15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2:26" ht="12.75" customHeight="1">
      <c r="B459" s="13"/>
      <c r="C459" s="13"/>
      <c r="D459" s="13"/>
      <c r="E459" s="13"/>
      <c r="F459" s="60"/>
      <c r="G459" s="15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2:26" ht="12.75" customHeight="1">
      <c r="B460" s="13"/>
      <c r="C460" s="13"/>
      <c r="D460" s="13"/>
      <c r="E460" s="13"/>
      <c r="F460" s="60"/>
      <c r="G460" s="15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2:26" ht="12.75" customHeight="1">
      <c r="B461" s="13"/>
      <c r="C461" s="13"/>
      <c r="D461" s="13"/>
      <c r="E461" s="13"/>
      <c r="F461" s="60"/>
      <c r="G461" s="15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2:26" ht="12.75" customHeight="1">
      <c r="B462" s="13"/>
      <c r="C462" s="13"/>
      <c r="D462" s="13"/>
      <c r="E462" s="13"/>
      <c r="F462" s="60"/>
      <c r="G462" s="15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2:26" ht="12.75" customHeight="1">
      <c r="B463" s="13"/>
      <c r="C463" s="13"/>
      <c r="D463" s="13"/>
      <c r="E463" s="13"/>
      <c r="F463" s="60"/>
      <c r="G463" s="15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2:26" ht="12.75" customHeight="1">
      <c r="B464" s="13"/>
      <c r="C464" s="13"/>
      <c r="D464" s="13"/>
      <c r="E464" s="13"/>
      <c r="F464" s="60"/>
      <c r="G464" s="15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2:26" ht="12.75" customHeight="1">
      <c r="B465" s="13"/>
      <c r="C465" s="13"/>
      <c r="D465" s="13"/>
      <c r="E465" s="13"/>
      <c r="F465" s="60"/>
      <c r="G465" s="15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2:26" ht="12.75" customHeight="1">
      <c r="B466" s="13"/>
      <c r="C466" s="13"/>
      <c r="D466" s="13"/>
      <c r="E466" s="13"/>
      <c r="F466" s="60"/>
      <c r="G466" s="15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2:26" ht="12.75" customHeight="1">
      <c r="B467" s="13"/>
      <c r="C467" s="13"/>
      <c r="D467" s="13"/>
      <c r="E467" s="13"/>
      <c r="F467" s="60"/>
      <c r="G467" s="15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2:26" ht="12.75" customHeight="1">
      <c r="B468" s="13"/>
      <c r="C468" s="13"/>
      <c r="D468" s="13"/>
      <c r="E468" s="13"/>
      <c r="F468" s="60"/>
      <c r="G468" s="15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2:26" ht="12.75" customHeight="1">
      <c r="B469" s="13"/>
      <c r="C469" s="13"/>
      <c r="D469" s="13"/>
      <c r="E469" s="13"/>
      <c r="F469" s="60"/>
      <c r="G469" s="15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2:26" ht="12.75" customHeight="1">
      <c r="B470" s="13"/>
      <c r="C470" s="13"/>
      <c r="D470" s="13"/>
      <c r="E470" s="13"/>
      <c r="F470" s="60"/>
      <c r="G470" s="15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2:26" ht="12.75" customHeight="1">
      <c r="B471" s="13"/>
      <c r="C471" s="13"/>
      <c r="D471" s="13"/>
      <c r="E471" s="13"/>
      <c r="F471" s="60"/>
      <c r="G471" s="15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2:26" ht="12.75" customHeight="1">
      <c r="B472" s="13"/>
      <c r="C472" s="13"/>
      <c r="D472" s="13"/>
      <c r="E472" s="13"/>
      <c r="F472" s="60"/>
      <c r="G472" s="15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2:26" ht="12.75" customHeight="1">
      <c r="B473" s="13"/>
      <c r="C473" s="13"/>
      <c r="D473" s="13"/>
      <c r="E473" s="13"/>
      <c r="F473" s="60"/>
      <c r="G473" s="15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2:26" ht="12.75" customHeight="1">
      <c r="B474" s="13"/>
      <c r="C474" s="13"/>
      <c r="D474" s="13"/>
      <c r="E474" s="13"/>
      <c r="F474" s="60"/>
      <c r="G474" s="15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2:26" ht="12.75" customHeight="1">
      <c r="B475" s="13"/>
      <c r="C475" s="13"/>
      <c r="D475" s="13"/>
      <c r="E475" s="13"/>
      <c r="F475" s="60"/>
      <c r="G475" s="15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2:26" ht="12.75" customHeight="1">
      <c r="B476" s="13"/>
      <c r="C476" s="13"/>
      <c r="D476" s="13"/>
      <c r="E476" s="13"/>
      <c r="F476" s="60"/>
      <c r="G476" s="15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2:26" ht="12.75" customHeight="1">
      <c r="B477" s="13"/>
      <c r="C477" s="13"/>
      <c r="D477" s="13"/>
      <c r="E477" s="13"/>
      <c r="F477" s="60"/>
      <c r="G477" s="15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2:26" ht="12.75" customHeight="1">
      <c r="B478" s="13"/>
      <c r="C478" s="13"/>
      <c r="D478" s="13"/>
      <c r="E478" s="13"/>
      <c r="F478" s="60"/>
      <c r="G478" s="15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2:26" ht="12.75" customHeight="1">
      <c r="B479" s="13"/>
      <c r="C479" s="13"/>
      <c r="D479" s="13"/>
      <c r="E479" s="13"/>
      <c r="F479" s="60"/>
      <c r="G479" s="15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2:26" ht="12.75" customHeight="1">
      <c r="B480" s="13"/>
      <c r="C480" s="13"/>
      <c r="D480" s="13"/>
      <c r="E480" s="13"/>
      <c r="F480" s="60"/>
      <c r="G480" s="15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2:26" ht="12.75" customHeight="1">
      <c r="B481" s="13"/>
      <c r="C481" s="13"/>
      <c r="D481" s="13"/>
      <c r="E481" s="13"/>
      <c r="F481" s="60"/>
      <c r="G481" s="15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2:26" ht="12.75" customHeight="1">
      <c r="B482" s="13"/>
      <c r="C482" s="13"/>
      <c r="D482" s="13"/>
      <c r="E482" s="13"/>
      <c r="F482" s="60"/>
      <c r="G482" s="15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2:26" ht="12.75" customHeight="1">
      <c r="B483" s="13"/>
      <c r="C483" s="13"/>
      <c r="D483" s="13"/>
      <c r="E483" s="13"/>
      <c r="F483" s="60"/>
      <c r="G483" s="15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2:26" ht="12.75" customHeight="1">
      <c r="B484" s="13"/>
      <c r="C484" s="13"/>
      <c r="D484" s="13"/>
      <c r="E484" s="13"/>
      <c r="F484" s="60"/>
      <c r="G484" s="15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2:26" ht="12.75" customHeight="1">
      <c r="B485" s="13"/>
      <c r="C485" s="13"/>
      <c r="D485" s="13"/>
      <c r="E485" s="13"/>
      <c r="F485" s="60"/>
      <c r="G485" s="15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2:26" ht="12.75" customHeight="1">
      <c r="B486" s="13"/>
      <c r="C486" s="13"/>
      <c r="D486" s="13"/>
      <c r="E486" s="13"/>
      <c r="F486" s="60"/>
      <c r="G486" s="15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2:26" ht="12.75" customHeight="1">
      <c r="B487" s="13"/>
      <c r="C487" s="13"/>
      <c r="D487" s="13"/>
      <c r="E487" s="13"/>
      <c r="F487" s="60"/>
      <c r="G487" s="15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2:26" ht="12.75" customHeight="1">
      <c r="B488" s="13"/>
      <c r="C488" s="13"/>
      <c r="D488" s="13"/>
      <c r="E488" s="13"/>
      <c r="F488" s="60"/>
      <c r="G488" s="15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2:26" ht="12.75" customHeight="1">
      <c r="B489" s="13"/>
      <c r="C489" s="13"/>
      <c r="D489" s="13"/>
      <c r="E489" s="13"/>
      <c r="F489" s="60"/>
      <c r="G489" s="15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2:26" ht="12.75" customHeight="1">
      <c r="B490" s="13"/>
      <c r="C490" s="13"/>
      <c r="D490" s="13"/>
      <c r="E490" s="13"/>
      <c r="F490" s="60"/>
      <c r="G490" s="15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2:26" ht="12.75" customHeight="1">
      <c r="B491" s="13"/>
      <c r="C491" s="13"/>
      <c r="D491" s="13"/>
      <c r="E491" s="13"/>
      <c r="F491" s="60"/>
      <c r="G491" s="15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2:26" ht="12.75" customHeight="1">
      <c r="B492" s="13"/>
      <c r="C492" s="13"/>
      <c r="D492" s="13"/>
      <c r="E492" s="13"/>
      <c r="F492" s="60"/>
      <c r="G492" s="15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2:26" ht="12.75" customHeight="1">
      <c r="B493" s="13"/>
      <c r="C493" s="13"/>
      <c r="D493" s="13"/>
      <c r="E493" s="13"/>
      <c r="F493" s="60"/>
      <c r="G493" s="15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2:26" ht="12.75" customHeight="1">
      <c r="B494" s="13"/>
      <c r="C494" s="13"/>
      <c r="D494" s="13"/>
      <c r="E494" s="13"/>
      <c r="F494" s="60"/>
      <c r="G494" s="15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2:26" ht="12.75" customHeight="1">
      <c r="B495" s="13"/>
      <c r="C495" s="13"/>
      <c r="D495" s="13"/>
      <c r="E495" s="13"/>
      <c r="F495" s="60"/>
      <c r="G495" s="15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2:26" ht="12.75" customHeight="1">
      <c r="B496" s="13"/>
      <c r="C496" s="13"/>
      <c r="D496" s="13"/>
      <c r="E496" s="13"/>
      <c r="F496" s="60"/>
      <c r="G496" s="15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2:26" ht="12.75" customHeight="1">
      <c r="B497" s="13"/>
      <c r="C497" s="13"/>
      <c r="D497" s="13"/>
      <c r="E497" s="13"/>
      <c r="F497" s="60"/>
      <c r="G497" s="15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2:26" ht="12.75" customHeight="1">
      <c r="B498" s="13"/>
      <c r="C498" s="13"/>
      <c r="D498" s="13"/>
      <c r="E498" s="13"/>
      <c r="F498" s="60"/>
      <c r="G498" s="15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2:26" ht="12.75" customHeight="1">
      <c r="B499" s="13"/>
      <c r="C499" s="13"/>
      <c r="D499" s="13"/>
      <c r="E499" s="13"/>
      <c r="F499" s="60"/>
      <c r="G499" s="15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2:26" ht="12.75" customHeight="1">
      <c r="B500" s="13"/>
      <c r="C500" s="13"/>
      <c r="D500" s="13"/>
      <c r="E500" s="13"/>
      <c r="F500" s="60"/>
      <c r="G500" s="15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2:26" ht="12.75" customHeight="1">
      <c r="B501" s="13"/>
      <c r="C501" s="13"/>
      <c r="D501" s="13"/>
      <c r="E501" s="13"/>
      <c r="F501" s="60"/>
      <c r="G501" s="15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2:26" ht="12.75" customHeight="1">
      <c r="B502" s="13"/>
      <c r="C502" s="13"/>
      <c r="D502" s="13"/>
      <c r="E502" s="13"/>
      <c r="F502" s="60"/>
      <c r="G502" s="15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2:26" ht="12.75" customHeight="1">
      <c r="B503" s="13"/>
      <c r="C503" s="13"/>
      <c r="D503" s="13"/>
      <c r="E503" s="13"/>
      <c r="F503" s="60"/>
      <c r="G503" s="15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2:26" ht="12.75" customHeight="1">
      <c r="B504" s="13"/>
      <c r="C504" s="13"/>
      <c r="D504" s="13"/>
      <c r="E504" s="13"/>
      <c r="F504" s="60"/>
      <c r="G504" s="15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2:26" ht="12.75" customHeight="1">
      <c r="B505" s="13"/>
      <c r="C505" s="13"/>
      <c r="D505" s="13"/>
      <c r="E505" s="13"/>
      <c r="F505" s="60"/>
      <c r="G505" s="15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2:26" ht="12.75" customHeight="1">
      <c r="B506" s="13"/>
      <c r="C506" s="13"/>
      <c r="D506" s="13"/>
      <c r="E506" s="13"/>
      <c r="F506" s="60"/>
      <c r="G506" s="15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2:26" ht="12.75" customHeight="1">
      <c r="B507" s="13"/>
      <c r="C507" s="13"/>
      <c r="D507" s="13"/>
      <c r="E507" s="13"/>
      <c r="F507" s="60"/>
      <c r="G507" s="15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2:26" ht="12.75" customHeight="1">
      <c r="B508" s="13"/>
      <c r="C508" s="13"/>
      <c r="D508" s="13"/>
      <c r="E508" s="13"/>
      <c r="F508" s="60"/>
      <c r="G508" s="15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2:26" ht="12.75" customHeight="1">
      <c r="B509" s="13"/>
      <c r="C509" s="13"/>
      <c r="D509" s="13"/>
      <c r="E509" s="13"/>
      <c r="F509" s="60"/>
      <c r="G509" s="15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2:26" ht="12.75" customHeight="1">
      <c r="B510" s="13"/>
      <c r="C510" s="13"/>
      <c r="D510" s="13"/>
      <c r="E510" s="13"/>
      <c r="F510" s="60"/>
      <c r="G510" s="15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2:26" ht="12.75" customHeight="1">
      <c r="B511" s="13"/>
      <c r="C511" s="13"/>
      <c r="D511" s="13"/>
      <c r="E511" s="13"/>
      <c r="F511" s="60"/>
      <c r="G511" s="15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2:26" ht="12.75" customHeight="1">
      <c r="B512" s="13"/>
      <c r="C512" s="13"/>
      <c r="D512" s="13"/>
      <c r="E512" s="13"/>
      <c r="F512" s="60"/>
      <c r="G512" s="15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2:26" ht="12.75" customHeight="1">
      <c r="B513" s="13"/>
      <c r="C513" s="13"/>
      <c r="D513" s="13"/>
      <c r="E513" s="13"/>
      <c r="F513" s="60"/>
      <c r="G513" s="15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2:26" ht="12.75" customHeight="1">
      <c r="B514" s="13"/>
      <c r="C514" s="13"/>
      <c r="D514" s="13"/>
      <c r="E514" s="13"/>
      <c r="F514" s="60"/>
      <c r="G514" s="15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2:26" ht="12.75" customHeight="1">
      <c r="B515" s="13"/>
      <c r="C515" s="13"/>
      <c r="D515" s="13"/>
      <c r="E515" s="13"/>
      <c r="F515" s="60"/>
      <c r="G515" s="15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2:26" ht="12.75" customHeight="1">
      <c r="B516" s="13"/>
      <c r="C516" s="13"/>
      <c r="D516" s="13"/>
      <c r="E516" s="13"/>
      <c r="F516" s="60"/>
      <c r="G516" s="15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2:26" ht="12.75" customHeight="1">
      <c r="B517" s="13"/>
      <c r="C517" s="13"/>
      <c r="D517" s="13"/>
      <c r="E517" s="13"/>
      <c r="F517" s="60"/>
      <c r="G517" s="15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2:26" ht="12.75" customHeight="1">
      <c r="B518" s="13"/>
      <c r="C518" s="13"/>
      <c r="D518" s="13"/>
      <c r="E518" s="13"/>
      <c r="F518" s="60"/>
      <c r="G518" s="15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2:26" ht="12.75" customHeight="1">
      <c r="B519" s="13"/>
      <c r="C519" s="13"/>
      <c r="D519" s="13"/>
      <c r="E519" s="13"/>
      <c r="F519" s="60"/>
      <c r="G519" s="15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2:26" ht="12.75" customHeight="1">
      <c r="B520" s="13"/>
      <c r="C520" s="13"/>
      <c r="D520" s="13"/>
      <c r="E520" s="13"/>
      <c r="F520" s="60"/>
      <c r="G520" s="15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2:26" ht="12.75" customHeight="1">
      <c r="B521" s="13"/>
      <c r="C521" s="13"/>
      <c r="D521" s="13"/>
      <c r="E521" s="13"/>
      <c r="F521" s="60"/>
      <c r="G521" s="15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2:26" ht="12.75" customHeight="1">
      <c r="B522" s="13"/>
      <c r="C522" s="13"/>
      <c r="D522" s="13"/>
      <c r="E522" s="13"/>
      <c r="F522" s="60"/>
      <c r="G522" s="15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2:26" ht="12.75" customHeight="1">
      <c r="B523" s="13"/>
      <c r="C523" s="13"/>
      <c r="D523" s="13"/>
      <c r="E523" s="13"/>
      <c r="F523" s="60"/>
      <c r="G523" s="15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2:26" ht="12.75" customHeight="1">
      <c r="B524" s="13"/>
      <c r="C524" s="13"/>
      <c r="D524" s="13"/>
      <c r="E524" s="13"/>
      <c r="F524" s="60"/>
      <c r="G524" s="15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2:26" ht="12.75" customHeight="1">
      <c r="B525" s="13"/>
      <c r="C525" s="13"/>
      <c r="D525" s="13"/>
      <c r="E525" s="13"/>
      <c r="F525" s="60"/>
      <c r="G525" s="15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2:26" ht="12.75" customHeight="1">
      <c r="B526" s="13"/>
      <c r="C526" s="13"/>
      <c r="D526" s="13"/>
      <c r="E526" s="13"/>
      <c r="F526" s="60"/>
      <c r="G526" s="15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2:26" ht="12.75" customHeight="1">
      <c r="B527" s="13"/>
      <c r="C527" s="13"/>
      <c r="D527" s="13"/>
      <c r="E527" s="13"/>
      <c r="F527" s="60"/>
      <c r="G527" s="15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2:26" ht="12.75" customHeight="1">
      <c r="B528" s="13"/>
      <c r="C528" s="13"/>
      <c r="D528" s="13"/>
      <c r="E528" s="13"/>
      <c r="F528" s="60"/>
      <c r="G528" s="15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2:26" ht="12.75" customHeight="1">
      <c r="B529" s="13"/>
      <c r="C529" s="13"/>
      <c r="D529" s="13"/>
      <c r="E529" s="13"/>
      <c r="F529" s="60"/>
      <c r="G529" s="15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2:26" ht="12.75" customHeight="1">
      <c r="B530" s="13"/>
      <c r="C530" s="13"/>
      <c r="D530" s="13"/>
      <c r="E530" s="13"/>
      <c r="F530" s="60"/>
      <c r="G530" s="15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2:26" ht="12.75" customHeight="1">
      <c r="B531" s="13"/>
      <c r="C531" s="13"/>
      <c r="D531" s="13"/>
      <c r="E531" s="13"/>
      <c r="F531" s="60"/>
      <c r="G531" s="15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2:26" ht="12.75" customHeight="1">
      <c r="B532" s="13"/>
      <c r="C532" s="13"/>
      <c r="D532" s="13"/>
      <c r="E532" s="13"/>
      <c r="F532" s="60"/>
      <c r="G532" s="15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2:26" ht="12.75" customHeight="1">
      <c r="B533" s="13"/>
      <c r="C533" s="13"/>
      <c r="D533" s="13"/>
      <c r="E533" s="13"/>
      <c r="F533" s="60"/>
      <c r="G533" s="15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2:26" ht="12.75" customHeight="1">
      <c r="B534" s="13"/>
      <c r="C534" s="13"/>
      <c r="D534" s="13"/>
      <c r="E534" s="13"/>
      <c r="F534" s="60"/>
      <c r="G534" s="15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2:26" ht="12.75" customHeight="1">
      <c r="B535" s="13"/>
      <c r="C535" s="13"/>
      <c r="D535" s="13"/>
      <c r="E535" s="13"/>
      <c r="F535" s="60"/>
      <c r="G535" s="15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2:26" ht="12.75" customHeight="1">
      <c r="B536" s="13"/>
      <c r="C536" s="13"/>
      <c r="D536" s="13"/>
      <c r="E536" s="13"/>
      <c r="F536" s="60"/>
      <c r="G536" s="15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2:26" ht="12.75" customHeight="1">
      <c r="B537" s="13"/>
      <c r="C537" s="13"/>
      <c r="D537" s="13"/>
      <c r="E537" s="13"/>
      <c r="F537" s="60"/>
      <c r="G537" s="15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2:26" ht="12.75" customHeight="1">
      <c r="B538" s="13"/>
      <c r="C538" s="13"/>
      <c r="D538" s="13"/>
      <c r="E538" s="13"/>
      <c r="F538" s="60"/>
      <c r="G538" s="15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2:26" ht="12.75" customHeight="1">
      <c r="B539" s="13"/>
      <c r="C539" s="13"/>
      <c r="D539" s="13"/>
      <c r="E539" s="13"/>
      <c r="F539" s="60"/>
      <c r="G539" s="15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2:26" ht="12.75" customHeight="1">
      <c r="B540" s="13"/>
      <c r="C540" s="13"/>
      <c r="D540" s="13"/>
      <c r="E540" s="13"/>
      <c r="F540" s="60"/>
      <c r="G540" s="15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2:26" ht="12.75" customHeight="1">
      <c r="B541" s="13"/>
      <c r="C541" s="13"/>
      <c r="D541" s="13"/>
      <c r="E541" s="13"/>
      <c r="F541" s="60"/>
      <c r="G541" s="15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2:26" ht="12.75" customHeight="1">
      <c r="B542" s="13"/>
      <c r="C542" s="13"/>
      <c r="D542" s="13"/>
      <c r="E542" s="13"/>
      <c r="F542" s="60"/>
      <c r="G542" s="15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2:26" ht="12.75" customHeight="1">
      <c r="B543" s="13"/>
      <c r="C543" s="13"/>
      <c r="D543" s="13"/>
      <c r="E543" s="13"/>
      <c r="F543" s="60"/>
      <c r="G543" s="15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2:26" ht="12.75" customHeight="1">
      <c r="B544" s="13"/>
      <c r="C544" s="13"/>
      <c r="D544" s="13"/>
      <c r="E544" s="13"/>
      <c r="F544" s="60"/>
      <c r="G544" s="15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2:26" ht="12.75" customHeight="1">
      <c r="B545" s="13"/>
      <c r="C545" s="13"/>
      <c r="D545" s="13"/>
      <c r="E545" s="13"/>
      <c r="F545" s="60"/>
      <c r="G545" s="15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2:26" ht="12.75" customHeight="1">
      <c r="B546" s="13"/>
      <c r="C546" s="13"/>
      <c r="D546" s="13"/>
      <c r="E546" s="13"/>
      <c r="F546" s="60"/>
      <c r="G546" s="15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2:26" ht="12.75" customHeight="1">
      <c r="B547" s="13"/>
      <c r="C547" s="13"/>
      <c r="D547" s="13"/>
      <c r="E547" s="13"/>
      <c r="F547" s="60"/>
      <c r="G547" s="15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2:26" ht="12.75" customHeight="1">
      <c r="B548" s="13"/>
      <c r="C548" s="13"/>
      <c r="D548" s="13"/>
      <c r="E548" s="13"/>
      <c r="F548" s="60"/>
      <c r="G548" s="15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2:26" ht="12.75" customHeight="1">
      <c r="B549" s="13"/>
      <c r="C549" s="13"/>
      <c r="D549" s="13"/>
      <c r="E549" s="13"/>
      <c r="F549" s="60"/>
      <c r="G549" s="15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2:26" ht="12.75" customHeight="1">
      <c r="B550" s="13"/>
      <c r="C550" s="13"/>
      <c r="D550" s="13"/>
      <c r="E550" s="13"/>
      <c r="F550" s="60"/>
      <c r="G550" s="15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2:26" ht="12.75" customHeight="1">
      <c r="B551" s="13"/>
      <c r="C551" s="13"/>
      <c r="D551" s="13"/>
      <c r="E551" s="13"/>
      <c r="F551" s="60"/>
      <c r="G551" s="15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2:26" ht="12.75" customHeight="1">
      <c r="B552" s="13"/>
      <c r="C552" s="13"/>
      <c r="D552" s="13"/>
      <c r="E552" s="13"/>
      <c r="F552" s="60"/>
      <c r="G552" s="15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2:26" ht="12.75" customHeight="1">
      <c r="B553" s="13"/>
      <c r="C553" s="13"/>
      <c r="D553" s="13"/>
      <c r="E553" s="13"/>
      <c r="F553" s="60"/>
      <c r="G553" s="15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2:26" ht="12.75" customHeight="1">
      <c r="B554" s="13"/>
      <c r="C554" s="13"/>
      <c r="D554" s="13"/>
      <c r="E554" s="13"/>
      <c r="F554" s="60"/>
      <c r="G554" s="15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2:26" ht="12.75" customHeight="1">
      <c r="B555" s="13"/>
      <c r="C555" s="13"/>
      <c r="D555" s="13"/>
      <c r="E555" s="13"/>
      <c r="F555" s="60"/>
      <c r="G555" s="15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2:26" ht="12.75" customHeight="1">
      <c r="B556" s="13"/>
      <c r="C556" s="13"/>
      <c r="D556" s="13"/>
      <c r="E556" s="13"/>
      <c r="F556" s="60"/>
      <c r="G556" s="15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2:26" ht="12.75" customHeight="1">
      <c r="B557" s="13"/>
      <c r="C557" s="13"/>
      <c r="D557" s="13"/>
      <c r="E557" s="13"/>
      <c r="F557" s="60"/>
      <c r="G557" s="15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2:26" ht="12.75" customHeight="1">
      <c r="B558" s="13"/>
      <c r="C558" s="13"/>
      <c r="D558" s="13"/>
      <c r="E558" s="13"/>
      <c r="F558" s="60"/>
      <c r="G558" s="15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2:26" ht="12.75" customHeight="1">
      <c r="B559" s="13"/>
      <c r="C559" s="13"/>
      <c r="D559" s="13"/>
      <c r="E559" s="13"/>
      <c r="F559" s="60"/>
      <c r="G559" s="15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2:26" ht="12.75" customHeight="1">
      <c r="B560" s="13"/>
      <c r="C560" s="13"/>
      <c r="D560" s="13"/>
      <c r="E560" s="13"/>
      <c r="F560" s="60"/>
      <c r="G560" s="15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2:26" ht="12.75" customHeight="1">
      <c r="B561" s="13"/>
      <c r="C561" s="13"/>
      <c r="D561" s="13"/>
      <c r="E561" s="13"/>
      <c r="F561" s="60"/>
      <c r="G561" s="15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2:26" ht="12.75" customHeight="1">
      <c r="B562" s="13"/>
      <c r="C562" s="13"/>
      <c r="D562" s="13"/>
      <c r="E562" s="13"/>
      <c r="F562" s="60"/>
      <c r="G562" s="15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2:26" ht="12.75" customHeight="1">
      <c r="B563" s="13"/>
      <c r="C563" s="13"/>
      <c r="D563" s="13"/>
      <c r="E563" s="13"/>
      <c r="F563" s="60"/>
      <c r="G563" s="15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2:26" ht="12.75" customHeight="1">
      <c r="B564" s="13"/>
      <c r="C564" s="13"/>
      <c r="D564" s="13"/>
      <c r="E564" s="13"/>
      <c r="F564" s="60"/>
      <c r="G564" s="15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2:26" ht="12.75" customHeight="1">
      <c r="B565" s="13"/>
      <c r="C565" s="13"/>
      <c r="D565" s="13"/>
      <c r="E565" s="13"/>
      <c r="F565" s="60"/>
      <c r="G565" s="15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2:26" ht="12.75" customHeight="1">
      <c r="B566" s="13"/>
      <c r="C566" s="13"/>
      <c r="D566" s="13"/>
      <c r="E566" s="13"/>
      <c r="F566" s="60"/>
      <c r="G566" s="15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2:26" ht="12.75" customHeight="1">
      <c r="B567" s="13"/>
      <c r="C567" s="13"/>
      <c r="D567" s="13"/>
      <c r="E567" s="13"/>
      <c r="F567" s="60"/>
      <c r="G567" s="15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2:26" ht="12.75" customHeight="1">
      <c r="B568" s="13"/>
      <c r="C568" s="13"/>
      <c r="D568" s="13"/>
      <c r="E568" s="13"/>
      <c r="F568" s="60"/>
      <c r="G568" s="15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2:26" ht="12.75" customHeight="1">
      <c r="B569" s="13"/>
      <c r="C569" s="13"/>
      <c r="D569" s="13"/>
      <c r="E569" s="13"/>
      <c r="F569" s="60"/>
      <c r="G569" s="15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2:26" ht="12.75" customHeight="1">
      <c r="B570" s="13"/>
      <c r="C570" s="13"/>
      <c r="D570" s="13"/>
      <c r="E570" s="13"/>
      <c r="F570" s="60"/>
      <c r="G570" s="15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2:26" ht="12.75" customHeight="1">
      <c r="B571" s="13"/>
      <c r="C571" s="13"/>
      <c r="D571" s="13"/>
      <c r="E571" s="13"/>
      <c r="F571" s="60"/>
      <c r="G571" s="15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2:26" ht="12.75" customHeight="1">
      <c r="B572" s="13"/>
      <c r="C572" s="13"/>
      <c r="D572" s="13"/>
      <c r="E572" s="13"/>
      <c r="F572" s="60"/>
      <c r="G572" s="15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2:26" ht="12.75" customHeight="1">
      <c r="B573" s="13"/>
      <c r="C573" s="13"/>
      <c r="D573" s="13"/>
      <c r="E573" s="13"/>
      <c r="F573" s="60"/>
      <c r="G573" s="15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2:26" ht="12.75" customHeight="1">
      <c r="B574" s="13"/>
      <c r="C574" s="13"/>
      <c r="D574" s="13"/>
      <c r="E574" s="13"/>
      <c r="F574" s="60"/>
      <c r="G574" s="15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2:26" ht="12.75" customHeight="1">
      <c r="B575" s="13"/>
      <c r="C575" s="13"/>
      <c r="D575" s="13"/>
      <c r="E575" s="13"/>
      <c r="F575" s="60"/>
      <c r="G575" s="15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2:26" ht="12.75" customHeight="1">
      <c r="B576" s="13"/>
      <c r="C576" s="13"/>
      <c r="D576" s="13"/>
      <c r="E576" s="13"/>
      <c r="F576" s="60"/>
      <c r="G576" s="15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2:26" ht="12.75" customHeight="1">
      <c r="B577" s="13"/>
      <c r="C577" s="13"/>
      <c r="D577" s="13"/>
      <c r="E577" s="13"/>
      <c r="F577" s="60"/>
      <c r="G577" s="15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2:26" ht="12.75" customHeight="1">
      <c r="B578" s="13"/>
      <c r="C578" s="13"/>
      <c r="D578" s="13"/>
      <c r="E578" s="13"/>
      <c r="F578" s="60"/>
      <c r="G578" s="15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2:26" ht="12.75" customHeight="1">
      <c r="B579" s="13"/>
      <c r="C579" s="13"/>
      <c r="D579" s="13"/>
      <c r="E579" s="13"/>
      <c r="F579" s="60"/>
      <c r="G579" s="15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2:26" ht="12.75" customHeight="1">
      <c r="B580" s="13"/>
      <c r="C580" s="13"/>
      <c r="D580" s="13"/>
      <c r="E580" s="13"/>
      <c r="F580" s="60"/>
      <c r="G580" s="15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2:26" ht="12.75" customHeight="1">
      <c r="B581" s="13"/>
      <c r="C581" s="13"/>
      <c r="D581" s="13"/>
      <c r="E581" s="13"/>
      <c r="F581" s="60"/>
      <c r="G581" s="15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2:26" ht="12.75" customHeight="1">
      <c r="B582" s="13"/>
      <c r="C582" s="13"/>
      <c r="D582" s="13"/>
      <c r="E582" s="13"/>
      <c r="F582" s="60"/>
      <c r="G582" s="15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2:26" ht="12.75" customHeight="1">
      <c r="B583" s="13"/>
      <c r="C583" s="13"/>
      <c r="D583" s="13"/>
      <c r="E583" s="13"/>
      <c r="F583" s="60"/>
      <c r="G583" s="15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2:26" ht="12.75" customHeight="1">
      <c r="B584" s="13"/>
      <c r="C584" s="13"/>
      <c r="D584" s="13"/>
      <c r="E584" s="13"/>
      <c r="F584" s="60"/>
      <c r="G584" s="15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2:26" ht="12.75" customHeight="1">
      <c r="B585" s="13"/>
      <c r="C585" s="13"/>
      <c r="D585" s="13"/>
      <c r="E585" s="13"/>
      <c r="F585" s="60"/>
      <c r="G585" s="15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2:26" ht="12.75" customHeight="1">
      <c r="B586" s="13"/>
      <c r="C586" s="13"/>
      <c r="D586" s="13"/>
      <c r="E586" s="13"/>
      <c r="F586" s="60"/>
      <c r="G586" s="15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2:26" ht="12.75" customHeight="1">
      <c r="B587" s="13"/>
      <c r="C587" s="13"/>
      <c r="D587" s="13"/>
      <c r="E587" s="13"/>
      <c r="F587" s="60"/>
      <c r="G587" s="15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2:26" ht="12.75" customHeight="1">
      <c r="B588" s="13"/>
      <c r="C588" s="13"/>
      <c r="D588" s="13"/>
      <c r="E588" s="13"/>
      <c r="F588" s="60"/>
      <c r="G588" s="15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2:26" ht="12.75" customHeight="1">
      <c r="B589" s="13"/>
      <c r="C589" s="13"/>
      <c r="D589" s="13"/>
      <c r="E589" s="13"/>
      <c r="F589" s="60"/>
      <c r="G589" s="15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2:26" ht="12.75" customHeight="1">
      <c r="B590" s="13"/>
      <c r="C590" s="13"/>
      <c r="D590" s="13"/>
      <c r="E590" s="13"/>
      <c r="F590" s="60"/>
      <c r="G590" s="15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2:26" ht="12.75" customHeight="1">
      <c r="B591" s="13"/>
      <c r="C591" s="13"/>
      <c r="D591" s="13"/>
      <c r="E591" s="13"/>
      <c r="F591" s="60"/>
      <c r="G591" s="15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2:26" ht="12.75" customHeight="1">
      <c r="B592" s="13"/>
      <c r="C592" s="13"/>
      <c r="D592" s="13"/>
      <c r="E592" s="13"/>
      <c r="F592" s="60"/>
      <c r="G592" s="15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2:26" ht="12.75" customHeight="1">
      <c r="B593" s="13"/>
      <c r="C593" s="13"/>
      <c r="D593" s="13"/>
      <c r="E593" s="13"/>
      <c r="F593" s="60"/>
      <c r="G593" s="15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2:26" ht="12.75" customHeight="1">
      <c r="B594" s="13"/>
      <c r="C594" s="13"/>
      <c r="D594" s="13"/>
      <c r="E594" s="13"/>
      <c r="F594" s="60"/>
      <c r="G594" s="15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2:26" ht="12.75" customHeight="1">
      <c r="B595" s="13"/>
      <c r="C595" s="13"/>
      <c r="D595" s="13"/>
      <c r="E595" s="13"/>
      <c r="F595" s="60"/>
      <c r="G595" s="15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2:26" ht="12.75" customHeight="1">
      <c r="B596" s="13"/>
      <c r="C596" s="13"/>
      <c r="D596" s="13"/>
      <c r="E596" s="13"/>
      <c r="F596" s="60"/>
      <c r="G596" s="15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2:26" ht="12.75" customHeight="1">
      <c r="B597" s="13"/>
      <c r="C597" s="13"/>
      <c r="D597" s="13"/>
      <c r="E597" s="13"/>
      <c r="F597" s="60"/>
      <c r="G597" s="15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2:26" ht="12.75" customHeight="1">
      <c r="B598" s="13"/>
      <c r="C598" s="13"/>
      <c r="D598" s="13"/>
      <c r="E598" s="13"/>
      <c r="F598" s="60"/>
      <c r="G598" s="15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2:26" ht="12.75" customHeight="1">
      <c r="B599" s="13"/>
      <c r="C599" s="13"/>
      <c r="D599" s="13"/>
      <c r="E599" s="13"/>
      <c r="F599" s="60"/>
      <c r="G599" s="15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2:26" ht="12.75" customHeight="1">
      <c r="B600" s="13"/>
      <c r="C600" s="13"/>
      <c r="D600" s="13"/>
      <c r="E600" s="13"/>
      <c r="F600" s="60"/>
      <c r="G600" s="15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2:26" ht="12.75" customHeight="1">
      <c r="B601" s="13"/>
      <c r="C601" s="13"/>
      <c r="D601" s="13"/>
      <c r="E601" s="13"/>
      <c r="F601" s="60"/>
      <c r="G601" s="15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2:26" ht="12.75" customHeight="1">
      <c r="B602" s="13"/>
      <c r="C602" s="13"/>
      <c r="D602" s="13"/>
      <c r="E602" s="13"/>
      <c r="F602" s="60"/>
      <c r="G602" s="15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2:26" ht="12.75" customHeight="1">
      <c r="B603" s="13"/>
      <c r="C603" s="13"/>
      <c r="D603" s="13"/>
      <c r="E603" s="13"/>
      <c r="F603" s="60"/>
      <c r="G603" s="15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2:26" ht="12.75" customHeight="1">
      <c r="B604" s="13"/>
      <c r="C604" s="13"/>
      <c r="D604" s="13"/>
      <c r="E604" s="13"/>
      <c r="F604" s="60"/>
      <c r="G604" s="15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2:26" ht="12.75" customHeight="1">
      <c r="B605" s="13"/>
      <c r="C605" s="13"/>
      <c r="D605" s="13"/>
      <c r="E605" s="13"/>
      <c r="F605" s="60"/>
      <c r="G605" s="15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2:26" ht="12.75" customHeight="1">
      <c r="B606" s="13"/>
      <c r="C606" s="13"/>
      <c r="D606" s="13"/>
      <c r="E606" s="13"/>
      <c r="F606" s="60"/>
      <c r="G606" s="15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2:26" ht="12.75" customHeight="1">
      <c r="B607" s="13"/>
      <c r="C607" s="13"/>
      <c r="D607" s="13"/>
      <c r="E607" s="13"/>
      <c r="F607" s="60"/>
      <c r="G607" s="15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2:26" ht="12.75" customHeight="1">
      <c r="B608" s="13"/>
      <c r="C608" s="13"/>
      <c r="D608" s="13"/>
      <c r="E608" s="13"/>
      <c r="F608" s="60"/>
      <c r="G608" s="15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2:26" ht="12.75" customHeight="1">
      <c r="B609" s="13"/>
      <c r="C609" s="13"/>
      <c r="D609" s="13"/>
      <c r="E609" s="13"/>
      <c r="F609" s="60"/>
      <c r="G609" s="15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2:26" ht="12.75" customHeight="1">
      <c r="B610" s="13"/>
      <c r="C610" s="13"/>
      <c r="D610" s="13"/>
      <c r="E610" s="13"/>
      <c r="F610" s="60"/>
      <c r="G610" s="15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2:26" ht="12.75" customHeight="1">
      <c r="B611" s="13"/>
      <c r="C611" s="13"/>
      <c r="D611" s="13"/>
      <c r="E611" s="13"/>
      <c r="F611" s="60"/>
      <c r="G611" s="15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2:26" ht="12.75" customHeight="1">
      <c r="B612" s="13"/>
      <c r="C612" s="13"/>
      <c r="D612" s="13"/>
      <c r="E612" s="13"/>
      <c r="F612" s="60"/>
      <c r="G612" s="15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2:26" ht="12.75" customHeight="1">
      <c r="B613" s="13"/>
      <c r="C613" s="13"/>
      <c r="D613" s="13"/>
      <c r="E613" s="13"/>
      <c r="F613" s="60"/>
      <c r="G613" s="15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2:26" ht="12.75" customHeight="1">
      <c r="B614" s="13"/>
      <c r="C614" s="13"/>
      <c r="D614" s="13"/>
      <c r="E614" s="13"/>
      <c r="F614" s="60"/>
      <c r="G614" s="15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2:26" ht="12.75" customHeight="1">
      <c r="B615" s="13"/>
      <c r="C615" s="13"/>
      <c r="D615" s="13"/>
      <c r="E615" s="13"/>
      <c r="F615" s="60"/>
      <c r="G615" s="15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2:26" ht="12.75" customHeight="1">
      <c r="B616" s="13"/>
      <c r="C616" s="13"/>
      <c r="D616" s="13"/>
      <c r="E616" s="13"/>
      <c r="F616" s="60"/>
      <c r="G616" s="15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2:26" ht="12.75" customHeight="1">
      <c r="B617" s="13"/>
      <c r="C617" s="13"/>
      <c r="D617" s="13"/>
      <c r="E617" s="13"/>
      <c r="F617" s="60"/>
      <c r="G617" s="15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2:26" ht="12.75" customHeight="1">
      <c r="B618" s="13"/>
      <c r="C618" s="13"/>
      <c r="D618" s="13"/>
      <c r="E618" s="13"/>
      <c r="F618" s="60"/>
      <c r="G618" s="15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2:26" ht="12.75" customHeight="1">
      <c r="B619" s="13"/>
      <c r="C619" s="13"/>
      <c r="D619" s="13"/>
      <c r="E619" s="13"/>
      <c r="F619" s="60"/>
      <c r="G619" s="15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2:26" ht="12.75" customHeight="1">
      <c r="B620" s="13"/>
      <c r="C620" s="13"/>
      <c r="D620" s="13"/>
      <c r="E620" s="13"/>
      <c r="F620" s="60"/>
      <c r="G620" s="15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2:26" ht="12.75" customHeight="1">
      <c r="B621" s="13"/>
      <c r="C621" s="13"/>
      <c r="D621" s="13"/>
      <c r="E621" s="13"/>
      <c r="F621" s="60"/>
      <c r="G621" s="15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2:26" ht="12.75" customHeight="1">
      <c r="B622" s="13"/>
      <c r="C622" s="13"/>
      <c r="D622" s="13"/>
      <c r="E622" s="13"/>
      <c r="F622" s="60"/>
      <c r="G622" s="15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2:26" ht="12.75" customHeight="1">
      <c r="B623" s="13"/>
      <c r="C623" s="13"/>
      <c r="D623" s="13"/>
      <c r="E623" s="13"/>
      <c r="F623" s="60"/>
      <c r="G623" s="15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2:26" ht="12.75" customHeight="1">
      <c r="B624" s="13"/>
      <c r="C624" s="13"/>
      <c r="D624" s="13"/>
      <c r="E624" s="13"/>
      <c r="F624" s="60"/>
      <c r="G624" s="15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2:26" ht="12.75" customHeight="1">
      <c r="B625" s="13"/>
      <c r="C625" s="13"/>
      <c r="D625" s="13"/>
      <c r="E625" s="13"/>
      <c r="F625" s="60"/>
      <c r="G625" s="15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2:26" ht="12.75" customHeight="1">
      <c r="B626" s="13"/>
      <c r="C626" s="13"/>
      <c r="D626" s="13"/>
      <c r="E626" s="13"/>
      <c r="F626" s="60"/>
      <c r="G626" s="15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2:26" ht="12.75" customHeight="1">
      <c r="B627" s="13"/>
      <c r="C627" s="13"/>
      <c r="D627" s="13"/>
      <c r="E627" s="13"/>
      <c r="F627" s="60"/>
      <c r="G627" s="15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2:26" ht="12.75" customHeight="1">
      <c r="B628" s="13"/>
      <c r="C628" s="13"/>
      <c r="D628" s="13"/>
      <c r="E628" s="13"/>
      <c r="F628" s="60"/>
      <c r="G628" s="15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2:26" ht="12.75" customHeight="1">
      <c r="B629" s="13"/>
      <c r="C629" s="13"/>
      <c r="D629" s="13"/>
      <c r="E629" s="13"/>
      <c r="F629" s="60"/>
      <c r="G629" s="15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2:26" ht="12.75" customHeight="1">
      <c r="B630" s="13"/>
      <c r="C630" s="13"/>
      <c r="D630" s="13"/>
      <c r="E630" s="13"/>
      <c r="F630" s="60"/>
      <c r="G630" s="15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2:26" ht="12.75" customHeight="1">
      <c r="B631" s="13"/>
      <c r="C631" s="13"/>
      <c r="D631" s="13"/>
      <c r="E631" s="13"/>
      <c r="F631" s="60"/>
      <c r="G631" s="15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2:26" ht="12.75" customHeight="1">
      <c r="B632" s="13"/>
      <c r="C632" s="13"/>
      <c r="D632" s="13"/>
      <c r="E632" s="13"/>
      <c r="F632" s="60"/>
      <c r="G632" s="15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2:26" ht="12.75" customHeight="1">
      <c r="B633" s="13"/>
      <c r="C633" s="13"/>
      <c r="D633" s="13"/>
      <c r="E633" s="13"/>
      <c r="F633" s="60"/>
      <c r="G633" s="15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2:26" ht="12.75" customHeight="1">
      <c r="B634" s="13"/>
      <c r="C634" s="13"/>
      <c r="D634" s="13"/>
      <c r="E634" s="13"/>
      <c r="F634" s="60"/>
      <c r="G634" s="15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2:26" ht="12.75" customHeight="1">
      <c r="B635" s="13"/>
      <c r="C635" s="13"/>
      <c r="D635" s="13"/>
      <c r="E635" s="13"/>
      <c r="F635" s="60"/>
      <c r="G635" s="15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2:26" ht="12.75" customHeight="1">
      <c r="B636" s="13"/>
      <c r="C636" s="13"/>
      <c r="D636" s="13"/>
      <c r="E636" s="13"/>
      <c r="F636" s="60"/>
      <c r="G636" s="15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2:26" ht="12.75" customHeight="1">
      <c r="B637" s="13"/>
      <c r="C637" s="13"/>
      <c r="D637" s="13"/>
      <c r="E637" s="13"/>
      <c r="F637" s="60"/>
      <c r="G637" s="15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2:26" ht="12.75" customHeight="1">
      <c r="B638" s="13"/>
      <c r="C638" s="13"/>
      <c r="D638" s="13"/>
      <c r="E638" s="13"/>
      <c r="F638" s="60"/>
      <c r="G638" s="15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2:26" ht="12.75" customHeight="1">
      <c r="B639" s="13"/>
      <c r="C639" s="13"/>
      <c r="D639" s="13"/>
      <c r="E639" s="13"/>
      <c r="F639" s="60"/>
      <c r="G639" s="15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2:26" ht="12.75" customHeight="1">
      <c r="B640" s="13"/>
      <c r="C640" s="13"/>
      <c r="D640" s="13"/>
      <c r="E640" s="13"/>
      <c r="F640" s="60"/>
      <c r="G640" s="15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2:26" ht="12.75" customHeight="1">
      <c r="B641" s="13"/>
      <c r="C641" s="13"/>
      <c r="D641" s="13"/>
      <c r="E641" s="13"/>
      <c r="F641" s="60"/>
      <c r="G641" s="15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2:26" ht="12.75" customHeight="1">
      <c r="B642" s="13"/>
      <c r="C642" s="13"/>
      <c r="D642" s="13"/>
      <c r="E642" s="13"/>
      <c r="F642" s="60"/>
      <c r="G642" s="15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2:26" ht="12.75" customHeight="1">
      <c r="B643" s="13"/>
      <c r="C643" s="13"/>
      <c r="D643" s="13"/>
      <c r="E643" s="13"/>
      <c r="F643" s="60"/>
      <c r="G643" s="15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2:26" ht="12.75" customHeight="1">
      <c r="B644" s="13"/>
      <c r="C644" s="13"/>
      <c r="D644" s="13"/>
      <c r="E644" s="13"/>
      <c r="F644" s="60"/>
      <c r="G644" s="15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2:26" ht="12.75" customHeight="1">
      <c r="B645" s="13"/>
      <c r="C645" s="13"/>
      <c r="D645" s="13"/>
      <c r="E645" s="13"/>
      <c r="F645" s="60"/>
      <c r="G645" s="15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2:26" ht="12.75" customHeight="1">
      <c r="B646" s="13"/>
      <c r="C646" s="13"/>
      <c r="D646" s="13"/>
      <c r="E646" s="13"/>
      <c r="F646" s="60"/>
      <c r="G646" s="15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2:26" ht="12.75" customHeight="1">
      <c r="B647" s="13"/>
      <c r="C647" s="13"/>
      <c r="D647" s="13"/>
      <c r="E647" s="13"/>
      <c r="F647" s="60"/>
      <c r="G647" s="15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2:26" ht="12.75" customHeight="1">
      <c r="B648" s="13"/>
      <c r="C648" s="13"/>
      <c r="D648" s="13"/>
      <c r="E648" s="13"/>
      <c r="F648" s="60"/>
      <c r="G648" s="15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2:26" ht="12.75" customHeight="1">
      <c r="B649" s="13"/>
      <c r="C649" s="13"/>
      <c r="D649" s="13"/>
      <c r="E649" s="13"/>
      <c r="F649" s="60"/>
      <c r="G649" s="15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2:26" ht="12.75" customHeight="1">
      <c r="B650" s="13"/>
      <c r="C650" s="13"/>
      <c r="D650" s="13"/>
      <c r="E650" s="13"/>
      <c r="F650" s="60"/>
      <c r="G650" s="15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2:26" ht="12.75" customHeight="1">
      <c r="B651" s="13"/>
      <c r="C651" s="13"/>
      <c r="D651" s="13"/>
      <c r="E651" s="13"/>
      <c r="F651" s="60"/>
      <c r="G651" s="15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2:26" ht="12.75" customHeight="1">
      <c r="B652" s="13"/>
      <c r="C652" s="13"/>
      <c r="D652" s="13"/>
      <c r="E652" s="13"/>
      <c r="F652" s="60"/>
      <c r="G652" s="15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2:26" ht="12.75" customHeight="1">
      <c r="B653" s="13"/>
      <c r="C653" s="13"/>
      <c r="D653" s="13"/>
      <c r="E653" s="13"/>
      <c r="F653" s="60"/>
      <c r="G653" s="15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2:26" ht="12.75" customHeight="1">
      <c r="B654" s="13"/>
      <c r="C654" s="13"/>
      <c r="D654" s="13"/>
      <c r="E654" s="13"/>
      <c r="F654" s="60"/>
      <c r="G654" s="15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2:26" ht="12.75" customHeight="1">
      <c r="B655" s="13"/>
      <c r="C655" s="13"/>
      <c r="D655" s="13"/>
      <c r="E655" s="13"/>
      <c r="F655" s="60"/>
      <c r="G655" s="15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2:26" ht="12.75" customHeight="1">
      <c r="B656" s="13"/>
      <c r="C656" s="13"/>
      <c r="D656" s="13"/>
      <c r="E656" s="13"/>
      <c r="F656" s="60"/>
      <c r="G656" s="15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2:26" ht="12.75" customHeight="1">
      <c r="B657" s="13"/>
      <c r="C657" s="13"/>
      <c r="D657" s="13"/>
      <c r="E657" s="13"/>
      <c r="F657" s="60"/>
      <c r="G657" s="15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2:26" ht="12.75" customHeight="1">
      <c r="B658" s="13"/>
      <c r="C658" s="13"/>
      <c r="D658" s="13"/>
      <c r="E658" s="13"/>
      <c r="F658" s="60"/>
      <c r="G658" s="15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2:26" ht="12.75" customHeight="1">
      <c r="B659" s="13"/>
      <c r="C659" s="13"/>
      <c r="D659" s="13"/>
      <c r="E659" s="13"/>
      <c r="F659" s="60"/>
      <c r="G659" s="15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2:26" ht="12.75" customHeight="1">
      <c r="B660" s="13"/>
      <c r="C660" s="13"/>
      <c r="D660" s="13"/>
      <c r="E660" s="13"/>
      <c r="F660" s="60"/>
      <c r="G660" s="15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2:26" ht="12.75" customHeight="1">
      <c r="B661" s="13"/>
      <c r="C661" s="13"/>
      <c r="D661" s="13"/>
      <c r="E661" s="13"/>
      <c r="F661" s="60"/>
      <c r="G661" s="15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2:26" ht="12.75" customHeight="1">
      <c r="B662" s="13"/>
      <c r="C662" s="13"/>
      <c r="D662" s="13"/>
      <c r="E662" s="13"/>
      <c r="F662" s="60"/>
      <c r="G662" s="15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2:26" ht="12.75" customHeight="1">
      <c r="B663" s="13"/>
      <c r="C663" s="13"/>
      <c r="D663" s="13"/>
      <c r="E663" s="13"/>
      <c r="F663" s="60"/>
      <c r="G663" s="15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2:26" ht="12.75" customHeight="1">
      <c r="B664" s="13"/>
      <c r="C664" s="13"/>
      <c r="D664" s="13"/>
      <c r="E664" s="13"/>
      <c r="F664" s="60"/>
      <c r="G664" s="15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2:26" ht="12.75" customHeight="1">
      <c r="B665" s="13"/>
      <c r="C665" s="13"/>
      <c r="D665" s="13"/>
      <c r="E665" s="13"/>
      <c r="F665" s="60"/>
      <c r="G665" s="15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2:26" ht="12.75" customHeight="1">
      <c r="B666" s="13"/>
      <c r="C666" s="13"/>
      <c r="D666" s="13"/>
      <c r="E666" s="13"/>
      <c r="F666" s="60"/>
      <c r="G666" s="15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2:26" ht="12.75" customHeight="1">
      <c r="B667" s="13"/>
      <c r="C667" s="13"/>
      <c r="D667" s="13"/>
      <c r="E667" s="13"/>
      <c r="F667" s="60"/>
      <c r="G667" s="15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2:26" ht="12.75" customHeight="1">
      <c r="B668" s="13"/>
      <c r="C668" s="13"/>
      <c r="D668" s="13"/>
      <c r="E668" s="13"/>
      <c r="F668" s="60"/>
      <c r="G668" s="15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2:26" ht="12.75" customHeight="1">
      <c r="B669" s="13"/>
      <c r="C669" s="13"/>
      <c r="D669" s="13"/>
      <c r="E669" s="13"/>
      <c r="F669" s="60"/>
      <c r="G669" s="15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2:26" ht="12.75" customHeight="1">
      <c r="B670" s="13"/>
      <c r="C670" s="13"/>
      <c r="D670" s="13"/>
      <c r="E670" s="13"/>
      <c r="F670" s="60"/>
      <c r="G670" s="15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2:26" ht="12.75" customHeight="1">
      <c r="B671" s="13"/>
      <c r="C671" s="13"/>
      <c r="D671" s="13"/>
      <c r="E671" s="13"/>
      <c r="F671" s="60"/>
      <c r="G671" s="15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2:26" ht="12.75" customHeight="1">
      <c r="B672" s="13"/>
      <c r="C672" s="13"/>
      <c r="D672" s="13"/>
      <c r="E672" s="13"/>
      <c r="F672" s="60"/>
      <c r="G672" s="15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2:26" ht="12.75" customHeight="1">
      <c r="B673" s="13"/>
      <c r="C673" s="13"/>
      <c r="D673" s="13"/>
      <c r="E673" s="13"/>
      <c r="F673" s="60"/>
      <c r="G673" s="15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2:26" ht="12.75" customHeight="1">
      <c r="B674" s="13"/>
      <c r="C674" s="13"/>
      <c r="D674" s="13"/>
      <c r="E674" s="13"/>
      <c r="F674" s="60"/>
      <c r="G674" s="15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2:26" ht="12.75" customHeight="1">
      <c r="B675" s="13"/>
      <c r="C675" s="13"/>
      <c r="D675" s="13"/>
      <c r="E675" s="13"/>
      <c r="F675" s="60"/>
      <c r="G675" s="15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2:26" ht="12.75" customHeight="1">
      <c r="B676" s="13"/>
      <c r="C676" s="13"/>
      <c r="D676" s="13"/>
      <c r="E676" s="13"/>
      <c r="F676" s="60"/>
      <c r="G676" s="15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2:26" ht="12.75" customHeight="1">
      <c r="B677" s="13"/>
      <c r="C677" s="13"/>
      <c r="D677" s="13"/>
      <c r="E677" s="13"/>
      <c r="F677" s="60"/>
      <c r="G677" s="15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2:26" ht="12.75" customHeight="1">
      <c r="B678" s="13"/>
      <c r="C678" s="13"/>
      <c r="D678" s="13"/>
      <c r="E678" s="13"/>
      <c r="F678" s="60"/>
      <c r="G678" s="15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2:26" ht="12.75" customHeight="1">
      <c r="B679" s="13"/>
      <c r="C679" s="13"/>
      <c r="D679" s="13"/>
      <c r="E679" s="13"/>
      <c r="F679" s="60"/>
      <c r="G679" s="15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2:26" ht="12.75" customHeight="1">
      <c r="B680" s="13"/>
      <c r="C680" s="13"/>
      <c r="D680" s="13"/>
      <c r="E680" s="13"/>
      <c r="F680" s="60"/>
      <c r="G680" s="15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2:26" ht="12.75" customHeight="1">
      <c r="B681" s="13"/>
      <c r="C681" s="13"/>
      <c r="D681" s="13"/>
      <c r="E681" s="13"/>
      <c r="F681" s="60"/>
      <c r="G681" s="15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2:26" ht="12.75" customHeight="1">
      <c r="B682" s="13"/>
      <c r="C682" s="13"/>
      <c r="D682" s="13"/>
      <c r="E682" s="13"/>
      <c r="F682" s="60"/>
      <c r="G682" s="15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2:26" ht="12.75" customHeight="1">
      <c r="B683" s="13"/>
      <c r="C683" s="13"/>
      <c r="D683" s="13"/>
      <c r="E683" s="13"/>
      <c r="F683" s="60"/>
      <c r="G683" s="15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2:26" ht="12.75" customHeight="1">
      <c r="B684" s="13"/>
      <c r="C684" s="13"/>
      <c r="D684" s="13"/>
      <c r="E684" s="13"/>
      <c r="F684" s="60"/>
      <c r="G684" s="15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2:26" ht="12.75" customHeight="1">
      <c r="B685" s="13"/>
      <c r="C685" s="13"/>
      <c r="D685" s="13"/>
      <c r="E685" s="13"/>
      <c r="F685" s="60"/>
      <c r="G685" s="15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2:26" ht="12.75" customHeight="1">
      <c r="B686" s="13"/>
      <c r="C686" s="13"/>
      <c r="D686" s="13"/>
      <c r="E686" s="13"/>
      <c r="F686" s="60"/>
      <c r="G686" s="15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2:26" ht="12.75" customHeight="1">
      <c r="B687" s="13"/>
      <c r="C687" s="13"/>
      <c r="D687" s="13"/>
      <c r="E687" s="13"/>
      <c r="F687" s="60"/>
      <c r="G687" s="15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2:26" ht="12.75" customHeight="1">
      <c r="B688" s="13"/>
      <c r="C688" s="13"/>
      <c r="D688" s="13"/>
      <c r="E688" s="13"/>
      <c r="F688" s="60"/>
      <c r="G688" s="15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2:26" ht="12.75" customHeight="1">
      <c r="B689" s="13"/>
      <c r="C689" s="13"/>
      <c r="D689" s="13"/>
      <c r="E689" s="13"/>
      <c r="F689" s="60"/>
      <c r="G689" s="15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2:26" ht="12.75" customHeight="1">
      <c r="B690" s="13"/>
      <c r="C690" s="13"/>
      <c r="D690" s="13"/>
      <c r="E690" s="13"/>
      <c r="F690" s="60"/>
      <c r="G690" s="15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2:26" ht="12.75" customHeight="1">
      <c r="B691" s="13"/>
      <c r="C691" s="13"/>
      <c r="D691" s="13"/>
      <c r="E691" s="13"/>
      <c r="F691" s="60"/>
      <c r="G691" s="15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2:26" ht="12.75" customHeight="1">
      <c r="B692" s="13"/>
      <c r="C692" s="13"/>
      <c r="D692" s="13"/>
      <c r="E692" s="13"/>
      <c r="F692" s="60"/>
      <c r="G692" s="15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2:26" ht="12.75" customHeight="1">
      <c r="B693" s="13"/>
      <c r="C693" s="13"/>
      <c r="D693" s="13"/>
      <c r="E693" s="13"/>
      <c r="F693" s="60"/>
      <c r="G693" s="15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2:26" ht="12.75" customHeight="1">
      <c r="B694" s="13"/>
      <c r="C694" s="13"/>
      <c r="D694" s="13"/>
      <c r="E694" s="13"/>
      <c r="F694" s="60"/>
      <c r="G694" s="15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2:26" ht="12.75" customHeight="1">
      <c r="B695" s="13"/>
      <c r="C695" s="13"/>
      <c r="D695" s="13"/>
      <c r="E695" s="13"/>
      <c r="F695" s="60"/>
      <c r="G695" s="15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2:26" ht="12.75" customHeight="1">
      <c r="B696" s="13"/>
      <c r="C696" s="13"/>
      <c r="D696" s="13"/>
      <c r="E696" s="13"/>
      <c r="F696" s="60"/>
      <c r="G696" s="15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2:26" ht="12.75" customHeight="1">
      <c r="B697" s="13"/>
      <c r="C697" s="13"/>
      <c r="D697" s="13"/>
      <c r="E697" s="13"/>
      <c r="F697" s="60"/>
      <c r="G697" s="15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2:26" ht="12.75" customHeight="1">
      <c r="B698" s="13"/>
      <c r="C698" s="13"/>
      <c r="D698" s="13"/>
      <c r="E698" s="13"/>
      <c r="F698" s="60"/>
      <c r="G698" s="15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2:26" ht="12.75" customHeight="1">
      <c r="B699" s="13"/>
      <c r="C699" s="13"/>
      <c r="D699" s="13"/>
      <c r="E699" s="13"/>
      <c r="F699" s="60"/>
      <c r="G699" s="15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2:26" ht="12.75" customHeight="1">
      <c r="B700" s="13"/>
      <c r="C700" s="13"/>
      <c r="D700" s="13"/>
      <c r="E700" s="13"/>
      <c r="F700" s="60"/>
      <c r="G700" s="15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2:26" ht="12.75" customHeight="1">
      <c r="B701" s="13"/>
      <c r="C701" s="13"/>
      <c r="D701" s="13"/>
      <c r="E701" s="13"/>
      <c r="F701" s="60"/>
      <c r="G701" s="15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2:26" ht="12.75" customHeight="1">
      <c r="B702" s="13"/>
      <c r="C702" s="13"/>
      <c r="D702" s="13"/>
      <c r="E702" s="13"/>
      <c r="F702" s="60"/>
      <c r="G702" s="15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2:26" ht="12.75" customHeight="1">
      <c r="B703" s="13"/>
      <c r="C703" s="13"/>
      <c r="D703" s="13"/>
      <c r="E703" s="13"/>
      <c r="F703" s="60"/>
      <c r="G703" s="15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2:26" ht="12.75" customHeight="1">
      <c r="B704" s="13"/>
      <c r="C704" s="13"/>
      <c r="D704" s="13"/>
      <c r="E704" s="13"/>
      <c r="F704" s="60"/>
      <c r="G704" s="15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2:26" ht="12.75" customHeight="1">
      <c r="B705" s="13"/>
      <c r="C705" s="13"/>
      <c r="D705" s="13"/>
      <c r="E705" s="13"/>
      <c r="F705" s="60"/>
      <c r="G705" s="15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2:26" ht="12.75" customHeight="1">
      <c r="B706" s="13"/>
      <c r="C706" s="13"/>
      <c r="D706" s="13"/>
      <c r="E706" s="13"/>
      <c r="F706" s="60"/>
      <c r="G706" s="15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2:26" ht="12.75" customHeight="1">
      <c r="B707" s="13"/>
      <c r="C707" s="13"/>
      <c r="D707" s="13"/>
      <c r="E707" s="13"/>
      <c r="F707" s="60"/>
      <c r="G707" s="15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2:26" ht="12.75" customHeight="1">
      <c r="B708" s="13"/>
      <c r="C708" s="13"/>
      <c r="D708" s="13"/>
      <c r="E708" s="13"/>
      <c r="F708" s="60"/>
      <c r="G708" s="15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2:26" ht="12.75" customHeight="1">
      <c r="B709" s="13"/>
      <c r="C709" s="13"/>
      <c r="D709" s="13"/>
      <c r="E709" s="13"/>
      <c r="F709" s="60"/>
      <c r="G709" s="15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2:26" ht="12.75" customHeight="1">
      <c r="B710" s="13"/>
      <c r="C710" s="13"/>
      <c r="D710" s="13"/>
      <c r="E710" s="13"/>
      <c r="F710" s="60"/>
      <c r="G710" s="15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2:26" ht="12.75" customHeight="1">
      <c r="B711" s="13"/>
      <c r="C711" s="13"/>
      <c r="D711" s="13"/>
      <c r="E711" s="13"/>
      <c r="F711" s="60"/>
      <c r="G711" s="15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2:26" ht="12.75" customHeight="1">
      <c r="B712" s="13"/>
      <c r="C712" s="13"/>
      <c r="D712" s="13"/>
      <c r="E712" s="13"/>
      <c r="F712" s="60"/>
      <c r="G712" s="15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2:26" ht="12.75" customHeight="1">
      <c r="B713" s="13"/>
      <c r="C713" s="13"/>
      <c r="D713" s="13"/>
      <c r="E713" s="13"/>
      <c r="F713" s="60"/>
      <c r="G713" s="15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2:26" ht="12.75" customHeight="1">
      <c r="B714" s="13"/>
      <c r="C714" s="13"/>
      <c r="D714" s="13"/>
      <c r="E714" s="13"/>
      <c r="F714" s="60"/>
      <c r="G714" s="15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2:26" ht="12.75" customHeight="1">
      <c r="B715" s="13"/>
      <c r="C715" s="13"/>
      <c r="D715" s="13"/>
      <c r="E715" s="13"/>
      <c r="F715" s="60"/>
      <c r="G715" s="15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2:26" ht="12.75" customHeight="1">
      <c r="B716" s="13"/>
      <c r="C716" s="13"/>
      <c r="D716" s="13"/>
      <c r="E716" s="13"/>
      <c r="F716" s="60"/>
      <c r="G716" s="15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2:26" ht="12.75" customHeight="1">
      <c r="B717" s="13"/>
      <c r="C717" s="13"/>
      <c r="D717" s="13"/>
      <c r="E717" s="13"/>
      <c r="F717" s="60"/>
      <c r="G717" s="15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2:26" ht="12.75" customHeight="1">
      <c r="B718" s="13"/>
      <c r="C718" s="13"/>
      <c r="D718" s="13"/>
      <c r="E718" s="13"/>
      <c r="F718" s="60"/>
      <c r="G718" s="15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2:26" ht="12.75" customHeight="1">
      <c r="B719" s="13"/>
      <c r="C719" s="13"/>
      <c r="D719" s="13"/>
      <c r="E719" s="13"/>
      <c r="F719" s="60"/>
      <c r="G719" s="15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2:26" ht="12.75" customHeight="1">
      <c r="B720" s="13"/>
      <c r="C720" s="13"/>
      <c r="D720" s="13"/>
      <c r="E720" s="13"/>
      <c r="F720" s="60"/>
      <c r="G720" s="15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2:26" ht="12.75" customHeight="1">
      <c r="B721" s="13"/>
      <c r="C721" s="13"/>
      <c r="D721" s="13"/>
      <c r="E721" s="13"/>
      <c r="F721" s="60"/>
      <c r="G721" s="15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2:26" ht="12.75" customHeight="1">
      <c r="B722" s="13"/>
      <c r="C722" s="13"/>
      <c r="D722" s="13"/>
      <c r="E722" s="13"/>
      <c r="F722" s="60"/>
      <c r="G722" s="15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2:26" ht="12.75" customHeight="1">
      <c r="B723" s="13"/>
      <c r="C723" s="13"/>
      <c r="D723" s="13"/>
      <c r="E723" s="13"/>
      <c r="F723" s="60"/>
      <c r="G723" s="15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2:26" ht="12.75" customHeight="1">
      <c r="B724" s="13"/>
      <c r="C724" s="13"/>
      <c r="D724" s="13"/>
      <c r="E724" s="13"/>
      <c r="F724" s="60"/>
      <c r="G724" s="15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2:26" ht="12.75" customHeight="1">
      <c r="B725" s="13"/>
      <c r="C725" s="13"/>
      <c r="D725" s="13"/>
      <c r="E725" s="13"/>
      <c r="F725" s="60"/>
      <c r="G725" s="15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2:26" ht="12.75" customHeight="1">
      <c r="B726" s="13"/>
      <c r="C726" s="13"/>
      <c r="D726" s="13"/>
      <c r="E726" s="13"/>
      <c r="F726" s="60"/>
      <c r="G726" s="15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2:26" ht="12.75" customHeight="1">
      <c r="B727" s="13"/>
      <c r="C727" s="13"/>
      <c r="D727" s="13"/>
      <c r="E727" s="13"/>
      <c r="F727" s="60"/>
      <c r="G727" s="15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2:26" ht="12.75" customHeight="1">
      <c r="B728" s="13"/>
      <c r="C728" s="13"/>
      <c r="D728" s="13"/>
      <c r="E728" s="13"/>
      <c r="F728" s="60"/>
      <c r="G728" s="15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2:26" ht="12.75" customHeight="1">
      <c r="B729" s="13"/>
      <c r="C729" s="13"/>
      <c r="D729" s="13"/>
      <c r="E729" s="13"/>
      <c r="F729" s="60"/>
      <c r="G729" s="15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2:26" ht="12.75" customHeight="1">
      <c r="B730" s="13"/>
      <c r="C730" s="13"/>
      <c r="D730" s="13"/>
      <c r="E730" s="13"/>
      <c r="F730" s="60"/>
      <c r="G730" s="15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2:26" ht="12.75" customHeight="1">
      <c r="B731" s="13"/>
      <c r="C731" s="13"/>
      <c r="D731" s="13"/>
      <c r="E731" s="13"/>
      <c r="F731" s="60"/>
      <c r="G731" s="15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2:26" ht="12.75" customHeight="1">
      <c r="B732" s="13"/>
      <c r="C732" s="13"/>
      <c r="D732" s="13"/>
      <c r="E732" s="13"/>
      <c r="F732" s="60"/>
      <c r="G732" s="15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2:26" ht="12.75" customHeight="1">
      <c r="B733" s="13"/>
      <c r="C733" s="13"/>
      <c r="D733" s="13"/>
      <c r="E733" s="13"/>
      <c r="F733" s="60"/>
      <c r="G733" s="15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2:26" ht="12.75" customHeight="1">
      <c r="B734" s="13"/>
      <c r="C734" s="13"/>
      <c r="D734" s="13"/>
      <c r="E734" s="13"/>
      <c r="F734" s="60"/>
      <c r="G734" s="15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2:26" ht="12.75" customHeight="1">
      <c r="B735" s="13"/>
      <c r="C735" s="13"/>
      <c r="D735" s="13"/>
      <c r="E735" s="13"/>
      <c r="F735" s="60"/>
      <c r="G735" s="15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2:26" ht="12.75" customHeight="1">
      <c r="B736" s="13"/>
      <c r="C736" s="13"/>
      <c r="D736" s="13"/>
      <c r="E736" s="13"/>
      <c r="F736" s="60"/>
      <c r="G736" s="15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2:26" ht="12.75" customHeight="1">
      <c r="B737" s="13"/>
      <c r="C737" s="13"/>
      <c r="D737" s="13"/>
      <c r="E737" s="13"/>
      <c r="F737" s="60"/>
      <c r="G737" s="15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2:26" ht="12.75" customHeight="1">
      <c r="B738" s="13"/>
      <c r="C738" s="13"/>
      <c r="D738" s="13"/>
      <c r="E738" s="13"/>
      <c r="F738" s="60"/>
      <c r="G738" s="15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2:26" ht="12.75" customHeight="1">
      <c r="B739" s="13"/>
      <c r="C739" s="13"/>
      <c r="D739" s="13"/>
      <c r="E739" s="13"/>
      <c r="F739" s="60"/>
      <c r="G739" s="15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2:26" ht="12.75" customHeight="1">
      <c r="B740" s="13"/>
      <c r="C740" s="13"/>
      <c r="D740" s="13"/>
      <c r="E740" s="13"/>
      <c r="F740" s="60"/>
      <c r="G740" s="15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2:26" ht="12.75" customHeight="1">
      <c r="B741" s="13"/>
      <c r="C741" s="13"/>
      <c r="D741" s="13"/>
      <c r="E741" s="13"/>
      <c r="F741" s="60"/>
      <c r="G741" s="15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2:26" ht="12.75" customHeight="1">
      <c r="B742" s="13"/>
      <c r="C742" s="13"/>
      <c r="D742" s="13"/>
      <c r="E742" s="13"/>
      <c r="F742" s="60"/>
      <c r="G742" s="15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2:26" ht="12.75" customHeight="1">
      <c r="B743" s="13"/>
      <c r="C743" s="13"/>
      <c r="D743" s="13"/>
      <c r="E743" s="13"/>
      <c r="F743" s="60"/>
      <c r="G743" s="15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2:26" ht="12.75" customHeight="1">
      <c r="B744" s="13"/>
      <c r="C744" s="13"/>
      <c r="D744" s="13"/>
      <c r="E744" s="13"/>
      <c r="F744" s="60"/>
      <c r="G744" s="15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2:26" ht="12.75" customHeight="1">
      <c r="B745" s="13"/>
      <c r="C745" s="13"/>
      <c r="D745" s="13"/>
      <c r="E745" s="13"/>
      <c r="F745" s="60"/>
      <c r="G745" s="15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2:26" ht="12.75" customHeight="1">
      <c r="B746" s="13"/>
      <c r="C746" s="13"/>
      <c r="D746" s="13"/>
      <c r="E746" s="13"/>
      <c r="F746" s="60"/>
      <c r="G746" s="15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2:26" ht="12.75" customHeight="1">
      <c r="B747" s="13"/>
      <c r="C747" s="13"/>
      <c r="D747" s="13"/>
      <c r="E747" s="13"/>
      <c r="F747" s="60"/>
      <c r="G747" s="15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2:26" ht="12.75" customHeight="1">
      <c r="B748" s="13"/>
      <c r="C748" s="13"/>
      <c r="D748" s="13"/>
      <c r="E748" s="13"/>
      <c r="F748" s="60"/>
      <c r="G748" s="15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2:26" ht="12.75" customHeight="1">
      <c r="B749" s="13"/>
      <c r="C749" s="13"/>
      <c r="D749" s="13"/>
      <c r="E749" s="13"/>
      <c r="F749" s="60"/>
      <c r="G749" s="15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2:26" ht="12.75" customHeight="1">
      <c r="B750" s="13"/>
      <c r="C750" s="13"/>
      <c r="D750" s="13"/>
      <c r="E750" s="13"/>
      <c r="F750" s="60"/>
      <c r="G750" s="15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2:26" ht="12.75" customHeight="1">
      <c r="B751" s="13"/>
      <c r="C751" s="13"/>
      <c r="D751" s="13"/>
      <c r="E751" s="13"/>
      <c r="F751" s="60"/>
      <c r="G751" s="15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2:26" ht="12.75" customHeight="1">
      <c r="B752" s="13"/>
      <c r="C752" s="13"/>
      <c r="D752" s="13"/>
      <c r="E752" s="13"/>
      <c r="F752" s="60"/>
      <c r="G752" s="15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2:26" ht="12.75" customHeight="1">
      <c r="B753" s="13"/>
      <c r="C753" s="13"/>
      <c r="D753" s="13"/>
      <c r="E753" s="13"/>
      <c r="F753" s="60"/>
      <c r="G753" s="15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2:26" ht="12.75" customHeight="1">
      <c r="B754" s="13"/>
      <c r="C754" s="13"/>
      <c r="D754" s="13"/>
      <c r="E754" s="13"/>
      <c r="F754" s="60"/>
      <c r="G754" s="15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2:26" ht="12.75" customHeight="1">
      <c r="B755" s="13"/>
      <c r="C755" s="13"/>
      <c r="D755" s="13"/>
      <c r="E755" s="13"/>
      <c r="F755" s="60"/>
      <c r="G755" s="15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2:26" ht="12.75" customHeight="1">
      <c r="B756" s="13"/>
      <c r="C756" s="13"/>
      <c r="D756" s="13"/>
      <c r="E756" s="13"/>
      <c r="F756" s="60"/>
      <c r="G756" s="15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2:26" ht="12.75" customHeight="1">
      <c r="B757" s="13"/>
      <c r="C757" s="13"/>
      <c r="D757" s="13"/>
      <c r="E757" s="13"/>
      <c r="F757" s="60"/>
      <c r="G757" s="15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2:26" ht="12.75" customHeight="1">
      <c r="B758" s="13"/>
      <c r="C758" s="13"/>
      <c r="D758" s="13"/>
      <c r="E758" s="13"/>
      <c r="F758" s="60"/>
      <c r="G758" s="15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2:26" ht="12.75" customHeight="1">
      <c r="B759" s="13"/>
      <c r="C759" s="13"/>
      <c r="D759" s="13"/>
      <c r="E759" s="13"/>
      <c r="F759" s="60"/>
      <c r="G759" s="15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2:26" ht="12.75" customHeight="1">
      <c r="B760" s="13"/>
      <c r="C760" s="13"/>
      <c r="D760" s="13"/>
      <c r="E760" s="13"/>
      <c r="F760" s="60"/>
      <c r="G760" s="15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2:26" ht="12.75" customHeight="1">
      <c r="B761" s="13"/>
      <c r="C761" s="13"/>
      <c r="D761" s="13"/>
      <c r="E761" s="13"/>
      <c r="F761" s="60"/>
      <c r="G761" s="15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2:26" ht="12.75" customHeight="1">
      <c r="B762" s="13"/>
      <c r="C762" s="13"/>
      <c r="D762" s="13"/>
      <c r="E762" s="13"/>
      <c r="F762" s="60"/>
      <c r="G762" s="15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2:26" ht="12.75" customHeight="1">
      <c r="B763" s="13"/>
      <c r="C763" s="13"/>
      <c r="D763" s="13"/>
      <c r="E763" s="13"/>
      <c r="F763" s="60"/>
      <c r="G763" s="15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2:26" ht="12.75" customHeight="1">
      <c r="B764" s="13"/>
      <c r="C764" s="13"/>
      <c r="D764" s="13"/>
      <c r="E764" s="13"/>
      <c r="F764" s="60"/>
      <c r="G764" s="15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2:26" ht="12.75" customHeight="1">
      <c r="B765" s="13"/>
      <c r="C765" s="13"/>
      <c r="D765" s="13"/>
      <c r="E765" s="13"/>
      <c r="F765" s="60"/>
      <c r="G765" s="15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2:26" ht="12.75" customHeight="1">
      <c r="B766" s="13"/>
      <c r="C766" s="13"/>
      <c r="D766" s="13"/>
      <c r="E766" s="13"/>
      <c r="F766" s="60"/>
      <c r="G766" s="15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2:26" ht="12.75" customHeight="1">
      <c r="B767" s="13"/>
      <c r="C767" s="13"/>
      <c r="D767" s="13"/>
      <c r="E767" s="13"/>
      <c r="F767" s="60"/>
      <c r="G767" s="15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2:26" ht="12.75" customHeight="1">
      <c r="B768" s="13"/>
      <c r="C768" s="13"/>
      <c r="D768" s="13"/>
      <c r="E768" s="13"/>
      <c r="F768" s="60"/>
      <c r="G768" s="15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2:26" ht="12.75" customHeight="1">
      <c r="B769" s="13"/>
      <c r="C769" s="13"/>
      <c r="D769" s="13"/>
      <c r="E769" s="13"/>
      <c r="F769" s="60"/>
      <c r="G769" s="15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2:26" ht="12.75" customHeight="1">
      <c r="B770" s="13"/>
      <c r="C770" s="13"/>
      <c r="D770" s="13"/>
      <c r="E770" s="13"/>
      <c r="F770" s="60"/>
      <c r="G770" s="15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2:26" ht="12.75" customHeight="1">
      <c r="B771" s="13"/>
      <c r="C771" s="13"/>
      <c r="D771" s="13"/>
      <c r="E771" s="13"/>
      <c r="F771" s="60"/>
      <c r="G771" s="15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2:26" ht="12.75" customHeight="1">
      <c r="B772" s="13"/>
      <c r="C772" s="13"/>
      <c r="D772" s="13"/>
      <c r="E772" s="13"/>
      <c r="F772" s="60"/>
      <c r="G772" s="15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2:26" ht="12.75" customHeight="1">
      <c r="B773" s="13"/>
      <c r="C773" s="13"/>
      <c r="D773" s="13"/>
      <c r="E773" s="13"/>
      <c r="F773" s="60"/>
      <c r="G773" s="15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2:26" ht="12.75" customHeight="1">
      <c r="B774" s="13"/>
      <c r="C774" s="13"/>
      <c r="D774" s="13"/>
      <c r="E774" s="13"/>
      <c r="F774" s="60"/>
      <c r="G774" s="15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2:26" ht="12.75" customHeight="1">
      <c r="B775" s="13"/>
      <c r="C775" s="13"/>
      <c r="D775" s="13"/>
      <c r="E775" s="13"/>
      <c r="F775" s="60"/>
      <c r="G775" s="15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2:26" ht="12.75" customHeight="1">
      <c r="B776" s="13"/>
      <c r="C776" s="13"/>
      <c r="D776" s="13"/>
      <c r="E776" s="13"/>
      <c r="F776" s="60"/>
      <c r="G776" s="15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2:26" ht="12.75" customHeight="1">
      <c r="B777" s="13"/>
      <c r="C777" s="13"/>
      <c r="D777" s="13"/>
      <c r="E777" s="13"/>
      <c r="F777" s="60"/>
      <c r="G777" s="15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2:26" ht="12.75" customHeight="1">
      <c r="B778" s="13"/>
      <c r="C778" s="13"/>
      <c r="D778" s="13"/>
      <c r="E778" s="13"/>
      <c r="F778" s="60"/>
      <c r="G778" s="15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2:26" ht="12.75" customHeight="1">
      <c r="B779" s="13"/>
      <c r="C779" s="13"/>
      <c r="D779" s="13"/>
      <c r="E779" s="13"/>
      <c r="F779" s="60"/>
      <c r="G779" s="15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2:26" ht="12.75" customHeight="1">
      <c r="B780" s="13"/>
      <c r="C780" s="13"/>
      <c r="D780" s="13"/>
      <c r="E780" s="13"/>
      <c r="F780" s="60"/>
      <c r="G780" s="15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2:26" ht="12.75" customHeight="1">
      <c r="B781" s="13"/>
      <c r="C781" s="13"/>
      <c r="D781" s="13"/>
      <c r="E781" s="13"/>
      <c r="F781" s="60"/>
      <c r="G781" s="15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2:26" ht="12.75" customHeight="1">
      <c r="B782" s="13"/>
      <c r="C782" s="13"/>
      <c r="D782" s="13"/>
      <c r="E782" s="13"/>
      <c r="F782" s="60"/>
      <c r="G782" s="15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2:26" ht="12.75" customHeight="1">
      <c r="B783" s="13"/>
      <c r="C783" s="13"/>
      <c r="D783" s="13"/>
      <c r="E783" s="13"/>
      <c r="F783" s="60"/>
      <c r="G783" s="15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2:26" ht="12.75" customHeight="1">
      <c r="B784" s="13"/>
      <c r="C784" s="13"/>
      <c r="D784" s="13"/>
      <c r="E784" s="13"/>
      <c r="F784" s="60"/>
      <c r="G784" s="15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2:26" ht="12.75" customHeight="1">
      <c r="B785" s="13"/>
      <c r="C785" s="13"/>
      <c r="D785" s="13"/>
      <c r="E785" s="13"/>
      <c r="F785" s="60"/>
      <c r="G785" s="15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2:26" ht="12.75" customHeight="1">
      <c r="B786" s="13"/>
      <c r="C786" s="13"/>
      <c r="D786" s="13"/>
      <c r="E786" s="13"/>
      <c r="F786" s="60"/>
      <c r="G786" s="15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2:26" ht="12.75" customHeight="1">
      <c r="B787" s="13"/>
      <c r="C787" s="13"/>
      <c r="D787" s="13"/>
      <c r="E787" s="13"/>
      <c r="F787" s="60"/>
      <c r="G787" s="15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2:26" ht="12.75" customHeight="1">
      <c r="B788" s="13"/>
      <c r="C788" s="13"/>
      <c r="D788" s="13"/>
      <c r="E788" s="13"/>
      <c r="F788" s="60"/>
      <c r="G788" s="15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2:26" ht="12.75" customHeight="1">
      <c r="B789" s="13"/>
      <c r="C789" s="13"/>
      <c r="D789" s="13"/>
      <c r="E789" s="13"/>
      <c r="F789" s="60"/>
      <c r="G789" s="15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2:26" ht="12.75" customHeight="1">
      <c r="B790" s="13"/>
      <c r="C790" s="13"/>
      <c r="D790" s="13"/>
      <c r="E790" s="13"/>
      <c r="F790" s="60"/>
      <c r="G790" s="15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2:26" ht="12.75" customHeight="1">
      <c r="B791" s="13"/>
      <c r="C791" s="13"/>
      <c r="D791" s="13"/>
      <c r="E791" s="13"/>
      <c r="F791" s="60"/>
      <c r="G791" s="15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2:26" ht="12.75" customHeight="1">
      <c r="B792" s="13"/>
      <c r="C792" s="13"/>
      <c r="D792" s="13"/>
      <c r="E792" s="13"/>
      <c r="F792" s="60"/>
      <c r="G792" s="15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2:26" ht="12.75" customHeight="1">
      <c r="B793" s="13"/>
      <c r="C793" s="13"/>
      <c r="D793" s="13"/>
      <c r="E793" s="13"/>
      <c r="F793" s="60"/>
      <c r="G793" s="15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2:26" ht="12.75" customHeight="1">
      <c r="B794" s="13"/>
      <c r="C794" s="13"/>
      <c r="D794" s="13"/>
      <c r="E794" s="13"/>
      <c r="F794" s="60"/>
      <c r="G794" s="15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2:26" ht="12.75" customHeight="1">
      <c r="B795" s="13"/>
      <c r="C795" s="13"/>
      <c r="D795" s="13"/>
      <c r="E795" s="13"/>
      <c r="F795" s="60"/>
      <c r="G795" s="15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2:26" ht="12.75" customHeight="1">
      <c r="B796" s="13"/>
      <c r="C796" s="13"/>
      <c r="D796" s="13"/>
      <c r="E796" s="13"/>
      <c r="F796" s="60"/>
      <c r="G796" s="15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2:26" ht="12.75" customHeight="1">
      <c r="B797" s="13"/>
      <c r="C797" s="13"/>
      <c r="D797" s="13"/>
      <c r="E797" s="13"/>
      <c r="F797" s="60"/>
      <c r="G797" s="15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2:26" ht="12.75" customHeight="1">
      <c r="B798" s="13"/>
      <c r="C798" s="13"/>
      <c r="D798" s="13"/>
      <c r="E798" s="13"/>
      <c r="F798" s="60"/>
      <c r="G798" s="15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2:26" ht="12.75" customHeight="1">
      <c r="B799" s="13"/>
      <c r="C799" s="13"/>
      <c r="D799" s="13"/>
      <c r="E799" s="13"/>
      <c r="F799" s="60"/>
      <c r="G799" s="15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2:26" ht="12.75" customHeight="1">
      <c r="B800" s="13"/>
      <c r="C800" s="13"/>
      <c r="D800" s="13"/>
      <c r="E800" s="13"/>
      <c r="F800" s="60"/>
      <c r="G800" s="15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2:26" ht="12.75" customHeight="1">
      <c r="B801" s="13"/>
      <c r="C801" s="13"/>
      <c r="D801" s="13"/>
      <c r="E801" s="13"/>
      <c r="F801" s="60"/>
      <c r="G801" s="15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2:26" ht="12.75" customHeight="1">
      <c r="B802" s="13"/>
      <c r="C802" s="13"/>
      <c r="D802" s="13"/>
      <c r="E802" s="13"/>
      <c r="F802" s="60"/>
      <c r="G802" s="15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2:26" ht="12.75" customHeight="1">
      <c r="B803" s="13"/>
      <c r="C803" s="13"/>
      <c r="D803" s="13"/>
      <c r="E803" s="13"/>
      <c r="F803" s="60"/>
      <c r="G803" s="15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2:26" ht="12.75" customHeight="1">
      <c r="B804" s="13"/>
      <c r="C804" s="13"/>
      <c r="D804" s="13"/>
      <c r="E804" s="13"/>
      <c r="F804" s="60"/>
      <c r="G804" s="15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2:26" ht="12.75" customHeight="1">
      <c r="B805" s="13"/>
      <c r="C805" s="13"/>
      <c r="D805" s="13"/>
      <c r="E805" s="13"/>
      <c r="F805" s="60"/>
      <c r="G805" s="15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2:26" ht="12.75" customHeight="1">
      <c r="B806" s="13"/>
      <c r="C806" s="13"/>
      <c r="D806" s="13"/>
      <c r="E806" s="13"/>
      <c r="F806" s="60"/>
      <c r="G806" s="15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2:26" ht="12.75" customHeight="1">
      <c r="B807" s="13"/>
      <c r="C807" s="13"/>
      <c r="D807" s="13"/>
      <c r="E807" s="13"/>
      <c r="F807" s="60"/>
      <c r="G807" s="15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2:26" ht="12.75" customHeight="1">
      <c r="B808" s="13"/>
      <c r="C808" s="13"/>
      <c r="D808" s="13"/>
      <c r="E808" s="13"/>
      <c r="F808" s="60"/>
      <c r="G808" s="15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2:26" ht="12.75" customHeight="1">
      <c r="B809" s="13"/>
      <c r="C809" s="13"/>
      <c r="D809" s="13"/>
      <c r="E809" s="13"/>
      <c r="F809" s="60"/>
      <c r="G809" s="15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2:26" ht="12.75" customHeight="1">
      <c r="B810" s="13"/>
      <c r="C810" s="13"/>
      <c r="D810" s="13"/>
      <c r="E810" s="13"/>
      <c r="F810" s="60"/>
      <c r="G810" s="15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2:26" ht="12.75" customHeight="1">
      <c r="B811" s="13"/>
      <c r="C811" s="13"/>
      <c r="D811" s="13"/>
      <c r="E811" s="13"/>
      <c r="F811" s="60"/>
      <c r="G811" s="15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2:26" ht="12.75" customHeight="1">
      <c r="B812" s="13"/>
      <c r="C812" s="13"/>
      <c r="D812" s="13"/>
      <c r="E812" s="13"/>
      <c r="F812" s="60"/>
      <c r="G812" s="15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2:26" ht="12.75" customHeight="1">
      <c r="B813" s="13"/>
      <c r="C813" s="13"/>
      <c r="D813" s="13"/>
      <c r="E813" s="13"/>
      <c r="F813" s="60"/>
      <c r="G813" s="15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2:26" ht="12.75" customHeight="1">
      <c r="B814" s="13"/>
      <c r="C814" s="13"/>
      <c r="D814" s="13"/>
      <c r="E814" s="13"/>
      <c r="F814" s="60"/>
      <c r="G814" s="15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2:26" ht="12.75" customHeight="1">
      <c r="B815" s="13"/>
      <c r="C815" s="13"/>
      <c r="D815" s="13"/>
      <c r="E815" s="13"/>
      <c r="F815" s="60"/>
      <c r="G815" s="15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2:26" ht="12.75" customHeight="1">
      <c r="B816" s="13"/>
      <c r="C816" s="13"/>
      <c r="D816" s="13"/>
      <c r="E816" s="13"/>
      <c r="F816" s="60"/>
      <c r="G816" s="15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2:26" ht="12.75" customHeight="1">
      <c r="B817" s="13"/>
      <c r="C817" s="13"/>
      <c r="D817" s="13"/>
      <c r="E817" s="13"/>
      <c r="F817" s="60"/>
      <c r="G817" s="15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2:26" ht="12.75" customHeight="1">
      <c r="B818" s="13"/>
      <c r="C818" s="13"/>
      <c r="D818" s="13"/>
      <c r="E818" s="13"/>
      <c r="F818" s="60"/>
      <c r="G818" s="15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2:26" ht="12.75" customHeight="1">
      <c r="B819" s="13"/>
      <c r="C819" s="13"/>
      <c r="D819" s="13"/>
      <c r="E819" s="13"/>
      <c r="F819" s="60"/>
      <c r="G819" s="15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2:26" ht="12.75" customHeight="1">
      <c r="B820" s="13"/>
      <c r="C820" s="13"/>
      <c r="D820" s="13"/>
      <c r="E820" s="13"/>
      <c r="F820" s="60"/>
      <c r="G820" s="15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2:26" ht="12.75" customHeight="1">
      <c r="B821" s="13"/>
      <c r="C821" s="13"/>
      <c r="D821" s="13"/>
      <c r="E821" s="13"/>
      <c r="F821" s="60"/>
      <c r="G821" s="15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2:26" ht="12.75" customHeight="1">
      <c r="B822" s="13"/>
      <c r="C822" s="13"/>
      <c r="D822" s="13"/>
      <c r="E822" s="13"/>
      <c r="F822" s="60"/>
      <c r="G822" s="15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2:26" ht="12.75" customHeight="1">
      <c r="B823" s="13"/>
      <c r="C823" s="13"/>
      <c r="D823" s="13"/>
      <c r="E823" s="13"/>
      <c r="F823" s="60"/>
      <c r="G823" s="15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2:26" ht="12.75" customHeight="1">
      <c r="B824" s="13"/>
      <c r="C824" s="13"/>
      <c r="D824" s="13"/>
      <c r="E824" s="13"/>
      <c r="F824" s="60"/>
      <c r="G824" s="15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2:26" ht="12.75" customHeight="1">
      <c r="B825" s="13"/>
      <c r="C825" s="13"/>
      <c r="D825" s="13"/>
      <c r="E825" s="13"/>
      <c r="F825" s="60"/>
      <c r="G825" s="15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2:26" ht="12.75" customHeight="1">
      <c r="B826" s="13"/>
      <c r="C826" s="13"/>
      <c r="D826" s="13"/>
      <c r="E826" s="13"/>
      <c r="F826" s="60"/>
      <c r="G826" s="15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2:26" ht="12.75" customHeight="1">
      <c r="B827" s="13"/>
      <c r="C827" s="13"/>
      <c r="D827" s="13"/>
      <c r="E827" s="13"/>
      <c r="F827" s="60"/>
      <c r="G827" s="15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2:26" ht="12.75" customHeight="1">
      <c r="B828" s="13"/>
      <c r="C828" s="13"/>
      <c r="D828" s="13"/>
      <c r="E828" s="13"/>
      <c r="F828" s="60"/>
      <c r="G828" s="15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2:26" ht="12.75" customHeight="1">
      <c r="B829" s="13"/>
      <c r="C829" s="13"/>
      <c r="D829" s="13"/>
      <c r="E829" s="13"/>
      <c r="F829" s="60"/>
      <c r="G829" s="15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2:26" ht="12.75" customHeight="1">
      <c r="B830" s="13"/>
      <c r="C830" s="13"/>
      <c r="D830" s="13"/>
      <c r="E830" s="13"/>
      <c r="F830" s="60"/>
      <c r="G830" s="15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2:26" ht="12.75" customHeight="1">
      <c r="B831" s="13"/>
      <c r="C831" s="13"/>
      <c r="D831" s="13"/>
      <c r="E831" s="13"/>
      <c r="F831" s="60"/>
      <c r="G831" s="15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2:26" ht="12.75" customHeight="1">
      <c r="B832" s="13"/>
      <c r="C832" s="13"/>
      <c r="D832" s="13"/>
      <c r="E832" s="13"/>
      <c r="F832" s="60"/>
      <c r="G832" s="15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2:26" ht="12.75" customHeight="1">
      <c r="B833" s="13"/>
      <c r="C833" s="13"/>
      <c r="D833" s="13"/>
      <c r="E833" s="13"/>
      <c r="F833" s="60"/>
      <c r="G833" s="15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2:26" ht="12.75" customHeight="1">
      <c r="B834" s="13"/>
      <c r="C834" s="13"/>
      <c r="D834" s="13"/>
      <c r="E834" s="13"/>
      <c r="F834" s="60"/>
      <c r="G834" s="15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2:26" ht="12.75" customHeight="1">
      <c r="B835" s="13"/>
      <c r="C835" s="13"/>
      <c r="D835" s="13"/>
      <c r="E835" s="13"/>
      <c r="F835" s="60"/>
      <c r="G835" s="15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2:26" ht="12.75" customHeight="1">
      <c r="B836" s="13"/>
      <c r="C836" s="13"/>
      <c r="D836" s="13"/>
      <c r="E836" s="13"/>
      <c r="F836" s="60"/>
      <c r="G836" s="15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2:26" ht="12.75" customHeight="1">
      <c r="B837" s="13"/>
      <c r="C837" s="13"/>
      <c r="D837" s="13"/>
      <c r="E837" s="13"/>
      <c r="F837" s="60"/>
      <c r="G837" s="15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2:26" ht="12.75" customHeight="1">
      <c r="B838" s="13"/>
      <c r="C838" s="13"/>
      <c r="D838" s="13"/>
      <c r="E838" s="13"/>
      <c r="F838" s="60"/>
      <c r="G838" s="15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2:26" ht="12.75" customHeight="1">
      <c r="B839" s="13"/>
      <c r="C839" s="13"/>
      <c r="D839" s="13"/>
      <c r="E839" s="13"/>
      <c r="F839" s="60"/>
      <c r="G839" s="15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2:26" ht="12.75" customHeight="1">
      <c r="B840" s="13"/>
      <c r="C840" s="13"/>
      <c r="D840" s="13"/>
      <c r="E840" s="13"/>
      <c r="F840" s="60"/>
      <c r="G840" s="15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2:26" ht="12.75" customHeight="1">
      <c r="B841" s="13"/>
      <c r="C841" s="13"/>
      <c r="D841" s="13"/>
      <c r="E841" s="13"/>
      <c r="F841" s="60"/>
      <c r="G841" s="15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2:26" ht="12.75" customHeight="1">
      <c r="B842" s="13"/>
      <c r="C842" s="13"/>
      <c r="D842" s="13"/>
      <c r="E842" s="13"/>
      <c r="F842" s="60"/>
      <c r="G842" s="15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2:26" ht="12.75" customHeight="1">
      <c r="B843" s="13"/>
      <c r="C843" s="13"/>
      <c r="D843" s="13"/>
      <c r="E843" s="13"/>
      <c r="F843" s="60"/>
      <c r="G843" s="15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2:26" ht="12.75" customHeight="1">
      <c r="B844" s="13"/>
      <c r="C844" s="13"/>
      <c r="D844" s="13"/>
      <c r="E844" s="13"/>
      <c r="F844" s="60"/>
      <c r="G844" s="15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2:26" ht="12.75" customHeight="1">
      <c r="B845" s="13"/>
      <c r="C845" s="13"/>
      <c r="D845" s="13"/>
      <c r="E845" s="13"/>
      <c r="F845" s="60"/>
      <c r="G845" s="15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2:26" ht="12.75" customHeight="1">
      <c r="B846" s="13"/>
      <c r="C846" s="13"/>
      <c r="D846" s="13"/>
      <c r="E846" s="13"/>
      <c r="F846" s="60"/>
      <c r="G846" s="15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2:26" ht="12.75" customHeight="1">
      <c r="B847" s="13"/>
      <c r="C847" s="13"/>
      <c r="D847" s="13"/>
      <c r="E847" s="13"/>
      <c r="F847" s="60"/>
      <c r="G847" s="15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2:26" ht="12.75" customHeight="1">
      <c r="B848" s="13"/>
      <c r="C848" s="13"/>
      <c r="D848" s="13"/>
      <c r="E848" s="13"/>
      <c r="F848" s="60"/>
      <c r="G848" s="15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2:26" ht="12.75" customHeight="1">
      <c r="B849" s="13"/>
      <c r="C849" s="13"/>
      <c r="D849" s="13"/>
      <c r="E849" s="13"/>
      <c r="F849" s="60"/>
      <c r="G849" s="15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2:26" ht="12.75" customHeight="1">
      <c r="B850" s="13"/>
      <c r="C850" s="13"/>
      <c r="D850" s="13"/>
      <c r="E850" s="13"/>
      <c r="F850" s="60"/>
      <c r="G850" s="15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2:26" ht="12.75" customHeight="1">
      <c r="B851" s="13"/>
      <c r="C851" s="13"/>
      <c r="D851" s="13"/>
      <c r="E851" s="13"/>
      <c r="F851" s="60"/>
      <c r="G851" s="15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2:26" ht="12.75" customHeight="1">
      <c r="B852" s="13"/>
      <c r="C852" s="13"/>
      <c r="D852" s="13"/>
      <c r="E852" s="13"/>
      <c r="F852" s="60"/>
      <c r="G852" s="15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2:26" ht="12.75" customHeight="1">
      <c r="B853" s="13"/>
      <c r="C853" s="13"/>
      <c r="D853" s="13"/>
      <c r="E853" s="13"/>
      <c r="F853" s="60"/>
      <c r="G853" s="15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2:26" ht="12.75" customHeight="1">
      <c r="B854" s="13"/>
      <c r="C854" s="13"/>
      <c r="D854" s="13"/>
      <c r="E854" s="13"/>
      <c r="F854" s="60"/>
      <c r="G854" s="15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2:26" ht="12.75" customHeight="1">
      <c r="B855" s="13"/>
      <c r="C855" s="13"/>
      <c r="D855" s="13"/>
      <c r="E855" s="13"/>
      <c r="F855" s="60"/>
      <c r="G855" s="15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2:26" ht="12.75" customHeight="1">
      <c r="B856" s="13"/>
      <c r="C856" s="13"/>
      <c r="D856" s="13"/>
      <c r="E856" s="13"/>
      <c r="F856" s="60"/>
      <c r="G856" s="15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2:26" ht="12.75" customHeight="1">
      <c r="B857" s="13"/>
      <c r="C857" s="13"/>
      <c r="D857" s="13"/>
      <c r="E857" s="13"/>
      <c r="F857" s="60"/>
      <c r="G857" s="15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2:26" ht="12.75" customHeight="1">
      <c r="B858" s="13"/>
      <c r="C858" s="13"/>
      <c r="D858" s="13"/>
      <c r="E858" s="13"/>
      <c r="F858" s="60"/>
      <c r="G858" s="15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2:26" ht="12.75" customHeight="1">
      <c r="B859" s="13"/>
      <c r="C859" s="13"/>
      <c r="D859" s="13"/>
      <c r="E859" s="13"/>
      <c r="F859" s="60"/>
      <c r="G859" s="15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2:26" ht="12.75" customHeight="1">
      <c r="B860" s="13"/>
      <c r="C860" s="13"/>
      <c r="D860" s="13"/>
      <c r="E860" s="13"/>
      <c r="F860" s="60"/>
      <c r="G860" s="15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2:26" ht="12.75" customHeight="1">
      <c r="B861" s="13"/>
      <c r="C861" s="13"/>
      <c r="D861" s="13"/>
      <c r="E861" s="13"/>
      <c r="F861" s="60"/>
      <c r="G861" s="15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2:26" ht="12.75" customHeight="1">
      <c r="B862" s="13"/>
      <c r="C862" s="13"/>
      <c r="D862" s="13"/>
      <c r="E862" s="13"/>
      <c r="F862" s="60"/>
      <c r="G862" s="15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2:26" ht="12.75" customHeight="1">
      <c r="B863" s="13"/>
      <c r="C863" s="13"/>
      <c r="D863" s="13"/>
      <c r="E863" s="13"/>
      <c r="F863" s="60"/>
      <c r="G863" s="15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2:26" ht="12.75" customHeight="1">
      <c r="B864" s="13"/>
      <c r="C864" s="13"/>
      <c r="D864" s="13"/>
      <c r="E864" s="13"/>
      <c r="F864" s="60"/>
      <c r="G864" s="15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2:26" ht="12.75" customHeight="1">
      <c r="B865" s="13"/>
      <c r="C865" s="13"/>
      <c r="D865" s="13"/>
      <c r="E865" s="13"/>
      <c r="F865" s="60"/>
      <c r="G865" s="15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2:26" ht="12.75" customHeight="1">
      <c r="B866" s="13"/>
      <c r="C866" s="13"/>
      <c r="D866" s="13"/>
      <c r="E866" s="13"/>
      <c r="F866" s="60"/>
      <c r="G866" s="15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2:26" ht="12.75" customHeight="1">
      <c r="B867" s="13"/>
      <c r="C867" s="13"/>
      <c r="D867" s="13"/>
      <c r="E867" s="13"/>
      <c r="F867" s="60"/>
      <c r="G867" s="15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2:26" ht="12.75" customHeight="1">
      <c r="B868" s="13"/>
      <c r="C868" s="13"/>
      <c r="D868" s="13"/>
      <c r="E868" s="13"/>
      <c r="F868" s="60"/>
      <c r="G868" s="15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2:26" ht="12.75" customHeight="1">
      <c r="B869" s="13"/>
      <c r="C869" s="13"/>
      <c r="D869" s="13"/>
      <c r="E869" s="13"/>
      <c r="F869" s="60"/>
      <c r="G869" s="15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2:26" ht="12.75" customHeight="1">
      <c r="B870" s="13"/>
      <c r="C870" s="13"/>
      <c r="D870" s="13"/>
      <c r="E870" s="13"/>
      <c r="F870" s="60"/>
      <c r="G870" s="15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2:26" ht="12.75" customHeight="1">
      <c r="B871" s="13"/>
      <c r="C871" s="13"/>
      <c r="D871" s="13"/>
      <c r="E871" s="13"/>
      <c r="F871" s="60"/>
      <c r="G871" s="15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2:26" ht="12.75" customHeight="1">
      <c r="B872" s="13"/>
      <c r="C872" s="13"/>
      <c r="D872" s="13"/>
      <c r="E872" s="13"/>
      <c r="F872" s="60"/>
      <c r="G872" s="15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2:26" ht="12.75" customHeight="1">
      <c r="B873" s="13"/>
      <c r="C873" s="13"/>
      <c r="D873" s="13"/>
      <c r="E873" s="13"/>
      <c r="F873" s="60"/>
      <c r="G873" s="15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2:26" ht="12.75" customHeight="1">
      <c r="B874" s="13"/>
      <c r="C874" s="13"/>
      <c r="D874" s="13"/>
      <c r="E874" s="13"/>
      <c r="F874" s="60"/>
      <c r="G874" s="15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2:26" ht="12.75" customHeight="1">
      <c r="B875" s="13"/>
      <c r="C875" s="13"/>
      <c r="D875" s="13"/>
      <c r="E875" s="13"/>
      <c r="F875" s="60"/>
      <c r="G875" s="15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2:26" ht="12.75" customHeight="1">
      <c r="B876" s="13"/>
      <c r="C876" s="13"/>
      <c r="D876" s="13"/>
      <c r="E876" s="13"/>
      <c r="F876" s="60"/>
      <c r="G876" s="15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2:26" ht="12.75" customHeight="1">
      <c r="B877" s="13"/>
      <c r="C877" s="13"/>
      <c r="D877" s="13"/>
      <c r="E877" s="13"/>
      <c r="F877" s="60"/>
      <c r="G877" s="15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2:26" ht="12.75" customHeight="1">
      <c r="B878" s="13"/>
      <c r="C878" s="13"/>
      <c r="D878" s="13"/>
      <c r="E878" s="13"/>
      <c r="F878" s="60"/>
      <c r="G878" s="15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2:26" ht="12.75" customHeight="1">
      <c r="B879" s="13"/>
      <c r="C879" s="13"/>
      <c r="D879" s="13"/>
      <c r="E879" s="13"/>
      <c r="F879" s="60"/>
      <c r="G879" s="15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2:26" ht="12.75" customHeight="1">
      <c r="B880" s="13"/>
      <c r="C880" s="13"/>
      <c r="D880" s="13"/>
      <c r="E880" s="13"/>
      <c r="F880" s="60"/>
      <c r="G880" s="15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2:26" ht="12.75" customHeight="1">
      <c r="B881" s="13"/>
      <c r="C881" s="13"/>
      <c r="D881" s="13"/>
      <c r="E881" s="13"/>
      <c r="F881" s="60"/>
      <c r="G881" s="15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2:26" ht="12.75" customHeight="1">
      <c r="B882" s="13"/>
      <c r="C882" s="13"/>
      <c r="D882" s="13"/>
      <c r="E882" s="13"/>
      <c r="F882" s="60"/>
      <c r="G882" s="15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2:26" ht="12.75" customHeight="1">
      <c r="B883" s="13"/>
      <c r="C883" s="13"/>
      <c r="D883" s="13"/>
      <c r="E883" s="13"/>
      <c r="F883" s="60"/>
      <c r="G883" s="15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2:26" ht="12.75" customHeight="1">
      <c r="B884" s="13"/>
      <c r="C884" s="13"/>
      <c r="D884" s="13"/>
      <c r="E884" s="13"/>
      <c r="F884" s="60"/>
      <c r="G884" s="15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2:26" ht="12.75" customHeight="1">
      <c r="B885" s="13"/>
      <c r="C885" s="13"/>
      <c r="D885" s="13"/>
      <c r="E885" s="13"/>
      <c r="F885" s="60"/>
      <c r="G885" s="15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2:26" ht="12.75" customHeight="1">
      <c r="B886" s="13"/>
      <c r="C886" s="13"/>
      <c r="D886" s="13"/>
      <c r="E886" s="13"/>
      <c r="F886" s="60"/>
      <c r="G886" s="15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2:26" ht="12.75" customHeight="1">
      <c r="B887" s="13"/>
      <c r="C887" s="13"/>
      <c r="D887" s="13"/>
      <c r="E887" s="13"/>
      <c r="F887" s="60"/>
      <c r="G887" s="15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2:26" ht="12.75" customHeight="1">
      <c r="B888" s="13"/>
      <c r="C888" s="13"/>
      <c r="D888" s="13"/>
      <c r="E888" s="13"/>
      <c r="F888" s="60"/>
      <c r="G888" s="15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2:26" ht="12.75" customHeight="1">
      <c r="B889" s="13"/>
      <c r="C889" s="13"/>
      <c r="D889" s="13"/>
      <c r="E889" s="13"/>
      <c r="F889" s="60"/>
      <c r="G889" s="15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2:26" ht="12.75" customHeight="1">
      <c r="B890" s="13"/>
      <c r="C890" s="13"/>
      <c r="D890" s="13"/>
      <c r="E890" s="13"/>
      <c r="F890" s="60"/>
      <c r="G890" s="15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2:26" ht="12.75" customHeight="1">
      <c r="B891" s="13"/>
      <c r="C891" s="13"/>
      <c r="D891" s="13"/>
      <c r="E891" s="13"/>
      <c r="F891" s="60"/>
      <c r="G891" s="15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2:26" ht="12.75" customHeight="1">
      <c r="B892" s="13"/>
      <c r="C892" s="13"/>
      <c r="D892" s="13"/>
      <c r="E892" s="13"/>
      <c r="F892" s="60"/>
      <c r="G892" s="15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2:26" ht="12.75" customHeight="1">
      <c r="B893" s="13"/>
      <c r="C893" s="13"/>
      <c r="D893" s="13"/>
      <c r="E893" s="13"/>
      <c r="F893" s="60"/>
      <c r="G893" s="15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2:26" ht="12.75" customHeight="1">
      <c r="B894" s="13"/>
      <c r="C894" s="13"/>
      <c r="D894" s="13"/>
      <c r="E894" s="13"/>
      <c r="F894" s="60"/>
      <c r="G894" s="15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2:26" ht="12.75" customHeight="1">
      <c r="B895" s="13"/>
      <c r="C895" s="13"/>
      <c r="D895" s="13"/>
      <c r="E895" s="13"/>
      <c r="F895" s="60"/>
      <c r="G895" s="15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2:26" ht="12.75" customHeight="1">
      <c r="B896" s="13"/>
      <c r="C896" s="13"/>
      <c r="D896" s="13"/>
      <c r="E896" s="13"/>
      <c r="F896" s="60"/>
      <c r="G896" s="15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2:26" ht="12.75" customHeight="1">
      <c r="B897" s="13"/>
      <c r="C897" s="13"/>
      <c r="D897" s="13"/>
      <c r="E897" s="13"/>
      <c r="F897" s="60"/>
      <c r="G897" s="15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2:26" ht="12.75" customHeight="1">
      <c r="B898" s="13"/>
      <c r="C898" s="13"/>
      <c r="D898" s="13"/>
      <c r="E898" s="13"/>
      <c r="F898" s="60"/>
      <c r="G898" s="15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2:26" ht="12.75" customHeight="1">
      <c r="B899" s="13"/>
      <c r="C899" s="13"/>
      <c r="D899" s="13"/>
      <c r="E899" s="13"/>
      <c r="F899" s="60"/>
      <c r="G899" s="15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2:26" ht="12.75" customHeight="1">
      <c r="B900" s="13"/>
      <c r="C900" s="13"/>
      <c r="D900" s="13"/>
      <c r="E900" s="13"/>
      <c r="F900" s="60"/>
      <c r="G900" s="15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2:26" ht="12.75" customHeight="1">
      <c r="B901" s="13"/>
      <c r="C901" s="13"/>
      <c r="D901" s="13"/>
      <c r="E901" s="13"/>
      <c r="F901" s="60"/>
      <c r="G901" s="15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2:26" ht="12.75" customHeight="1">
      <c r="B902" s="13"/>
      <c r="C902" s="13"/>
      <c r="D902" s="13"/>
      <c r="E902" s="13"/>
      <c r="F902" s="60"/>
      <c r="G902" s="15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2:26" ht="12.75" customHeight="1">
      <c r="B903" s="13"/>
      <c r="C903" s="13"/>
      <c r="D903" s="13"/>
      <c r="E903" s="13"/>
      <c r="F903" s="60"/>
      <c r="G903" s="15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2:26" ht="12.75" customHeight="1">
      <c r="B904" s="13"/>
      <c r="C904" s="13"/>
      <c r="D904" s="13"/>
      <c r="E904" s="13"/>
      <c r="F904" s="60"/>
      <c r="G904" s="15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2:26" ht="12.75" customHeight="1">
      <c r="B905" s="13"/>
      <c r="C905" s="13"/>
      <c r="D905" s="13"/>
      <c r="E905" s="13"/>
      <c r="F905" s="60"/>
      <c r="G905" s="15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2:26" ht="12.75" customHeight="1">
      <c r="B906" s="13"/>
      <c r="C906" s="13"/>
      <c r="D906" s="13"/>
      <c r="E906" s="13"/>
      <c r="F906" s="60"/>
      <c r="G906" s="15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2:26" ht="12.75" customHeight="1">
      <c r="B907" s="13"/>
      <c r="C907" s="13"/>
      <c r="D907" s="13"/>
      <c r="E907" s="13"/>
      <c r="F907" s="60"/>
      <c r="G907" s="15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2:26" ht="12.75" customHeight="1">
      <c r="B908" s="13"/>
      <c r="C908" s="13"/>
      <c r="D908" s="13"/>
      <c r="E908" s="13"/>
      <c r="F908" s="60"/>
      <c r="G908" s="15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2:26" ht="12.75" customHeight="1">
      <c r="B909" s="13"/>
      <c r="C909" s="13"/>
      <c r="D909" s="13"/>
      <c r="E909" s="13"/>
      <c r="F909" s="60"/>
      <c r="G909" s="15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2:26" ht="12.75" customHeight="1">
      <c r="B910" s="13"/>
      <c r="C910" s="13"/>
      <c r="D910" s="13"/>
      <c r="E910" s="13"/>
      <c r="F910" s="60"/>
      <c r="G910" s="15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2:26" ht="12.75" customHeight="1">
      <c r="B911" s="13"/>
      <c r="C911" s="13"/>
      <c r="D911" s="13"/>
      <c r="E911" s="13"/>
      <c r="F911" s="60"/>
      <c r="G911" s="15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2:26" ht="12.75" customHeight="1">
      <c r="B912" s="13"/>
      <c r="C912" s="13"/>
      <c r="D912" s="13"/>
      <c r="E912" s="13"/>
      <c r="F912" s="60"/>
      <c r="G912" s="15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2:26" ht="12.75" customHeight="1">
      <c r="B913" s="13"/>
      <c r="C913" s="13"/>
      <c r="D913" s="13"/>
      <c r="E913" s="13"/>
      <c r="F913" s="60"/>
      <c r="G913" s="15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2:26" ht="12.75" customHeight="1">
      <c r="B914" s="13"/>
      <c r="C914" s="13"/>
      <c r="D914" s="13"/>
      <c r="E914" s="13"/>
      <c r="F914" s="60"/>
      <c r="G914" s="15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2:26" ht="12.75" customHeight="1">
      <c r="B915" s="13"/>
      <c r="C915" s="13"/>
      <c r="D915" s="13"/>
      <c r="E915" s="13"/>
      <c r="F915" s="60"/>
      <c r="G915" s="15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2:26" ht="12.75" customHeight="1">
      <c r="B916" s="13"/>
      <c r="C916" s="13"/>
      <c r="D916" s="13"/>
      <c r="E916" s="13"/>
      <c r="F916" s="60"/>
      <c r="G916" s="15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2:26" ht="12.75" customHeight="1">
      <c r="B917" s="13"/>
      <c r="C917" s="13"/>
      <c r="D917" s="13"/>
      <c r="E917" s="13"/>
      <c r="F917" s="60"/>
      <c r="G917" s="15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2:26" ht="12.75" customHeight="1">
      <c r="B918" s="13"/>
      <c r="C918" s="13"/>
      <c r="D918" s="13"/>
      <c r="E918" s="13"/>
      <c r="F918" s="60"/>
      <c r="G918" s="15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2:26" ht="12.75" customHeight="1">
      <c r="B919" s="13"/>
      <c r="C919" s="13"/>
      <c r="D919" s="13"/>
      <c r="E919" s="13"/>
      <c r="F919" s="60"/>
      <c r="G919" s="15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2:26" ht="12.75" customHeight="1">
      <c r="B920" s="13"/>
      <c r="C920" s="13"/>
      <c r="D920" s="13"/>
      <c r="E920" s="13"/>
      <c r="F920" s="60"/>
      <c r="G920" s="15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2:26" ht="12.75" customHeight="1">
      <c r="B921" s="13"/>
      <c r="C921" s="13"/>
      <c r="D921" s="13"/>
      <c r="E921" s="13"/>
      <c r="F921" s="60"/>
      <c r="G921" s="15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2:26" ht="12.75" customHeight="1">
      <c r="B922" s="13"/>
      <c r="C922" s="13"/>
      <c r="D922" s="13"/>
      <c r="E922" s="13"/>
      <c r="F922" s="60"/>
      <c r="G922" s="15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2:26" ht="12.75" customHeight="1">
      <c r="B923" s="13"/>
      <c r="C923" s="13"/>
      <c r="D923" s="13"/>
      <c r="E923" s="13"/>
      <c r="F923" s="60"/>
      <c r="G923" s="15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2:26" ht="12.75" customHeight="1">
      <c r="B924" s="13"/>
      <c r="C924" s="13"/>
      <c r="D924" s="13"/>
      <c r="E924" s="13"/>
      <c r="F924" s="60"/>
      <c r="G924" s="15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2:26" ht="12.75" customHeight="1">
      <c r="B925" s="13"/>
      <c r="C925" s="13"/>
      <c r="D925" s="13"/>
      <c r="E925" s="13"/>
      <c r="F925" s="60"/>
      <c r="G925" s="15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2:26" ht="12.75" customHeight="1">
      <c r="B926" s="13"/>
      <c r="C926" s="13"/>
      <c r="D926" s="13"/>
      <c r="E926" s="13"/>
      <c r="F926" s="60"/>
      <c r="G926" s="15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2:26" ht="12.75" customHeight="1">
      <c r="B927" s="13"/>
      <c r="C927" s="13"/>
      <c r="D927" s="13"/>
      <c r="E927" s="13"/>
      <c r="F927" s="60"/>
      <c r="G927" s="15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2:26" ht="12.75" customHeight="1">
      <c r="B928" s="13"/>
      <c r="C928" s="13"/>
      <c r="D928" s="13"/>
      <c r="E928" s="13"/>
      <c r="F928" s="60"/>
      <c r="G928" s="15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2:26" ht="12.75" customHeight="1">
      <c r="B929" s="13"/>
      <c r="C929" s="13"/>
      <c r="D929" s="13"/>
      <c r="E929" s="13"/>
      <c r="F929" s="60"/>
      <c r="G929" s="15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2:26" ht="12.75" customHeight="1">
      <c r="B930" s="13"/>
      <c r="C930" s="13"/>
      <c r="D930" s="13"/>
      <c r="E930" s="13"/>
      <c r="F930" s="60"/>
      <c r="G930" s="15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2:26" ht="12.75" customHeight="1">
      <c r="B931" s="13"/>
      <c r="C931" s="13"/>
      <c r="D931" s="13"/>
      <c r="E931" s="13"/>
      <c r="F931" s="60"/>
      <c r="G931" s="15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2:26" ht="12.75" customHeight="1">
      <c r="B932" s="13"/>
      <c r="C932" s="13"/>
      <c r="D932" s="13"/>
      <c r="E932" s="13"/>
      <c r="F932" s="60"/>
      <c r="G932" s="15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2:26" ht="12.75" customHeight="1">
      <c r="B933" s="13"/>
      <c r="C933" s="13"/>
      <c r="D933" s="13"/>
      <c r="E933" s="13"/>
      <c r="F933" s="60"/>
      <c r="G933" s="15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2:26" ht="12.75" customHeight="1">
      <c r="B934" s="13"/>
      <c r="C934" s="13"/>
      <c r="D934" s="13"/>
      <c r="E934" s="13"/>
      <c r="F934" s="60"/>
      <c r="G934" s="15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2:26" ht="12.75" customHeight="1">
      <c r="B935" s="13"/>
      <c r="C935" s="13"/>
      <c r="D935" s="13"/>
      <c r="E935" s="13"/>
      <c r="F935" s="60"/>
      <c r="G935" s="15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2:26" ht="12.75" customHeight="1">
      <c r="B936" s="13"/>
      <c r="C936" s="13"/>
      <c r="D936" s="13"/>
      <c r="E936" s="13"/>
      <c r="F936" s="60"/>
      <c r="G936" s="15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2:26" ht="12.75" customHeight="1">
      <c r="B937" s="13"/>
      <c r="C937" s="13"/>
      <c r="D937" s="13"/>
      <c r="E937" s="13"/>
      <c r="F937" s="60"/>
      <c r="G937" s="15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2:26" ht="12.75" customHeight="1">
      <c r="B938" s="13"/>
      <c r="C938" s="13"/>
      <c r="D938" s="13"/>
      <c r="E938" s="13"/>
      <c r="F938" s="60"/>
      <c r="G938" s="15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2:26" ht="12.75" customHeight="1">
      <c r="B939" s="13"/>
      <c r="C939" s="13"/>
      <c r="D939" s="13"/>
      <c r="E939" s="13"/>
      <c r="F939" s="60"/>
      <c r="G939" s="15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2:26" ht="12.75" customHeight="1">
      <c r="B940" s="13"/>
      <c r="C940" s="13"/>
      <c r="D940" s="13"/>
      <c r="E940" s="13"/>
      <c r="F940" s="60"/>
      <c r="G940" s="15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2:26" ht="12.75" customHeight="1">
      <c r="B941" s="13"/>
      <c r="C941" s="13"/>
      <c r="D941" s="13"/>
      <c r="E941" s="13"/>
      <c r="F941" s="60"/>
      <c r="G941" s="15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2:26" ht="12.75" customHeight="1">
      <c r="B942" s="13"/>
      <c r="C942" s="13"/>
      <c r="D942" s="13"/>
      <c r="E942" s="13"/>
      <c r="F942" s="60"/>
      <c r="G942" s="15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2:26" ht="12.75" customHeight="1">
      <c r="B943" s="13"/>
      <c r="C943" s="13"/>
      <c r="D943" s="13"/>
      <c r="E943" s="13"/>
      <c r="F943" s="60"/>
      <c r="G943" s="15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2:26" ht="12.75" customHeight="1">
      <c r="B944" s="13"/>
      <c r="C944" s="13"/>
      <c r="D944" s="13"/>
      <c r="E944" s="13"/>
      <c r="F944" s="60"/>
      <c r="G944" s="15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2:26" ht="12.75" customHeight="1">
      <c r="B945" s="13"/>
      <c r="C945" s="13"/>
      <c r="D945" s="13"/>
      <c r="E945" s="13"/>
      <c r="F945" s="60"/>
      <c r="G945" s="15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2:26" ht="12.75" customHeight="1">
      <c r="B946" s="13"/>
      <c r="C946" s="13"/>
      <c r="D946" s="13"/>
      <c r="E946" s="13"/>
      <c r="F946" s="60"/>
      <c r="G946" s="15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2:26" ht="12.75" customHeight="1">
      <c r="B947" s="13"/>
      <c r="C947" s="13"/>
      <c r="D947" s="13"/>
      <c r="E947" s="13"/>
      <c r="F947" s="60"/>
      <c r="G947" s="15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2:26" ht="12.75" customHeight="1">
      <c r="B948" s="13"/>
      <c r="C948" s="13"/>
      <c r="D948" s="13"/>
      <c r="E948" s="13"/>
      <c r="F948" s="60"/>
      <c r="G948" s="15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2:26" ht="12.75" customHeight="1">
      <c r="B949" s="13"/>
      <c r="C949" s="13"/>
      <c r="D949" s="13"/>
      <c r="E949" s="13"/>
      <c r="F949" s="60"/>
      <c r="G949" s="15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2:26" ht="12.75" customHeight="1">
      <c r="B950" s="13"/>
      <c r="C950" s="13"/>
      <c r="D950" s="13"/>
      <c r="E950" s="13"/>
      <c r="F950" s="60"/>
      <c r="G950" s="15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2:26" ht="12.75" customHeight="1">
      <c r="B951" s="13"/>
      <c r="C951" s="13"/>
      <c r="D951" s="13"/>
      <c r="E951" s="13"/>
      <c r="F951" s="60"/>
      <c r="G951" s="15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2:26" ht="12.75" customHeight="1">
      <c r="B952" s="13"/>
      <c r="C952" s="13"/>
      <c r="D952" s="13"/>
      <c r="E952" s="13"/>
      <c r="F952" s="60"/>
      <c r="G952" s="15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2:26" ht="12.75" customHeight="1">
      <c r="B953" s="13"/>
      <c r="C953" s="13"/>
      <c r="D953" s="13"/>
      <c r="E953" s="13"/>
      <c r="F953" s="60"/>
      <c r="G953" s="15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2:26" ht="12.75" customHeight="1">
      <c r="B954" s="13"/>
      <c r="C954" s="13"/>
      <c r="D954" s="13"/>
      <c r="E954" s="13"/>
      <c r="F954" s="60"/>
      <c r="G954" s="15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2:26" ht="12.75" customHeight="1">
      <c r="B955" s="13"/>
      <c r="C955" s="13"/>
      <c r="D955" s="13"/>
      <c r="E955" s="13"/>
      <c r="F955" s="60"/>
      <c r="G955" s="15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2:26" ht="12.75" customHeight="1">
      <c r="B956" s="13"/>
      <c r="C956" s="13"/>
      <c r="D956" s="13"/>
      <c r="E956" s="13"/>
      <c r="F956" s="60"/>
      <c r="G956" s="15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2:26" ht="12.75" customHeight="1">
      <c r="B957" s="13"/>
      <c r="C957" s="13"/>
      <c r="D957" s="13"/>
      <c r="E957" s="13"/>
      <c r="F957" s="60"/>
      <c r="G957" s="15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2:26" ht="12.75" customHeight="1">
      <c r="B958" s="13"/>
      <c r="C958" s="13"/>
      <c r="D958" s="13"/>
      <c r="E958" s="13"/>
      <c r="F958" s="60"/>
      <c r="G958" s="15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2:26" ht="12.75" customHeight="1">
      <c r="B959" s="13"/>
      <c r="C959" s="13"/>
      <c r="D959" s="13"/>
      <c r="E959" s="13"/>
      <c r="F959" s="60"/>
      <c r="G959" s="15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2:26" ht="12.75" customHeight="1">
      <c r="B960" s="13"/>
      <c r="C960" s="13"/>
      <c r="D960" s="13"/>
      <c r="E960" s="13"/>
      <c r="F960" s="60"/>
      <c r="G960" s="15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2:26" ht="12.75" customHeight="1">
      <c r="B961" s="13"/>
      <c r="C961" s="13"/>
      <c r="D961" s="13"/>
      <c r="E961" s="13"/>
      <c r="F961" s="60"/>
      <c r="G961" s="15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2:26" ht="12.75" customHeight="1">
      <c r="B962" s="13"/>
      <c r="C962" s="13"/>
      <c r="D962" s="13"/>
      <c r="E962" s="13"/>
      <c r="F962" s="60"/>
      <c r="G962" s="15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2:26" ht="12.75" customHeight="1">
      <c r="B963" s="13"/>
      <c r="C963" s="13"/>
      <c r="D963" s="13"/>
      <c r="E963" s="13"/>
      <c r="F963" s="60"/>
      <c r="G963" s="15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2:26" ht="12.75" customHeight="1">
      <c r="B964" s="13"/>
      <c r="C964" s="13"/>
      <c r="D964" s="13"/>
      <c r="E964" s="13"/>
      <c r="F964" s="60"/>
      <c r="G964" s="15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2:26" ht="12.75" customHeight="1">
      <c r="B965" s="13"/>
      <c r="C965" s="13"/>
      <c r="D965" s="13"/>
      <c r="E965" s="13"/>
      <c r="F965" s="60"/>
      <c r="G965" s="15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2:26" ht="12.75" customHeight="1">
      <c r="B966" s="13"/>
      <c r="C966" s="13"/>
      <c r="D966" s="13"/>
      <c r="E966" s="13"/>
      <c r="F966" s="60"/>
      <c r="G966" s="15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2:26" ht="12.75" customHeight="1">
      <c r="B967" s="13"/>
      <c r="C967" s="13"/>
      <c r="D967" s="13"/>
      <c r="E967" s="13"/>
      <c r="F967" s="60"/>
      <c r="G967" s="15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2:26" ht="12.75" customHeight="1">
      <c r="B968" s="13"/>
      <c r="C968" s="13"/>
      <c r="D968" s="13"/>
      <c r="E968" s="13"/>
      <c r="F968" s="60"/>
      <c r="G968" s="15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2:26" ht="12.75" customHeight="1">
      <c r="B969" s="13"/>
      <c r="C969" s="13"/>
      <c r="D969" s="13"/>
      <c r="E969" s="13"/>
      <c r="F969" s="60"/>
      <c r="G969" s="15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2:26" ht="12.75" customHeight="1">
      <c r="B970" s="13"/>
      <c r="C970" s="13"/>
      <c r="D970" s="13"/>
      <c r="E970" s="13"/>
      <c r="F970" s="60"/>
      <c r="G970" s="15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2:26" ht="12.75" customHeight="1">
      <c r="B971" s="13"/>
      <c r="C971" s="13"/>
      <c r="D971" s="13"/>
      <c r="E971" s="13"/>
      <c r="F971" s="60"/>
      <c r="G971" s="15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2:26" ht="12.75" customHeight="1">
      <c r="B972" s="13"/>
      <c r="C972" s="13"/>
      <c r="D972" s="13"/>
      <c r="E972" s="13"/>
      <c r="F972" s="60"/>
      <c r="G972" s="15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2:26" ht="12.75" customHeight="1">
      <c r="B973" s="13"/>
      <c r="C973" s="13"/>
      <c r="D973" s="13"/>
      <c r="E973" s="13"/>
      <c r="F973" s="60"/>
      <c r="G973" s="15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2:26" ht="12.75" customHeight="1">
      <c r="B974" s="13"/>
      <c r="C974" s="13"/>
      <c r="D974" s="13"/>
      <c r="E974" s="13"/>
      <c r="F974" s="60"/>
      <c r="G974" s="15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2:26" ht="12.75" customHeight="1">
      <c r="B975" s="13"/>
      <c r="C975" s="13"/>
      <c r="D975" s="13"/>
      <c r="E975" s="13"/>
      <c r="F975" s="60"/>
      <c r="G975" s="15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2:26" ht="12.75" customHeight="1">
      <c r="B976" s="13"/>
      <c r="C976" s="13"/>
      <c r="D976" s="13"/>
      <c r="E976" s="13"/>
      <c r="F976" s="60"/>
      <c r="G976" s="15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2:26" ht="12.75" customHeight="1">
      <c r="B977" s="13"/>
      <c r="C977" s="13"/>
      <c r="D977" s="13"/>
      <c r="E977" s="13"/>
      <c r="F977" s="60"/>
      <c r="G977" s="15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2:26" ht="12.75" customHeight="1">
      <c r="B978" s="13"/>
      <c r="C978" s="13"/>
      <c r="D978" s="13"/>
      <c r="E978" s="13"/>
      <c r="F978" s="60"/>
      <c r="G978" s="15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2:26" ht="12.75" customHeight="1">
      <c r="B979" s="13"/>
      <c r="C979" s="13"/>
      <c r="D979" s="13"/>
      <c r="E979" s="13"/>
      <c r="F979" s="60"/>
      <c r="G979" s="15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2:26" ht="12.75" customHeight="1">
      <c r="B980" s="13"/>
      <c r="C980" s="13"/>
      <c r="D980" s="13"/>
      <c r="E980" s="13"/>
      <c r="F980" s="60"/>
      <c r="G980" s="15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2:26" ht="12.75" customHeight="1">
      <c r="B981" s="13"/>
      <c r="C981" s="13"/>
      <c r="D981" s="13"/>
      <c r="E981" s="13"/>
      <c r="F981" s="60"/>
      <c r="G981" s="15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2:26" ht="12.75" customHeight="1">
      <c r="B982" s="13"/>
      <c r="C982" s="13"/>
      <c r="D982" s="13"/>
      <c r="E982" s="13"/>
      <c r="F982" s="60"/>
      <c r="G982" s="15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2:26" ht="12.75" customHeight="1">
      <c r="B983" s="13"/>
      <c r="C983" s="13"/>
      <c r="D983" s="13"/>
      <c r="E983" s="13"/>
      <c r="F983" s="60"/>
      <c r="G983" s="15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2:26" ht="12.75" customHeight="1">
      <c r="B984" s="13"/>
      <c r="C984" s="13"/>
      <c r="D984" s="13"/>
      <c r="E984" s="13"/>
      <c r="F984" s="60"/>
      <c r="G984" s="15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2:26" ht="12.75" customHeight="1">
      <c r="B985" s="13"/>
      <c r="C985" s="13"/>
      <c r="D985" s="13"/>
      <c r="E985" s="13"/>
      <c r="F985" s="60"/>
      <c r="G985" s="15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2:26" ht="12.75" customHeight="1">
      <c r="B986" s="13"/>
      <c r="C986" s="13"/>
      <c r="D986" s="13"/>
      <c r="E986" s="13"/>
      <c r="F986" s="60"/>
      <c r="G986" s="15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2:26" ht="12.75" customHeight="1">
      <c r="B987" s="13"/>
      <c r="C987" s="13"/>
      <c r="D987" s="13"/>
      <c r="E987" s="13"/>
      <c r="F987" s="60"/>
      <c r="G987" s="15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2:26" ht="12.75" customHeight="1">
      <c r="B988" s="13"/>
      <c r="C988" s="13"/>
      <c r="D988" s="13"/>
      <c r="E988" s="13"/>
      <c r="F988" s="60"/>
      <c r="G988" s="15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2:26" ht="12.75" customHeight="1">
      <c r="B989" s="13"/>
      <c r="C989" s="13"/>
      <c r="D989" s="13"/>
      <c r="E989" s="13"/>
      <c r="F989" s="60"/>
      <c r="G989" s="15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2:26" ht="12.75" customHeight="1">
      <c r="B990" s="13"/>
      <c r="C990" s="13"/>
      <c r="D990" s="13"/>
      <c r="E990" s="13"/>
      <c r="F990" s="60"/>
      <c r="G990" s="15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2:26" ht="12.75" customHeight="1">
      <c r="B991" s="13"/>
      <c r="C991" s="13"/>
      <c r="D991" s="13"/>
      <c r="E991" s="13"/>
      <c r="F991" s="60"/>
      <c r="G991" s="15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2:26" ht="12.75" customHeight="1">
      <c r="B992" s="13"/>
      <c r="C992" s="13"/>
      <c r="D992" s="13"/>
      <c r="E992" s="13"/>
      <c r="F992" s="60"/>
      <c r="G992" s="15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2:26" ht="12.75" customHeight="1">
      <c r="B993" s="13"/>
      <c r="C993" s="13"/>
      <c r="D993" s="13"/>
      <c r="E993" s="13"/>
      <c r="F993" s="60"/>
      <c r="G993" s="15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2:26" ht="12.75" customHeight="1">
      <c r="B994" s="13"/>
      <c r="C994" s="13"/>
      <c r="D994" s="13"/>
      <c r="E994" s="13"/>
      <c r="F994" s="60"/>
      <c r="G994" s="15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2:26" ht="12.75" customHeight="1">
      <c r="B995" s="13"/>
      <c r="C995" s="13"/>
      <c r="D995" s="13"/>
      <c r="E995" s="13"/>
      <c r="F995" s="60"/>
      <c r="G995" s="15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2:26" ht="12.75" customHeight="1">
      <c r="B996" s="13"/>
      <c r="C996" s="13"/>
      <c r="D996" s="13"/>
      <c r="E996" s="13"/>
      <c r="F996" s="60"/>
      <c r="G996" s="15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2:26" ht="12.75" customHeight="1">
      <c r="B997" s="13"/>
      <c r="C997" s="13"/>
      <c r="D997" s="13"/>
      <c r="E997" s="13"/>
      <c r="F997" s="60"/>
      <c r="G997" s="15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2:26" ht="12.75" customHeight="1">
      <c r="B998" s="13"/>
      <c r="C998" s="13"/>
      <c r="D998" s="13"/>
      <c r="E998" s="13"/>
      <c r="F998" s="60"/>
      <c r="G998" s="15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2:26" ht="12.75" customHeight="1">
      <c r="B999" s="13"/>
      <c r="C999" s="13"/>
      <c r="D999" s="13"/>
      <c r="E999" s="13"/>
      <c r="F999" s="60"/>
      <c r="G999" s="15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2:26" ht="12.75" customHeight="1">
      <c r="B1000" s="13"/>
      <c r="C1000" s="13"/>
      <c r="D1000" s="13"/>
      <c r="E1000" s="13"/>
      <c r="F1000" s="60"/>
      <c r="G1000" s="15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2:26" ht="12.75" customHeight="1">
      <c r="B1001" s="13"/>
      <c r="C1001" s="13"/>
      <c r="D1001" s="13"/>
      <c r="E1001" s="13"/>
      <c r="F1001" s="60"/>
      <c r="G1001" s="15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2:26" ht="12.75" customHeight="1">
      <c r="B1002" s="13"/>
      <c r="C1002" s="13"/>
      <c r="D1002" s="13"/>
      <c r="E1002" s="13"/>
      <c r="F1002" s="60"/>
      <c r="G1002" s="15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spans="2:26" ht="12.75" customHeight="1">
      <c r="B1003" s="13"/>
      <c r="C1003" s="13"/>
      <c r="D1003" s="13"/>
      <c r="E1003" s="13"/>
      <c r="F1003" s="60"/>
      <c r="G1003" s="15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spans="2:26" ht="12.75" customHeight="1">
      <c r="B1004" s="13"/>
      <c r="C1004" s="13"/>
      <c r="D1004" s="13"/>
      <c r="E1004" s="13"/>
      <c r="F1004" s="60"/>
      <c r="G1004" s="15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spans="2:26" ht="12.75" customHeight="1">
      <c r="B1005" s="13"/>
      <c r="C1005" s="13"/>
      <c r="D1005" s="13"/>
      <c r="E1005" s="13"/>
      <c r="F1005" s="60"/>
      <c r="G1005" s="15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spans="2:26" ht="12.75" customHeight="1">
      <c r="B1006" s="13"/>
      <c r="C1006" s="13"/>
      <c r="D1006" s="13"/>
      <c r="E1006" s="13"/>
      <c r="F1006" s="60"/>
      <c r="G1006" s="15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spans="2:26" ht="12.75" customHeight="1">
      <c r="B1007" s="13"/>
      <c r="C1007" s="13"/>
      <c r="D1007" s="13"/>
      <c r="E1007" s="13"/>
      <c r="F1007" s="60"/>
      <c r="G1007" s="15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spans="2:26" ht="12.75" customHeight="1">
      <c r="B1008" s="13"/>
      <c r="C1008" s="13"/>
      <c r="D1008" s="13"/>
      <c r="E1008" s="13"/>
      <c r="F1008" s="60"/>
      <c r="G1008" s="15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spans="2:26" ht="12.75" customHeight="1">
      <c r="B1009" s="13"/>
      <c r="C1009" s="13"/>
      <c r="D1009" s="13"/>
      <c r="E1009" s="13"/>
      <c r="F1009" s="60"/>
      <c r="G1009" s="15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spans="2:26" ht="12.75" customHeight="1">
      <c r="B1010" s="13"/>
      <c r="C1010" s="13"/>
      <c r="D1010" s="13"/>
      <c r="E1010" s="13"/>
      <c r="F1010" s="60"/>
      <c r="G1010" s="15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spans="2:26" ht="12.75" customHeight="1">
      <c r="B1011" s="13"/>
      <c r="C1011" s="13"/>
      <c r="D1011" s="13"/>
      <c r="E1011" s="13"/>
      <c r="F1011" s="60"/>
      <c r="G1011" s="15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spans="2:26" ht="12.75" customHeight="1">
      <c r="B1012" s="13"/>
      <c r="C1012" s="13"/>
      <c r="D1012" s="13"/>
      <c r="E1012" s="13"/>
      <c r="F1012" s="60"/>
      <c r="G1012" s="15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spans="2:26" ht="12.75" customHeight="1">
      <c r="B1013" s="13"/>
      <c r="C1013" s="13"/>
      <c r="D1013" s="13"/>
      <c r="E1013" s="13"/>
      <c r="F1013" s="60"/>
      <c r="G1013" s="15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spans="2:26" ht="12.75" customHeight="1">
      <c r="B1014" s="13"/>
      <c r="C1014" s="13"/>
      <c r="D1014" s="13"/>
      <c r="E1014" s="13"/>
      <c r="F1014" s="60"/>
      <c r="G1014" s="15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spans="2:26" ht="12.75" customHeight="1">
      <c r="B1015" s="13"/>
      <c r="C1015" s="13"/>
      <c r="D1015" s="13"/>
      <c r="E1015" s="13"/>
      <c r="F1015" s="60"/>
      <c r="G1015" s="15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spans="2:26" ht="12.75" customHeight="1">
      <c r="B1016" s="13"/>
      <c r="C1016" s="13"/>
      <c r="D1016" s="13"/>
      <c r="E1016" s="13"/>
      <c r="F1016" s="60"/>
      <c r="G1016" s="15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</sheetData>
  <mergeCells count="17">
    <mergeCell ref="B16:B18"/>
    <mergeCell ref="F1:G1"/>
    <mergeCell ref="B6:B10"/>
    <mergeCell ref="B11:B12"/>
    <mergeCell ref="C11:C12"/>
    <mergeCell ref="B14:B15"/>
    <mergeCell ref="B4:B5"/>
    <mergeCell ref="B20:B22"/>
    <mergeCell ref="G20:G47"/>
    <mergeCell ref="B23:B25"/>
    <mergeCell ref="B26:B29"/>
    <mergeCell ref="B30:B32"/>
    <mergeCell ref="B33:B35"/>
    <mergeCell ref="B36:B38"/>
    <mergeCell ref="B39:B41"/>
    <mergeCell ref="B42:B44"/>
    <mergeCell ref="B45:B47"/>
  </mergeCells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961"/>
  <sheetViews>
    <sheetView showGridLines="0" workbookViewId="0">
      <selection activeCell="K14" sqref="K14"/>
    </sheetView>
  </sheetViews>
  <sheetFormatPr baseColWidth="10" defaultColWidth="14.42578125" defaultRowHeight="15" customHeight="1"/>
  <cols>
    <col min="1" max="1" width="14.42578125" style="6"/>
    <col min="2" max="2" width="18.42578125" style="6" customWidth="1"/>
    <col min="3" max="3" width="48.140625" style="6" customWidth="1"/>
    <col min="4" max="5" width="14.42578125" style="6"/>
    <col min="6" max="6" width="20.85546875" style="6" customWidth="1"/>
    <col min="7" max="7" width="45" style="6" customWidth="1"/>
    <col min="8" max="12" width="8.5703125" style="6" customWidth="1"/>
    <col min="13" max="16384" width="14.42578125" style="6"/>
  </cols>
  <sheetData>
    <row r="1" spans="1:12" ht="15" customHeight="1">
      <c r="B1" s="149"/>
      <c r="C1" s="149"/>
      <c r="D1" s="229" t="s">
        <v>61</v>
      </c>
      <c r="E1" s="229"/>
      <c r="F1" s="229"/>
      <c r="G1" s="229"/>
      <c r="H1" s="149"/>
    </row>
    <row r="2" spans="1:12" ht="15" customHeight="1">
      <c r="B2" s="149"/>
      <c r="C2" s="149"/>
      <c r="D2" s="229" t="s">
        <v>62</v>
      </c>
      <c r="E2" s="229"/>
      <c r="F2" s="229"/>
      <c r="G2" s="229"/>
      <c r="H2" s="149"/>
    </row>
    <row r="3" spans="1:12" ht="15" customHeight="1">
      <c r="B3" s="149"/>
      <c r="C3" s="149"/>
      <c r="D3" s="229" t="s">
        <v>63</v>
      </c>
      <c r="E3" s="229"/>
      <c r="F3" s="229"/>
      <c r="G3" s="229"/>
      <c r="H3" s="149"/>
    </row>
    <row r="4" spans="1:12" ht="12.75">
      <c r="G4" s="71"/>
    </row>
    <row r="5" spans="1:12" ht="12.75">
      <c r="C5" s="151" t="s">
        <v>64</v>
      </c>
      <c r="D5" s="151">
        <v>2022</v>
      </c>
      <c r="E5" s="151">
        <v>2023</v>
      </c>
      <c r="F5" s="151">
        <v>2024</v>
      </c>
      <c r="G5" s="151">
        <v>2025</v>
      </c>
      <c r="H5" s="151">
        <v>2026</v>
      </c>
    </row>
    <row r="6" spans="1:12" ht="12.75">
      <c r="C6" s="65" t="s">
        <v>65</v>
      </c>
      <c r="D6" s="66" t="s">
        <v>66</v>
      </c>
      <c r="E6" s="66" t="s">
        <v>66</v>
      </c>
      <c r="F6" s="66" t="s">
        <v>66</v>
      </c>
      <c r="G6" s="66" t="s">
        <v>66</v>
      </c>
      <c r="H6" s="66" t="s">
        <v>66</v>
      </c>
    </row>
    <row r="7" spans="1:12" ht="12.75">
      <c r="C7" s="67" t="s">
        <v>67</v>
      </c>
      <c r="D7" s="68" t="s">
        <v>66</v>
      </c>
      <c r="E7" s="68" t="s">
        <v>66</v>
      </c>
      <c r="F7" s="68" t="s">
        <v>66</v>
      </c>
      <c r="G7" s="68" t="s">
        <v>66</v>
      </c>
      <c r="H7" s="68" t="s">
        <v>66</v>
      </c>
    </row>
    <row r="8" spans="1:12" ht="12.75">
      <c r="C8" s="72" t="s">
        <v>68</v>
      </c>
      <c r="D8" s="73"/>
      <c r="E8" s="73" t="s">
        <v>66</v>
      </c>
      <c r="F8" s="73" t="s">
        <v>66</v>
      </c>
      <c r="G8" s="73" t="s">
        <v>66</v>
      </c>
      <c r="H8" s="73" t="s">
        <v>66</v>
      </c>
    </row>
    <row r="9" spans="1:12" ht="12.75">
      <c r="C9" s="74" t="s">
        <v>69</v>
      </c>
      <c r="D9" s="75" t="s">
        <v>66</v>
      </c>
      <c r="E9" s="75" t="s">
        <v>66</v>
      </c>
      <c r="F9" s="75" t="s">
        <v>66</v>
      </c>
      <c r="G9" s="75" t="s">
        <v>66</v>
      </c>
      <c r="H9" s="75" t="s">
        <v>66</v>
      </c>
    </row>
    <row r="10" spans="1:12" ht="12.75">
      <c r="A10" s="10"/>
      <c r="C10" s="76" t="s">
        <v>70</v>
      </c>
      <c r="D10" s="77" t="s">
        <v>66</v>
      </c>
      <c r="E10" s="75" t="s">
        <v>66</v>
      </c>
      <c r="F10" s="75" t="s">
        <v>66</v>
      </c>
      <c r="G10" s="75" t="s">
        <v>66</v>
      </c>
      <c r="H10" s="75" t="s">
        <v>66</v>
      </c>
    </row>
    <row r="11" spans="1:12" ht="12.75">
      <c r="G11" s="71"/>
    </row>
    <row r="12" spans="1:12" s="71" customFormat="1" ht="63" customHeight="1">
      <c r="A12" s="152" t="s">
        <v>71</v>
      </c>
      <c r="B12" s="152" t="s">
        <v>72</v>
      </c>
      <c r="C12" s="152" t="s">
        <v>73</v>
      </c>
      <c r="D12" s="152" t="s">
        <v>74</v>
      </c>
      <c r="E12" s="152" t="s">
        <v>75</v>
      </c>
      <c r="F12" s="152" t="s">
        <v>76</v>
      </c>
      <c r="G12" s="153" t="s">
        <v>77</v>
      </c>
      <c r="H12" s="152">
        <v>2022</v>
      </c>
      <c r="I12" s="152">
        <v>2023</v>
      </c>
      <c r="J12" s="152">
        <v>2024</v>
      </c>
      <c r="K12" s="152">
        <v>2025</v>
      </c>
      <c r="L12" s="152">
        <v>2026</v>
      </c>
    </row>
    <row r="13" spans="1:12" ht="47.25" customHeight="1">
      <c r="A13" s="61">
        <v>2022</v>
      </c>
      <c r="B13" s="61" t="s">
        <v>78</v>
      </c>
      <c r="C13" s="61" t="s">
        <v>79</v>
      </c>
      <c r="D13" s="61" t="s">
        <v>80</v>
      </c>
      <c r="E13" s="61">
        <v>2022</v>
      </c>
      <c r="F13" s="61" t="s">
        <v>81</v>
      </c>
      <c r="G13" s="62" t="s">
        <v>82</v>
      </c>
      <c r="H13" s="75" t="s">
        <v>66</v>
      </c>
      <c r="I13" s="75"/>
      <c r="J13" s="75"/>
      <c r="K13" s="75"/>
      <c r="L13" s="75"/>
    </row>
    <row r="14" spans="1:12" ht="45" customHeight="1">
      <c r="A14" s="61">
        <v>2022</v>
      </c>
      <c r="B14" s="61" t="s">
        <v>83</v>
      </c>
      <c r="C14" s="61" t="s">
        <v>84</v>
      </c>
      <c r="D14" s="61" t="s">
        <v>80</v>
      </c>
      <c r="E14" s="61">
        <v>2022</v>
      </c>
      <c r="F14" s="61" t="s">
        <v>81</v>
      </c>
      <c r="G14" s="62" t="s">
        <v>85</v>
      </c>
      <c r="H14" s="75" t="s">
        <v>66</v>
      </c>
      <c r="I14" s="75"/>
      <c r="J14" s="75"/>
      <c r="K14" s="75"/>
      <c r="L14" s="75"/>
    </row>
    <row r="15" spans="1:12" ht="12.75">
      <c r="A15" s="61">
        <v>2022</v>
      </c>
      <c r="B15" s="61" t="s">
        <v>83</v>
      </c>
      <c r="C15" s="61" t="s">
        <v>86</v>
      </c>
      <c r="D15" s="69"/>
      <c r="E15" s="61">
        <v>2022</v>
      </c>
      <c r="F15" s="61" t="s">
        <v>81</v>
      </c>
      <c r="G15" s="62" t="s">
        <v>87</v>
      </c>
      <c r="H15" s="75" t="s">
        <v>66</v>
      </c>
      <c r="I15" s="75"/>
      <c r="J15" s="75"/>
      <c r="K15" s="75"/>
      <c r="L15" s="75"/>
    </row>
    <row r="16" spans="1:12" ht="15" customHeight="1">
      <c r="A16" s="61">
        <v>2022</v>
      </c>
      <c r="B16" s="61" t="s">
        <v>83</v>
      </c>
      <c r="C16" s="61" t="s">
        <v>88</v>
      </c>
      <c r="D16" s="61" t="s">
        <v>80</v>
      </c>
      <c r="E16" s="61">
        <v>2022</v>
      </c>
      <c r="F16" s="61" t="s">
        <v>81</v>
      </c>
      <c r="G16" s="62" t="s">
        <v>89</v>
      </c>
      <c r="H16" s="75" t="s">
        <v>66</v>
      </c>
      <c r="I16" s="75"/>
      <c r="J16" s="75"/>
      <c r="K16" s="75"/>
      <c r="L16" s="75"/>
    </row>
    <row r="17" spans="1:12" ht="29.25" customHeight="1">
      <c r="A17" s="61">
        <v>2022</v>
      </c>
      <c r="B17" s="61" t="s">
        <v>83</v>
      </c>
      <c r="C17" s="61" t="s">
        <v>69</v>
      </c>
      <c r="D17" s="61" t="s">
        <v>80</v>
      </c>
      <c r="E17" s="61">
        <v>2022</v>
      </c>
      <c r="F17" s="61" t="s">
        <v>81</v>
      </c>
      <c r="G17" s="62" t="s">
        <v>90</v>
      </c>
      <c r="H17" s="75" t="s">
        <v>66</v>
      </c>
      <c r="I17" s="75"/>
      <c r="J17" s="75"/>
      <c r="K17" s="75"/>
      <c r="L17" s="75"/>
    </row>
    <row r="18" spans="1:12" ht="25.5" customHeight="1">
      <c r="A18" s="61">
        <v>2022</v>
      </c>
      <c r="B18" s="61" t="s">
        <v>83</v>
      </c>
      <c r="C18" s="61" t="s">
        <v>91</v>
      </c>
      <c r="D18" s="69"/>
      <c r="E18" s="61">
        <v>2022</v>
      </c>
      <c r="F18" s="61" t="s">
        <v>81</v>
      </c>
      <c r="G18" s="62" t="s">
        <v>92</v>
      </c>
      <c r="H18" s="75" t="s">
        <v>66</v>
      </c>
      <c r="I18" s="75"/>
      <c r="J18" s="75"/>
      <c r="K18" s="75"/>
      <c r="L18" s="75"/>
    </row>
    <row r="19" spans="1:12" ht="15" customHeight="1">
      <c r="A19" s="61">
        <v>2022</v>
      </c>
      <c r="B19" s="61" t="s">
        <v>83</v>
      </c>
      <c r="C19" s="61" t="s">
        <v>93</v>
      </c>
      <c r="D19" s="69"/>
      <c r="E19" s="61">
        <v>2022</v>
      </c>
      <c r="F19" s="61" t="s">
        <v>94</v>
      </c>
      <c r="G19" s="70"/>
      <c r="H19" s="75" t="s">
        <v>66</v>
      </c>
      <c r="I19" s="75"/>
      <c r="J19" s="75"/>
      <c r="K19" s="75"/>
      <c r="L19" s="75"/>
    </row>
    <row r="20" spans="1:12" ht="32.25" customHeight="1">
      <c r="A20" s="61">
        <v>2022</v>
      </c>
      <c r="B20" s="61" t="s">
        <v>83</v>
      </c>
      <c r="C20" s="61" t="s">
        <v>95</v>
      </c>
      <c r="D20" s="61" t="s">
        <v>80</v>
      </c>
      <c r="E20" s="61">
        <v>2022</v>
      </c>
      <c r="F20" s="61" t="s">
        <v>94</v>
      </c>
      <c r="G20" s="62" t="s">
        <v>96</v>
      </c>
      <c r="H20" s="75" t="s">
        <v>66</v>
      </c>
      <c r="I20" s="75"/>
      <c r="J20" s="75"/>
      <c r="K20" s="75"/>
      <c r="L20" s="75"/>
    </row>
    <row r="21" spans="1:12" ht="45" customHeight="1">
      <c r="A21" s="61">
        <v>2023</v>
      </c>
      <c r="B21" s="61" t="s">
        <v>97</v>
      </c>
      <c r="C21" s="61" t="s">
        <v>98</v>
      </c>
      <c r="D21" s="61" t="s">
        <v>80</v>
      </c>
      <c r="E21" s="61">
        <v>2023</v>
      </c>
      <c r="F21" s="61" t="s">
        <v>99</v>
      </c>
      <c r="G21" s="62" t="s">
        <v>100</v>
      </c>
      <c r="H21" s="75"/>
      <c r="I21" s="75" t="s">
        <v>66</v>
      </c>
      <c r="J21" s="75"/>
      <c r="K21" s="75"/>
      <c r="L21" s="75"/>
    </row>
    <row r="22" spans="1:12" ht="48.75" customHeight="1">
      <c r="A22" s="61">
        <v>2023</v>
      </c>
      <c r="B22" s="61" t="s">
        <v>78</v>
      </c>
      <c r="C22" s="61" t="s">
        <v>79</v>
      </c>
      <c r="D22" s="69" t="s">
        <v>80</v>
      </c>
      <c r="E22" s="61">
        <v>2023</v>
      </c>
      <c r="F22" s="61" t="s">
        <v>81</v>
      </c>
      <c r="G22" s="62" t="s">
        <v>82</v>
      </c>
      <c r="H22" s="75"/>
      <c r="I22" s="75" t="s">
        <v>66</v>
      </c>
      <c r="J22" s="75"/>
      <c r="K22" s="75"/>
      <c r="L22" s="75"/>
    </row>
    <row r="23" spans="1:12" ht="48.75" customHeight="1">
      <c r="A23" s="61">
        <v>2023</v>
      </c>
      <c r="B23" s="61" t="s">
        <v>83</v>
      </c>
      <c r="C23" s="61" t="s">
        <v>84</v>
      </c>
      <c r="D23" s="69" t="s">
        <v>80</v>
      </c>
      <c r="E23" s="61">
        <v>2023</v>
      </c>
      <c r="F23" s="61" t="s">
        <v>81</v>
      </c>
      <c r="G23" s="62" t="s">
        <v>101</v>
      </c>
      <c r="H23" s="75"/>
      <c r="I23" s="75" t="s">
        <v>66</v>
      </c>
      <c r="J23" s="75"/>
      <c r="K23" s="75"/>
      <c r="L23" s="75"/>
    </row>
    <row r="24" spans="1:12" ht="15" customHeight="1">
      <c r="A24" s="61">
        <v>2023</v>
      </c>
      <c r="B24" s="61" t="s">
        <v>83</v>
      </c>
      <c r="C24" s="61" t="s">
        <v>88</v>
      </c>
      <c r="D24" s="69" t="s">
        <v>80</v>
      </c>
      <c r="E24" s="61">
        <v>2023</v>
      </c>
      <c r="F24" s="61" t="s">
        <v>81</v>
      </c>
      <c r="G24" s="62" t="s">
        <v>102</v>
      </c>
      <c r="H24" s="75"/>
      <c r="I24" s="75" t="s">
        <v>66</v>
      </c>
      <c r="J24" s="75"/>
      <c r="K24" s="75"/>
      <c r="L24" s="75"/>
    </row>
    <row r="25" spans="1:12" ht="15" customHeight="1">
      <c r="A25" s="61">
        <v>2023</v>
      </c>
      <c r="B25" s="61" t="s">
        <v>83</v>
      </c>
      <c r="C25" s="61" t="s">
        <v>69</v>
      </c>
      <c r="D25" s="69" t="s">
        <v>80</v>
      </c>
      <c r="E25" s="61">
        <v>2023</v>
      </c>
      <c r="F25" s="61" t="s">
        <v>81</v>
      </c>
      <c r="G25" s="62" t="s">
        <v>103</v>
      </c>
      <c r="H25" s="75"/>
      <c r="I25" s="75" t="s">
        <v>66</v>
      </c>
      <c r="J25" s="75"/>
      <c r="K25" s="75"/>
      <c r="L25" s="75"/>
    </row>
    <row r="26" spans="1:12" ht="15" customHeight="1">
      <c r="A26" s="61">
        <v>2023</v>
      </c>
      <c r="B26" s="61" t="s">
        <v>83</v>
      </c>
      <c r="C26" s="61" t="s">
        <v>91</v>
      </c>
      <c r="D26" s="69"/>
      <c r="E26" s="61">
        <v>2023</v>
      </c>
      <c r="F26" s="61" t="s">
        <v>81</v>
      </c>
      <c r="G26" s="62" t="s">
        <v>92</v>
      </c>
      <c r="H26" s="75"/>
      <c r="I26" s="75" t="s">
        <v>66</v>
      </c>
      <c r="J26" s="75"/>
      <c r="K26" s="75"/>
      <c r="L26" s="75"/>
    </row>
    <row r="27" spans="1:12" ht="15" customHeight="1">
      <c r="A27" s="61">
        <v>2023</v>
      </c>
      <c r="B27" s="61" t="s">
        <v>83</v>
      </c>
      <c r="C27" s="61" t="s">
        <v>104</v>
      </c>
      <c r="D27" s="69"/>
      <c r="E27" s="61">
        <v>2023</v>
      </c>
      <c r="F27" s="61" t="s">
        <v>94</v>
      </c>
      <c r="G27" s="70"/>
      <c r="H27" s="75"/>
      <c r="I27" s="75" t="s">
        <v>66</v>
      </c>
      <c r="J27" s="75"/>
      <c r="K27" s="75"/>
      <c r="L27" s="75"/>
    </row>
    <row r="28" spans="1:12" ht="12.75">
      <c r="A28" s="61">
        <v>2023</v>
      </c>
      <c r="B28" s="61" t="s">
        <v>83</v>
      </c>
      <c r="C28" s="61" t="s">
        <v>86</v>
      </c>
      <c r="D28" s="69"/>
      <c r="E28" s="61">
        <v>2023</v>
      </c>
      <c r="F28" s="61" t="s">
        <v>81</v>
      </c>
      <c r="G28" s="62" t="s">
        <v>87</v>
      </c>
      <c r="H28" s="75"/>
      <c r="I28" s="75" t="s">
        <v>66</v>
      </c>
      <c r="J28" s="75"/>
      <c r="K28" s="75"/>
      <c r="L28" s="75"/>
    </row>
    <row r="29" spans="1:12" ht="15" customHeight="1">
      <c r="A29" s="61">
        <v>2024</v>
      </c>
      <c r="B29" s="61" t="s">
        <v>97</v>
      </c>
      <c r="C29" s="61" t="s">
        <v>98</v>
      </c>
      <c r="D29" s="61" t="s">
        <v>80</v>
      </c>
      <c r="E29" s="61">
        <v>2024</v>
      </c>
      <c r="F29" s="61" t="s">
        <v>99</v>
      </c>
      <c r="G29" s="62" t="s">
        <v>100</v>
      </c>
      <c r="H29" s="75"/>
      <c r="I29" s="75"/>
      <c r="J29" s="75" t="s">
        <v>66</v>
      </c>
      <c r="K29" s="75"/>
      <c r="L29" s="75"/>
    </row>
    <row r="30" spans="1:12" ht="26.25" customHeight="1">
      <c r="A30" s="61">
        <v>2024</v>
      </c>
      <c r="B30" s="61" t="s">
        <v>83</v>
      </c>
      <c r="C30" s="61" t="s">
        <v>84</v>
      </c>
      <c r="D30" s="69" t="s">
        <v>80</v>
      </c>
      <c r="E30" s="61">
        <v>2024</v>
      </c>
      <c r="F30" s="61" t="s">
        <v>81</v>
      </c>
      <c r="G30" s="62" t="s">
        <v>101</v>
      </c>
      <c r="H30" s="75"/>
      <c r="I30" s="75"/>
      <c r="J30" s="75" t="s">
        <v>66</v>
      </c>
      <c r="K30" s="75"/>
      <c r="L30" s="75"/>
    </row>
    <row r="31" spans="1:12" ht="15" customHeight="1">
      <c r="A31" s="61">
        <v>2024</v>
      </c>
      <c r="B31" s="61" t="s">
        <v>83</v>
      </c>
      <c r="C31" s="61" t="s">
        <v>88</v>
      </c>
      <c r="D31" s="69" t="s">
        <v>80</v>
      </c>
      <c r="E31" s="61">
        <v>2024</v>
      </c>
      <c r="F31" s="61" t="s">
        <v>81</v>
      </c>
      <c r="G31" s="62" t="s">
        <v>102</v>
      </c>
      <c r="H31" s="75"/>
      <c r="I31" s="75"/>
      <c r="J31" s="75" t="s">
        <v>66</v>
      </c>
      <c r="K31" s="75"/>
      <c r="L31" s="75"/>
    </row>
    <row r="32" spans="1:12" ht="15" customHeight="1">
      <c r="A32" s="61">
        <v>2024</v>
      </c>
      <c r="B32" s="61" t="s">
        <v>83</v>
      </c>
      <c r="C32" s="61" t="s">
        <v>69</v>
      </c>
      <c r="D32" s="69" t="s">
        <v>80</v>
      </c>
      <c r="E32" s="61">
        <v>2024</v>
      </c>
      <c r="F32" s="61" t="s">
        <v>81</v>
      </c>
      <c r="G32" s="62" t="s">
        <v>103</v>
      </c>
      <c r="H32" s="75"/>
      <c r="I32" s="75"/>
      <c r="J32" s="75" t="s">
        <v>66</v>
      </c>
      <c r="K32" s="75"/>
      <c r="L32" s="75"/>
    </row>
    <row r="33" spans="1:12" ht="15" customHeight="1">
      <c r="A33" s="61">
        <v>2024</v>
      </c>
      <c r="B33" s="61" t="s">
        <v>83</v>
      </c>
      <c r="C33" s="61" t="s">
        <v>91</v>
      </c>
      <c r="D33" s="69"/>
      <c r="E33" s="61">
        <v>2024</v>
      </c>
      <c r="F33" s="61" t="s">
        <v>81</v>
      </c>
      <c r="G33" s="62" t="s">
        <v>92</v>
      </c>
      <c r="H33" s="75"/>
      <c r="I33" s="75"/>
      <c r="J33" s="75" t="s">
        <v>66</v>
      </c>
      <c r="K33" s="75"/>
      <c r="L33" s="75"/>
    </row>
    <row r="34" spans="1:12" ht="48" customHeight="1">
      <c r="A34" s="61">
        <v>2024</v>
      </c>
      <c r="B34" s="61" t="s">
        <v>105</v>
      </c>
      <c r="C34" s="61" t="s">
        <v>79</v>
      </c>
      <c r="D34" s="69" t="s">
        <v>80</v>
      </c>
      <c r="E34" s="61">
        <v>2024</v>
      </c>
      <c r="F34" s="61" t="s">
        <v>81</v>
      </c>
      <c r="G34" s="62" t="s">
        <v>82</v>
      </c>
      <c r="H34" s="75"/>
      <c r="I34" s="75"/>
      <c r="J34" s="75" t="s">
        <v>66</v>
      </c>
      <c r="K34" s="75"/>
      <c r="L34" s="75"/>
    </row>
    <row r="35" spans="1:12" ht="25.5">
      <c r="A35" s="61">
        <v>2025</v>
      </c>
      <c r="B35" s="61" t="s">
        <v>83</v>
      </c>
      <c r="C35" s="61" t="s">
        <v>86</v>
      </c>
      <c r="D35" s="69"/>
      <c r="E35" s="61">
        <v>2025</v>
      </c>
      <c r="F35" s="61" t="s">
        <v>81</v>
      </c>
      <c r="G35" s="62" t="s">
        <v>106</v>
      </c>
      <c r="H35" s="75"/>
      <c r="I35" s="75"/>
      <c r="J35" s="75"/>
      <c r="K35" s="75"/>
      <c r="L35" s="75"/>
    </row>
    <row r="36" spans="1:12" ht="27" customHeight="1">
      <c r="A36" s="61">
        <v>2025</v>
      </c>
      <c r="B36" s="61" t="s">
        <v>97</v>
      </c>
      <c r="C36" s="61" t="s">
        <v>98</v>
      </c>
      <c r="D36" s="61" t="s">
        <v>80</v>
      </c>
      <c r="E36" s="61">
        <v>2025</v>
      </c>
      <c r="F36" s="61" t="s">
        <v>99</v>
      </c>
      <c r="G36" s="62" t="s">
        <v>107</v>
      </c>
      <c r="H36" s="75"/>
      <c r="I36" s="75"/>
      <c r="J36" s="75"/>
      <c r="K36" s="75" t="s">
        <v>66</v>
      </c>
      <c r="L36" s="75"/>
    </row>
    <row r="37" spans="1:12" ht="27" customHeight="1">
      <c r="A37" s="61">
        <v>2025</v>
      </c>
      <c r="B37" s="61" t="s">
        <v>83</v>
      </c>
      <c r="C37" s="61" t="s">
        <v>84</v>
      </c>
      <c r="D37" s="61" t="s">
        <v>80</v>
      </c>
      <c r="E37" s="61">
        <v>2025</v>
      </c>
      <c r="F37" s="61" t="s">
        <v>81</v>
      </c>
      <c r="G37" s="62" t="s">
        <v>101</v>
      </c>
      <c r="H37" s="75"/>
      <c r="I37" s="75"/>
      <c r="J37" s="75"/>
      <c r="K37" s="75" t="s">
        <v>66</v>
      </c>
      <c r="L37" s="75"/>
    </row>
    <row r="38" spans="1:12" ht="15" customHeight="1">
      <c r="A38" s="61">
        <v>2025</v>
      </c>
      <c r="B38" s="61" t="s">
        <v>83</v>
      </c>
      <c r="C38" s="61" t="s">
        <v>108</v>
      </c>
      <c r="D38" s="61" t="s">
        <v>80</v>
      </c>
      <c r="E38" s="61">
        <v>2025</v>
      </c>
      <c r="F38" s="61" t="s">
        <v>81</v>
      </c>
      <c r="G38" s="62" t="s">
        <v>102</v>
      </c>
      <c r="H38" s="75"/>
      <c r="I38" s="75"/>
      <c r="J38" s="75"/>
      <c r="K38" s="75" t="s">
        <v>66</v>
      </c>
      <c r="L38" s="75"/>
    </row>
    <row r="39" spans="1:12" ht="15" customHeight="1">
      <c r="A39" s="61">
        <v>2025</v>
      </c>
      <c r="B39" s="61" t="s">
        <v>83</v>
      </c>
      <c r="C39" s="61" t="s">
        <v>69</v>
      </c>
      <c r="D39" s="61" t="s">
        <v>80</v>
      </c>
      <c r="E39" s="61">
        <v>2025</v>
      </c>
      <c r="F39" s="61" t="s">
        <v>81</v>
      </c>
      <c r="G39" s="62" t="s">
        <v>90</v>
      </c>
      <c r="H39" s="75"/>
      <c r="I39" s="75"/>
      <c r="J39" s="75"/>
      <c r="K39" s="75" t="s">
        <v>66</v>
      </c>
      <c r="L39" s="75" t="s">
        <v>66</v>
      </c>
    </row>
    <row r="40" spans="1:12" ht="15" customHeight="1">
      <c r="A40" s="61">
        <v>2025</v>
      </c>
      <c r="B40" s="61" t="s">
        <v>83</v>
      </c>
      <c r="C40" s="61" t="s">
        <v>91</v>
      </c>
      <c r="D40" s="69"/>
      <c r="E40" s="61">
        <v>2025</v>
      </c>
      <c r="F40" s="61" t="s">
        <v>81</v>
      </c>
      <c r="G40" s="62" t="s">
        <v>92</v>
      </c>
      <c r="H40" s="75"/>
      <c r="I40" s="75"/>
      <c r="J40" s="75"/>
      <c r="K40" s="75" t="s">
        <v>66</v>
      </c>
      <c r="L40" s="75" t="s">
        <v>66</v>
      </c>
    </row>
    <row r="41" spans="1:12" ht="15" customHeight="1">
      <c r="A41" s="61">
        <v>2025</v>
      </c>
      <c r="B41" s="61" t="s">
        <v>83</v>
      </c>
      <c r="C41" s="61" t="s">
        <v>109</v>
      </c>
      <c r="D41" s="61" t="s">
        <v>80</v>
      </c>
      <c r="E41" s="61">
        <v>2025</v>
      </c>
      <c r="F41" s="61" t="s">
        <v>94</v>
      </c>
      <c r="G41" s="62" t="s">
        <v>110</v>
      </c>
      <c r="H41" s="75"/>
      <c r="I41" s="75"/>
      <c r="J41" s="75"/>
      <c r="K41" s="75" t="s">
        <v>66</v>
      </c>
      <c r="L41" s="75"/>
    </row>
    <row r="42" spans="1:12" ht="25.5">
      <c r="A42" s="61">
        <v>2026</v>
      </c>
      <c r="B42" s="61" t="s">
        <v>83</v>
      </c>
      <c r="C42" s="63" t="s">
        <v>86</v>
      </c>
      <c r="D42" s="69"/>
      <c r="E42" s="61">
        <v>2026</v>
      </c>
      <c r="F42" s="61" t="s">
        <v>81</v>
      </c>
      <c r="G42" s="62" t="s">
        <v>106</v>
      </c>
      <c r="H42" s="75"/>
      <c r="I42" s="75"/>
      <c r="J42" s="75"/>
      <c r="K42" s="75"/>
      <c r="L42" s="75"/>
    </row>
    <row r="43" spans="1:12" ht="25.5" customHeight="1">
      <c r="A43" s="61">
        <v>2026</v>
      </c>
      <c r="B43" s="61" t="s">
        <v>97</v>
      </c>
      <c r="C43" s="61" t="s">
        <v>98</v>
      </c>
      <c r="D43" s="61" t="s">
        <v>80</v>
      </c>
      <c r="E43" s="61">
        <v>2026</v>
      </c>
      <c r="F43" s="61" t="s">
        <v>99</v>
      </c>
      <c r="G43" s="62" t="s">
        <v>107</v>
      </c>
      <c r="H43" s="75"/>
      <c r="I43" s="75"/>
      <c r="J43" s="75"/>
      <c r="K43" s="75"/>
      <c r="L43" s="75" t="s">
        <v>66</v>
      </c>
    </row>
    <row r="44" spans="1:12" ht="26.25" customHeight="1">
      <c r="A44" s="61">
        <v>2026</v>
      </c>
      <c r="B44" s="61" t="s">
        <v>83</v>
      </c>
      <c r="C44" s="61" t="s">
        <v>84</v>
      </c>
      <c r="D44" s="61" t="s">
        <v>80</v>
      </c>
      <c r="E44" s="61">
        <v>2026</v>
      </c>
      <c r="F44" s="61" t="s">
        <v>81</v>
      </c>
      <c r="G44" s="62" t="s">
        <v>101</v>
      </c>
      <c r="H44" s="75"/>
      <c r="I44" s="75"/>
      <c r="J44" s="75"/>
      <c r="K44" s="75"/>
      <c r="L44" s="75" t="s">
        <v>66</v>
      </c>
    </row>
    <row r="45" spans="1:12" ht="25.5">
      <c r="A45" s="61">
        <v>2026</v>
      </c>
      <c r="B45" s="61" t="s">
        <v>83</v>
      </c>
      <c r="C45" s="61" t="s">
        <v>108</v>
      </c>
      <c r="D45" s="61" t="s">
        <v>80</v>
      </c>
      <c r="E45" s="61">
        <v>2026</v>
      </c>
      <c r="F45" s="61" t="s">
        <v>81</v>
      </c>
      <c r="G45" s="62" t="s">
        <v>102</v>
      </c>
      <c r="H45" s="75"/>
      <c r="I45" s="75"/>
      <c r="J45" s="75"/>
      <c r="K45" s="75"/>
      <c r="L45" s="75" t="s">
        <v>66</v>
      </c>
    </row>
    <row r="46" spans="1:12" ht="25.5">
      <c r="A46" s="61">
        <v>2026</v>
      </c>
      <c r="B46" s="61" t="s">
        <v>83</v>
      </c>
      <c r="C46" s="61" t="s">
        <v>69</v>
      </c>
      <c r="D46" s="61" t="s">
        <v>80</v>
      </c>
      <c r="E46" s="61">
        <v>2026</v>
      </c>
      <c r="F46" s="61" t="s">
        <v>81</v>
      </c>
      <c r="G46" s="62" t="s">
        <v>90</v>
      </c>
      <c r="H46" s="75"/>
      <c r="I46" s="75"/>
      <c r="J46" s="75"/>
      <c r="K46" s="75"/>
      <c r="L46" s="75" t="s">
        <v>66</v>
      </c>
    </row>
    <row r="47" spans="1:12" ht="12.75">
      <c r="A47" s="61">
        <v>2026</v>
      </c>
      <c r="B47" s="61" t="s">
        <v>83</v>
      </c>
      <c r="C47" s="61" t="s">
        <v>91</v>
      </c>
      <c r="D47" s="69"/>
      <c r="E47" s="61">
        <v>2026</v>
      </c>
      <c r="F47" s="61" t="s">
        <v>81</v>
      </c>
      <c r="G47" s="62" t="s">
        <v>111</v>
      </c>
      <c r="H47" s="75"/>
      <c r="I47" s="75"/>
      <c r="J47" s="75"/>
      <c r="K47" s="75"/>
      <c r="L47" s="75" t="s">
        <v>66</v>
      </c>
    </row>
    <row r="48" spans="1:12" ht="25.5">
      <c r="C48" s="64" t="s">
        <v>112</v>
      </c>
      <c r="G48" s="71"/>
    </row>
    <row r="49" spans="3:7" ht="12.75">
      <c r="C49" s="64" t="s">
        <v>113</v>
      </c>
      <c r="G49" s="71"/>
    </row>
    <row r="50" spans="3:7" ht="12.75">
      <c r="C50" s="64" t="s">
        <v>114</v>
      </c>
      <c r="G50" s="71"/>
    </row>
    <row r="51" spans="3:7" ht="12.75">
      <c r="C51" s="64" t="s">
        <v>115</v>
      </c>
      <c r="G51" s="71"/>
    </row>
    <row r="52" spans="3:7" ht="12.75">
      <c r="G52" s="71"/>
    </row>
    <row r="53" spans="3:7" ht="12.75">
      <c r="G53" s="71"/>
    </row>
    <row r="54" spans="3:7" ht="12.75">
      <c r="G54" s="71"/>
    </row>
    <row r="55" spans="3:7" ht="12.75">
      <c r="G55" s="71"/>
    </row>
    <row r="56" spans="3:7" ht="12.75">
      <c r="G56" s="71"/>
    </row>
    <row r="57" spans="3:7" ht="12.75">
      <c r="G57" s="71"/>
    </row>
    <row r="58" spans="3:7" ht="12.75">
      <c r="G58" s="71"/>
    </row>
    <row r="59" spans="3:7" ht="12.75">
      <c r="G59" s="71"/>
    </row>
    <row r="60" spans="3:7" ht="12.75">
      <c r="G60" s="71"/>
    </row>
    <row r="61" spans="3:7" ht="12.75">
      <c r="G61" s="71"/>
    </row>
    <row r="62" spans="3:7" ht="12.75">
      <c r="G62" s="71"/>
    </row>
    <row r="63" spans="3:7" ht="12.75">
      <c r="G63" s="71"/>
    </row>
    <row r="64" spans="3:7" ht="12.75">
      <c r="G64" s="71"/>
    </row>
    <row r="65" spans="7:7" ht="12.75">
      <c r="G65" s="71"/>
    </row>
    <row r="66" spans="7:7" ht="12.75">
      <c r="G66" s="71"/>
    </row>
    <row r="67" spans="7:7" ht="12.75">
      <c r="G67" s="71"/>
    </row>
    <row r="68" spans="7:7" ht="12.75">
      <c r="G68" s="71"/>
    </row>
    <row r="69" spans="7:7" ht="12.75">
      <c r="G69" s="71"/>
    </row>
    <row r="70" spans="7:7" ht="12.75">
      <c r="G70" s="71"/>
    </row>
    <row r="71" spans="7:7" ht="12.75">
      <c r="G71" s="71"/>
    </row>
    <row r="72" spans="7:7" ht="12.75">
      <c r="G72" s="71"/>
    </row>
    <row r="73" spans="7:7" ht="12.75">
      <c r="G73" s="71"/>
    </row>
    <row r="74" spans="7:7" ht="12.75">
      <c r="G74" s="71"/>
    </row>
    <row r="75" spans="7:7" ht="12.75">
      <c r="G75" s="71"/>
    </row>
    <row r="76" spans="7:7" ht="12.75">
      <c r="G76" s="71"/>
    </row>
    <row r="77" spans="7:7" ht="12.75">
      <c r="G77" s="71"/>
    </row>
    <row r="78" spans="7:7" ht="12.75">
      <c r="G78" s="71"/>
    </row>
    <row r="79" spans="7:7" ht="12.75">
      <c r="G79" s="71"/>
    </row>
    <row r="80" spans="7:7" ht="12.75">
      <c r="G80" s="71"/>
    </row>
    <row r="81" spans="7:7" ht="12.75">
      <c r="G81" s="71"/>
    </row>
    <row r="82" spans="7:7" ht="12.75">
      <c r="G82" s="71"/>
    </row>
    <row r="83" spans="7:7" ht="12.75">
      <c r="G83" s="71"/>
    </row>
    <row r="84" spans="7:7" ht="12.75">
      <c r="G84" s="71"/>
    </row>
    <row r="85" spans="7:7" ht="12.75">
      <c r="G85" s="71"/>
    </row>
    <row r="86" spans="7:7" ht="12.75">
      <c r="G86" s="71"/>
    </row>
    <row r="87" spans="7:7" ht="12.75">
      <c r="G87" s="71"/>
    </row>
    <row r="88" spans="7:7" ht="12.75">
      <c r="G88" s="71"/>
    </row>
    <row r="89" spans="7:7" ht="12.75">
      <c r="G89" s="71"/>
    </row>
    <row r="90" spans="7:7" ht="12.75">
      <c r="G90" s="71"/>
    </row>
    <row r="91" spans="7:7" ht="12.75">
      <c r="G91" s="71"/>
    </row>
    <row r="92" spans="7:7" ht="12.75">
      <c r="G92" s="71"/>
    </row>
    <row r="93" spans="7:7" ht="12.75">
      <c r="G93" s="71"/>
    </row>
    <row r="94" spans="7:7" ht="12.75">
      <c r="G94" s="71"/>
    </row>
    <row r="95" spans="7:7" ht="12.75">
      <c r="G95" s="71"/>
    </row>
    <row r="96" spans="7:7" ht="12.75">
      <c r="G96" s="71"/>
    </row>
    <row r="97" spans="7:7" ht="12.75">
      <c r="G97" s="71"/>
    </row>
    <row r="98" spans="7:7" ht="12.75">
      <c r="G98" s="71"/>
    </row>
    <row r="99" spans="7:7" ht="12.75">
      <c r="G99" s="71"/>
    </row>
    <row r="100" spans="7:7" ht="12.75">
      <c r="G100" s="71"/>
    </row>
    <row r="101" spans="7:7" ht="12.75">
      <c r="G101" s="71"/>
    </row>
    <row r="102" spans="7:7" ht="12.75">
      <c r="G102" s="71"/>
    </row>
    <row r="103" spans="7:7" ht="12.75">
      <c r="G103" s="71"/>
    </row>
    <row r="104" spans="7:7" ht="12.75">
      <c r="G104" s="71"/>
    </row>
    <row r="105" spans="7:7" ht="12.75">
      <c r="G105" s="71"/>
    </row>
    <row r="106" spans="7:7" ht="12.75">
      <c r="G106" s="71"/>
    </row>
    <row r="107" spans="7:7" ht="12.75">
      <c r="G107" s="71"/>
    </row>
    <row r="108" spans="7:7" ht="12.75">
      <c r="G108" s="71"/>
    </row>
    <row r="109" spans="7:7" ht="12.75">
      <c r="G109" s="71"/>
    </row>
    <row r="110" spans="7:7" ht="12.75">
      <c r="G110" s="71"/>
    </row>
    <row r="111" spans="7:7" ht="12.75">
      <c r="G111" s="71"/>
    </row>
    <row r="112" spans="7:7" ht="12.75">
      <c r="G112" s="71"/>
    </row>
    <row r="113" spans="7:7" ht="12.75">
      <c r="G113" s="71"/>
    </row>
    <row r="114" spans="7:7" ht="12.75">
      <c r="G114" s="71"/>
    </row>
    <row r="115" spans="7:7" ht="12.75">
      <c r="G115" s="71"/>
    </row>
    <row r="116" spans="7:7" ht="12.75">
      <c r="G116" s="71"/>
    </row>
    <row r="117" spans="7:7" ht="12.75">
      <c r="G117" s="71"/>
    </row>
    <row r="118" spans="7:7" ht="12.75">
      <c r="G118" s="71"/>
    </row>
    <row r="119" spans="7:7" ht="12.75">
      <c r="G119" s="71"/>
    </row>
    <row r="120" spans="7:7" ht="12.75">
      <c r="G120" s="71"/>
    </row>
    <row r="121" spans="7:7" ht="12.75">
      <c r="G121" s="71"/>
    </row>
    <row r="122" spans="7:7" ht="12.75">
      <c r="G122" s="71"/>
    </row>
    <row r="123" spans="7:7" ht="12.75">
      <c r="G123" s="71"/>
    </row>
    <row r="124" spans="7:7" ht="12.75">
      <c r="G124" s="71"/>
    </row>
    <row r="125" spans="7:7" ht="12.75">
      <c r="G125" s="71"/>
    </row>
    <row r="126" spans="7:7" ht="12.75">
      <c r="G126" s="71"/>
    </row>
    <row r="127" spans="7:7" ht="12.75">
      <c r="G127" s="71"/>
    </row>
    <row r="128" spans="7:7" ht="12.75">
      <c r="G128" s="71"/>
    </row>
    <row r="129" spans="7:7" ht="12.75">
      <c r="G129" s="71"/>
    </row>
    <row r="130" spans="7:7" ht="12.75">
      <c r="G130" s="71"/>
    </row>
    <row r="131" spans="7:7" ht="12.75">
      <c r="G131" s="71"/>
    </row>
    <row r="132" spans="7:7" ht="12.75">
      <c r="G132" s="71"/>
    </row>
    <row r="133" spans="7:7" ht="12.75">
      <c r="G133" s="71"/>
    </row>
    <row r="134" spans="7:7" ht="12.75">
      <c r="G134" s="71"/>
    </row>
    <row r="135" spans="7:7" ht="12.75">
      <c r="G135" s="71"/>
    </row>
    <row r="136" spans="7:7" ht="12.75">
      <c r="G136" s="71"/>
    </row>
    <row r="137" spans="7:7" ht="12.75">
      <c r="G137" s="71"/>
    </row>
    <row r="138" spans="7:7" ht="12.75">
      <c r="G138" s="71"/>
    </row>
    <row r="139" spans="7:7" ht="12.75">
      <c r="G139" s="71"/>
    </row>
    <row r="140" spans="7:7" ht="12.75">
      <c r="G140" s="71"/>
    </row>
    <row r="141" spans="7:7" ht="12.75">
      <c r="G141" s="71"/>
    </row>
    <row r="142" spans="7:7" ht="12.75">
      <c r="G142" s="71"/>
    </row>
    <row r="143" spans="7:7" ht="12.75">
      <c r="G143" s="71"/>
    </row>
    <row r="144" spans="7:7" ht="12.75">
      <c r="G144" s="71"/>
    </row>
    <row r="145" spans="7:7" ht="12.75">
      <c r="G145" s="71"/>
    </row>
    <row r="146" spans="7:7" ht="12.75">
      <c r="G146" s="71"/>
    </row>
    <row r="147" spans="7:7" ht="12.75">
      <c r="G147" s="71"/>
    </row>
    <row r="148" spans="7:7" ht="12.75">
      <c r="G148" s="71"/>
    </row>
    <row r="149" spans="7:7" ht="12.75">
      <c r="G149" s="71"/>
    </row>
    <row r="150" spans="7:7" ht="12.75">
      <c r="G150" s="71"/>
    </row>
    <row r="151" spans="7:7" ht="12.75">
      <c r="G151" s="71"/>
    </row>
    <row r="152" spans="7:7" ht="12.75">
      <c r="G152" s="71"/>
    </row>
    <row r="153" spans="7:7" ht="12.75">
      <c r="G153" s="71"/>
    </row>
    <row r="154" spans="7:7" ht="12.75">
      <c r="G154" s="71"/>
    </row>
    <row r="155" spans="7:7" ht="12.75">
      <c r="G155" s="71"/>
    </row>
    <row r="156" spans="7:7" ht="12.75">
      <c r="G156" s="71"/>
    </row>
    <row r="157" spans="7:7" ht="12.75">
      <c r="G157" s="71"/>
    </row>
    <row r="158" spans="7:7" ht="12.75">
      <c r="G158" s="71"/>
    </row>
    <row r="159" spans="7:7" ht="12.75">
      <c r="G159" s="71"/>
    </row>
    <row r="160" spans="7:7" ht="12.75">
      <c r="G160" s="71"/>
    </row>
    <row r="161" spans="7:7" ht="12.75">
      <c r="G161" s="71"/>
    </row>
    <row r="162" spans="7:7" ht="12.75">
      <c r="G162" s="71"/>
    </row>
    <row r="163" spans="7:7" ht="12.75">
      <c r="G163" s="71"/>
    </row>
    <row r="164" spans="7:7" ht="12.75">
      <c r="G164" s="71"/>
    </row>
    <row r="165" spans="7:7" ht="12.75">
      <c r="G165" s="71"/>
    </row>
    <row r="166" spans="7:7" ht="12.75">
      <c r="G166" s="71"/>
    </row>
    <row r="167" spans="7:7" ht="12.75">
      <c r="G167" s="71"/>
    </row>
    <row r="168" spans="7:7" ht="12.75">
      <c r="G168" s="71"/>
    </row>
    <row r="169" spans="7:7" ht="12.75">
      <c r="G169" s="71"/>
    </row>
    <row r="170" spans="7:7" ht="12.75">
      <c r="G170" s="71"/>
    </row>
    <row r="171" spans="7:7" ht="12.75">
      <c r="G171" s="71"/>
    </row>
    <row r="172" spans="7:7" ht="12.75">
      <c r="G172" s="71"/>
    </row>
    <row r="173" spans="7:7" ht="12.75">
      <c r="G173" s="71"/>
    </row>
    <row r="174" spans="7:7" ht="12.75">
      <c r="G174" s="71"/>
    </row>
    <row r="175" spans="7:7" ht="12.75">
      <c r="G175" s="71"/>
    </row>
    <row r="176" spans="7:7" ht="12.75">
      <c r="G176" s="71"/>
    </row>
    <row r="177" spans="7:7" ht="12.75">
      <c r="G177" s="71"/>
    </row>
    <row r="178" spans="7:7" ht="12.75">
      <c r="G178" s="71"/>
    </row>
    <row r="179" spans="7:7" ht="12.75">
      <c r="G179" s="71"/>
    </row>
    <row r="180" spans="7:7" ht="12.75">
      <c r="G180" s="71"/>
    </row>
    <row r="181" spans="7:7" ht="12.75">
      <c r="G181" s="71"/>
    </row>
    <row r="182" spans="7:7" ht="12.75">
      <c r="G182" s="71"/>
    </row>
    <row r="183" spans="7:7" ht="12.75">
      <c r="G183" s="71"/>
    </row>
    <row r="184" spans="7:7" ht="12.75">
      <c r="G184" s="71"/>
    </row>
    <row r="185" spans="7:7" ht="12.75">
      <c r="G185" s="71"/>
    </row>
    <row r="186" spans="7:7" ht="12.75">
      <c r="G186" s="71"/>
    </row>
    <row r="187" spans="7:7" ht="12.75">
      <c r="G187" s="71"/>
    </row>
    <row r="188" spans="7:7" ht="12.75">
      <c r="G188" s="71"/>
    </row>
    <row r="189" spans="7:7" ht="12.75">
      <c r="G189" s="71"/>
    </row>
    <row r="190" spans="7:7" ht="12.75">
      <c r="G190" s="71"/>
    </row>
    <row r="191" spans="7:7" ht="12.75">
      <c r="G191" s="71"/>
    </row>
    <row r="192" spans="7:7" ht="12.75">
      <c r="G192" s="71"/>
    </row>
    <row r="193" spans="7:7" ht="12.75">
      <c r="G193" s="71"/>
    </row>
    <row r="194" spans="7:7" ht="12.75">
      <c r="G194" s="71"/>
    </row>
    <row r="195" spans="7:7" ht="12.75">
      <c r="G195" s="71"/>
    </row>
    <row r="196" spans="7:7" ht="12.75">
      <c r="G196" s="71"/>
    </row>
    <row r="197" spans="7:7" ht="12.75">
      <c r="G197" s="71"/>
    </row>
    <row r="198" spans="7:7" ht="12.75">
      <c r="G198" s="71"/>
    </row>
    <row r="199" spans="7:7" ht="12.75">
      <c r="G199" s="71"/>
    </row>
    <row r="200" spans="7:7" ht="12.75">
      <c r="G200" s="71"/>
    </row>
    <row r="201" spans="7:7" ht="12.75">
      <c r="G201" s="71"/>
    </row>
    <row r="202" spans="7:7" ht="12.75">
      <c r="G202" s="71"/>
    </row>
    <row r="203" spans="7:7" ht="12.75">
      <c r="G203" s="71"/>
    </row>
    <row r="204" spans="7:7" ht="12.75">
      <c r="G204" s="71"/>
    </row>
    <row r="205" spans="7:7" ht="12.75">
      <c r="G205" s="71"/>
    </row>
    <row r="206" spans="7:7" ht="12.75">
      <c r="G206" s="71"/>
    </row>
    <row r="207" spans="7:7" ht="12.75">
      <c r="G207" s="71"/>
    </row>
    <row r="208" spans="7:7" ht="12.75">
      <c r="G208" s="71"/>
    </row>
    <row r="209" spans="7:7" ht="12.75">
      <c r="G209" s="71"/>
    </row>
    <row r="210" spans="7:7" ht="12.75">
      <c r="G210" s="71"/>
    </row>
    <row r="211" spans="7:7" ht="12.75">
      <c r="G211" s="71"/>
    </row>
    <row r="212" spans="7:7" ht="12.75">
      <c r="G212" s="71"/>
    </row>
    <row r="213" spans="7:7" ht="12.75">
      <c r="G213" s="71"/>
    </row>
    <row r="214" spans="7:7" ht="12.75">
      <c r="G214" s="71"/>
    </row>
    <row r="215" spans="7:7" ht="12.75">
      <c r="G215" s="71"/>
    </row>
    <row r="216" spans="7:7" ht="12.75">
      <c r="G216" s="71"/>
    </row>
    <row r="217" spans="7:7" ht="12.75">
      <c r="G217" s="71"/>
    </row>
    <row r="218" spans="7:7" ht="12.75">
      <c r="G218" s="71"/>
    </row>
    <row r="219" spans="7:7" ht="12.75">
      <c r="G219" s="71"/>
    </row>
    <row r="220" spans="7:7" ht="12.75">
      <c r="G220" s="71"/>
    </row>
    <row r="221" spans="7:7" ht="12.75">
      <c r="G221" s="71"/>
    </row>
    <row r="222" spans="7:7" ht="12.75">
      <c r="G222" s="71"/>
    </row>
    <row r="223" spans="7:7" ht="12.75">
      <c r="G223" s="71"/>
    </row>
    <row r="224" spans="7:7" ht="12.75">
      <c r="G224" s="71"/>
    </row>
    <row r="225" spans="7:7" ht="12.75">
      <c r="G225" s="71"/>
    </row>
    <row r="226" spans="7:7" ht="12.75">
      <c r="G226" s="71"/>
    </row>
    <row r="227" spans="7:7" ht="12.75">
      <c r="G227" s="71"/>
    </row>
    <row r="228" spans="7:7" ht="12.75">
      <c r="G228" s="71"/>
    </row>
    <row r="229" spans="7:7" ht="12.75">
      <c r="G229" s="71"/>
    </row>
    <row r="230" spans="7:7" ht="12.75">
      <c r="G230" s="71"/>
    </row>
    <row r="231" spans="7:7" ht="12.75">
      <c r="G231" s="71"/>
    </row>
    <row r="232" spans="7:7" ht="12.75">
      <c r="G232" s="71"/>
    </row>
    <row r="233" spans="7:7" ht="12.75">
      <c r="G233" s="71"/>
    </row>
    <row r="234" spans="7:7" ht="12.75">
      <c r="G234" s="71"/>
    </row>
    <row r="235" spans="7:7" ht="12.75">
      <c r="G235" s="71"/>
    </row>
    <row r="236" spans="7:7" ht="12.75">
      <c r="G236" s="71"/>
    </row>
    <row r="237" spans="7:7" ht="12.75">
      <c r="G237" s="71"/>
    </row>
    <row r="238" spans="7:7" ht="12.75">
      <c r="G238" s="71"/>
    </row>
    <row r="239" spans="7:7" ht="12.75">
      <c r="G239" s="71"/>
    </row>
    <row r="240" spans="7:7" ht="12.75">
      <c r="G240" s="71"/>
    </row>
    <row r="241" spans="7:7" ht="12.75">
      <c r="G241" s="71"/>
    </row>
    <row r="242" spans="7:7" ht="12.75">
      <c r="G242" s="71"/>
    </row>
    <row r="243" spans="7:7" ht="12.75">
      <c r="G243" s="71"/>
    </row>
    <row r="244" spans="7:7" ht="12.75">
      <c r="G244" s="71"/>
    </row>
    <row r="245" spans="7:7" ht="12.75">
      <c r="G245" s="71"/>
    </row>
    <row r="246" spans="7:7" ht="12.75">
      <c r="G246" s="71"/>
    </row>
    <row r="247" spans="7:7" ht="12.75">
      <c r="G247" s="71"/>
    </row>
    <row r="248" spans="7:7" ht="12.75">
      <c r="G248" s="71"/>
    </row>
    <row r="249" spans="7:7" ht="12.75">
      <c r="G249" s="71"/>
    </row>
    <row r="250" spans="7:7" ht="12.75">
      <c r="G250" s="71"/>
    </row>
    <row r="251" spans="7:7" ht="12.75">
      <c r="G251" s="71"/>
    </row>
    <row r="252" spans="7:7" ht="12.75">
      <c r="G252" s="71"/>
    </row>
    <row r="253" spans="7:7" ht="12.75">
      <c r="G253" s="71"/>
    </row>
    <row r="254" spans="7:7" ht="12.75">
      <c r="G254" s="71"/>
    </row>
    <row r="255" spans="7:7" ht="12.75">
      <c r="G255" s="71"/>
    </row>
    <row r="256" spans="7:7" ht="12.75">
      <c r="G256" s="71"/>
    </row>
    <row r="257" spans="7:7" ht="12.75">
      <c r="G257" s="71"/>
    </row>
    <row r="258" spans="7:7" ht="12.75">
      <c r="G258" s="71"/>
    </row>
    <row r="259" spans="7:7" ht="12.75">
      <c r="G259" s="71"/>
    </row>
    <row r="260" spans="7:7" ht="12.75">
      <c r="G260" s="71"/>
    </row>
    <row r="261" spans="7:7" ht="12.75">
      <c r="G261" s="71"/>
    </row>
    <row r="262" spans="7:7" ht="12.75">
      <c r="G262" s="71"/>
    </row>
    <row r="263" spans="7:7" ht="12.75">
      <c r="G263" s="71"/>
    </row>
    <row r="264" spans="7:7" ht="12.75">
      <c r="G264" s="71"/>
    </row>
    <row r="265" spans="7:7" ht="12.75">
      <c r="G265" s="71"/>
    </row>
    <row r="266" spans="7:7" ht="12.75">
      <c r="G266" s="71"/>
    </row>
    <row r="267" spans="7:7" ht="12.75">
      <c r="G267" s="71"/>
    </row>
    <row r="268" spans="7:7" ht="12.75">
      <c r="G268" s="71"/>
    </row>
    <row r="269" spans="7:7" ht="12.75">
      <c r="G269" s="71"/>
    </row>
    <row r="270" spans="7:7" ht="12.75">
      <c r="G270" s="71"/>
    </row>
    <row r="271" spans="7:7" ht="12.75">
      <c r="G271" s="71"/>
    </row>
    <row r="272" spans="7:7" ht="12.75">
      <c r="G272" s="71"/>
    </row>
    <row r="273" spans="7:7" ht="12.75">
      <c r="G273" s="71"/>
    </row>
    <row r="274" spans="7:7" ht="12.75">
      <c r="G274" s="71"/>
    </row>
    <row r="275" spans="7:7" ht="12.75">
      <c r="G275" s="71"/>
    </row>
    <row r="276" spans="7:7" ht="12.75">
      <c r="G276" s="71"/>
    </row>
    <row r="277" spans="7:7" ht="12.75">
      <c r="G277" s="71"/>
    </row>
    <row r="278" spans="7:7" ht="12.75">
      <c r="G278" s="71"/>
    </row>
    <row r="279" spans="7:7" ht="12.75">
      <c r="G279" s="71"/>
    </row>
    <row r="280" spans="7:7" ht="12.75">
      <c r="G280" s="71"/>
    </row>
    <row r="281" spans="7:7" ht="12.75">
      <c r="G281" s="71"/>
    </row>
    <row r="282" spans="7:7" ht="12.75">
      <c r="G282" s="71"/>
    </row>
    <row r="283" spans="7:7" ht="12.75">
      <c r="G283" s="71"/>
    </row>
    <row r="284" spans="7:7" ht="12.75">
      <c r="G284" s="71"/>
    </row>
    <row r="285" spans="7:7" ht="12.75">
      <c r="G285" s="71"/>
    </row>
    <row r="286" spans="7:7" ht="12.75">
      <c r="G286" s="71"/>
    </row>
    <row r="287" spans="7:7" ht="12.75">
      <c r="G287" s="71"/>
    </row>
    <row r="288" spans="7:7" ht="12.75">
      <c r="G288" s="71"/>
    </row>
    <row r="289" spans="7:7" ht="12.75">
      <c r="G289" s="71"/>
    </row>
    <row r="290" spans="7:7" ht="12.75">
      <c r="G290" s="71"/>
    </row>
    <row r="291" spans="7:7" ht="12.75">
      <c r="G291" s="71"/>
    </row>
    <row r="292" spans="7:7" ht="12.75">
      <c r="G292" s="71"/>
    </row>
    <row r="293" spans="7:7" ht="12.75">
      <c r="G293" s="71"/>
    </row>
    <row r="294" spans="7:7" ht="12.75">
      <c r="G294" s="71"/>
    </row>
    <row r="295" spans="7:7" ht="12.75">
      <c r="G295" s="71"/>
    </row>
    <row r="296" spans="7:7" ht="12.75">
      <c r="G296" s="71"/>
    </row>
    <row r="297" spans="7:7" ht="12.75">
      <c r="G297" s="71"/>
    </row>
    <row r="298" spans="7:7" ht="12.75">
      <c r="G298" s="71"/>
    </row>
    <row r="299" spans="7:7" ht="12.75">
      <c r="G299" s="71"/>
    </row>
    <row r="300" spans="7:7" ht="12.75">
      <c r="G300" s="71"/>
    </row>
    <row r="301" spans="7:7" ht="12.75">
      <c r="G301" s="71"/>
    </row>
    <row r="302" spans="7:7" ht="12.75">
      <c r="G302" s="71"/>
    </row>
    <row r="303" spans="7:7" ht="12.75">
      <c r="G303" s="71"/>
    </row>
    <row r="304" spans="7:7" ht="12.75">
      <c r="G304" s="71"/>
    </row>
    <row r="305" spans="7:7" ht="12.75">
      <c r="G305" s="71"/>
    </row>
    <row r="306" spans="7:7" ht="12.75">
      <c r="G306" s="71"/>
    </row>
    <row r="307" spans="7:7" ht="12.75">
      <c r="G307" s="71"/>
    </row>
    <row r="308" spans="7:7" ht="12.75">
      <c r="G308" s="71"/>
    </row>
    <row r="309" spans="7:7" ht="12.75">
      <c r="G309" s="71"/>
    </row>
    <row r="310" spans="7:7" ht="12.75">
      <c r="G310" s="71"/>
    </row>
    <row r="311" spans="7:7" ht="12.75">
      <c r="G311" s="71"/>
    </row>
    <row r="312" spans="7:7" ht="12.75">
      <c r="G312" s="71"/>
    </row>
    <row r="313" spans="7:7" ht="12.75">
      <c r="G313" s="71"/>
    </row>
    <row r="314" spans="7:7" ht="12.75">
      <c r="G314" s="71"/>
    </row>
    <row r="315" spans="7:7" ht="12.75">
      <c r="G315" s="71"/>
    </row>
    <row r="316" spans="7:7" ht="12.75">
      <c r="G316" s="71"/>
    </row>
    <row r="317" spans="7:7" ht="12.75">
      <c r="G317" s="71"/>
    </row>
    <row r="318" spans="7:7" ht="12.75">
      <c r="G318" s="71"/>
    </row>
    <row r="319" spans="7:7" ht="12.75">
      <c r="G319" s="71"/>
    </row>
    <row r="320" spans="7:7" ht="12.75">
      <c r="G320" s="71"/>
    </row>
    <row r="321" spans="7:7" ht="12.75">
      <c r="G321" s="71"/>
    </row>
    <row r="322" spans="7:7" ht="12.75">
      <c r="G322" s="71"/>
    </row>
    <row r="323" spans="7:7" ht="12.75">
      <c r="G323" s="71"/>
    </row>
    <row r="324" spans="7:7" ht="12.75">
      <c r="G324" s="71"/>
    </row>
    <row r="325" spans="7:7" ht="12.75">
      <c r="G325" s="71"/>
    </row>
    <row r="326" spans="7:7" ht="12.75">
      <c r="G326" s="71"/>
    </row>
    <row r="327" spans="7:7" ht="12.75">
      <c r="G327" s="71"/>
    </row>
    <row r="328" spans="7:7" ht="12.75">
      <c r="G328" s="71"/>
    </row>
    <row r="329" spans="7:7" ht="12.75">
      <c r="G329" s="71"/>
    </row>
    <row r="330" spans="7:7" ht="12.75">
      <c r="G330" s="71"/>
    </row>
    <row r="331" spans="7:7" ht="12.75">
      <c r="G331" s="71"/>
    </row>
    <row r="332" spans="7:7" ht="12.75">
      <c r="G332" s="71"/>
    </row>
    <row r="333" spans="7:7" ht="12.75">
      <c r="G333" s="71"/>
    </row>
    <row r="334" spans="7:7" ht="12.75">
      <c r="G334" s="71"/>
    </row>
    <row r="335" spans="7:7" ht="12.75">
      <c r="G335" s="71"/>
    </row>
    <row r="336" spans="7:7" ht="12.75">
      <c r="G336" s="71"/>
    </row>
    <row r="337" spans="7:7" ht="12.75">
      <c r="G337" s="71"/>
    </row>
    <row r="338" spans="7:7" ht="12.75">
      <c r="G338" s="71"/>
    </row>
    <row r="339" spans="7:7" ht="12.75">
      <c r="G339" s="71"/>
    </row>
    <row r="340" spans="7:7" ht="12.75">
      <c r="G340" s="71"/>
    </row>
    <row r="341" spans="7:7" ht="12.75">
      <c r="G341" s="71"/>
    </row>
    <row r="342" spans="7:7" ht="12.75">
      <c r="G342" s="71"/>
    </row>
    <row r="343" spans="7:7" ht="12.75">
      <c r="G343" s="71"/>
    </row>
    <row r="344" spans="7:7" ht="12.75">
      <c r="G344" s="71"/>
    </row>
    <row r="345" spans="7:7" ht="12.75">
      <c r="G345" s="71"/>
    </row>
    <row r="346" spans="7:7" ht="12.75">
      <c r="G346" s="71"/>
    </row>
    <row r="347" spans="7:7" ht="12.75">
      <c r="G347" s="71"/>
    </row>
    <row r="348" spans="7:7" ht="12.75">
      <c r="G348" s="71"/>
    </row>
    <row r="349" spans="7:7" ht="12.75">
      <c r="G349" s="71"/>
    </row>
    <row r="350" spans="7:7" ht="12.75">
      <c r="G350" s="71"/>
    </row>
    <row r="351" spans="7:7" ht="12.75">
      <c r="G351" s="71"/>
    </row>
    <row r="352" spans="7:7" ht="12.75">
      <c r="G352" s="71"/>
    </row>
    <row r="353" spans="7:7" ht="12.75">
      <c r="G353" s="71"/>
    </row>
    <row r="354" spans="7:7" ht="12.75">
      <c r="G354" s="71"/>
    </row>
    <row r="355" spans="7:7" ht="12.75">
      <c r="G355" s="71"/>
    </row>
    <row r="356" spans="7:7" ht="12.75">
      <c r="G356" s="71"/>
    </row>
    <row r="357" spans="7:7" ht="12.75">
      <c r="G357" s="71"/>
    </row>
    <row r="358" spans="7:7" ht="12.75">
      <c r="G358" s="71"/>
    </row>
    <row r="359" spans="7:7" ht="12.75">
      <c r="G359" s="71"/>
    </row>
    <row r="360" spans="7:7" ht="12.75">
      <c r="G360" s="71"/>
    </row>
    <row r="361" spans="7:7" ht="12.75">
      <c r="G361" s="71"/>
    </row>
    <row r="362" spans="7:7" ht="12.75">
      <c r="G362" s="71"/>
    </row>
    <row r="363" spans="7:7" ht="12.75">
      <c r="G363" s="71"/>
    </row>
    <row r="364" spans="7:7" ht="12.75">
      <c r="G364" s="71"/>
    </row>
    <row r="365" spans="7:7" ht="12.75">
      <c r="G365" s="71"/>
    </row>
    <row r="366" spans="7:7" ht="12.75">
      <c r="G366" s="71"/>
    </row>
    <row r="367" spans="7:7" ht="12.75">
      <c r="G367" s="71"/>
    </row>
    <row r="368" spans="7:7" ht="12.75">
      <c r="G368" s="71"/>
    </row>
    <row r="369" spans="7:7" ht="12.75">
      <c r="G369" s="71"/>
    </row>
    <row r="370" spans="7:7" ht="12.75">
      <c r="G370" s="71"/>
    </row>
    <row r="371" spans="7:7" ht="12.75">
      <c r="G371" s="71"/>
    </row>
    <row r="372" spans="7:7" ht="12.75">
      <c r="G372" s="71"/>
    </row>
    <row r="373" spans="7:7" ht="12.75">
      <c r="G373" s="71"/>
    </row>
    <row r="374" spans="7:7" ht="12.75">
      <c r="G374" s="71"/>
    </row>
    <row r="375" spans="7:7" ht="12.75">
      <c r="G375" s="71"/>
    </row>
    <row r="376" spans="7:7" ht="12.75">
      <c r="G376" s="71"/>
    </row>
    <row r="377" spans="7:7" ht="12.75">
      <c r="G377" s="71"/>
    </row>
    <row r="378" spans="7:7" ht="12.75">
      <c r="G378" s="71"/>
    </row>
    <row r="379" spans="7:7" ht="12.75">
      <c r="G379" s="71"/>
    </row>
    <row r="380" spans="7:7" ht="12.75">
      <c r="G380" s="71"/>
    </row>
    <row r="381" spans="7:7" ht="12.75">
      <c r="G381" s="71"/>
    </row>
    <row r="382" spans="7:7" ht="12.75">
      <c r="G382" s="71"/>
    </row>
    <row r="383" spans="7:7" ht="12.75">
      <c r="G383" s="71"/>
    </row>
    <row r="384" spans="7:7" ht="12.75">
      <c r="G384" s="71"/>
    </row>
    <row r="385" spans="7:7" ht="12.75">
      <c r="G385" s="71"/>
    </row>
    <row r="386" spans="7:7" ht="12.75">
      <c r="G386" s="71"/>
    </row>
    <row r="387" spans="7:7" ht="12.75">
      <c r="G387" s="71"/>
    </row>
    <row r="388" spans="7:7" ht="12.75">
      <c r="G388" s="71"/>
    </row>
    <row r="389" spans="7:7" ht="12.75">
      <c r="G389" s="71"/>
    </row>
    <row r="390" spans="7:7" ht="12.75">
      <c r="G390" s="71"/>
    </row>
    <row r="391" spans="7:7" ht="12.75">
      <c r="G391" s="71"/>
    </row>
    <row r="392" spans="7:7" ht="12.75">
      <c r="G392" s="71"/>
    </row>
    <row r="393" spans="7:7" ht="12.75">
      <c r="G393" s="71"/>
    </row>
    <row r="394" spans="7:7" ht="12.75">
      <c r="G394" s="71"/>
    </row>
    <row r="395" spans="7:7" ht="12.75">
      <c r="G395" s="71"/>
    </row>
    <row r="396" spans="7:7" ht="12.75">
      <c r="G396" s="71"/>
    </row>
    <row r="397" spans="7:7" ht="12.75">
      <c r="G397" s="71"/>
    </row>
    <row r="398" spans="7:7" ht="12.75">
      <c r="G398" s="71"/>
    </row>
    <row r="399" spans="7:7" ht="12.75">
      <c r="G399" s="71"/>
    </row>
    <row r="400" spans="7:7" ht="12.75">
      <c r="G400" s="71"/>
    </row>
    <row r="401" spans="7:7" ht="12.75">
      <c r="G401" s="71"/>
    </row>
    <row r="402" spans="7:7" ht="12.75">
      <c r="G402" s="71"/>
    </row>
    <row r="403" spans="7:7" ht="12.75">
      <c r="G403" s="71"/>
    </row>
    <row r="404" spans="7:7" ht="12.75">
      <c r="G404" s="71"/>
    </row>
    <row r="405" spans="7:7" ht="12.75">
      <c r="G405" s="71"/>
    </row>
    <row r="406" spans="7:7" ht="12.75">
      <c r="G406" s="71"/>
    </row>
    <row r="407" spans="7:7" ht="12.75">
      <c r="G407" s="71"/>
    </row>
    <row r="408" spans="7:7" ht="12.75">
      <c r="G408" s="71"/>
    </row>
    <row r="409" spans="7:7" ht="12.75">
      <c r="G409" s="71"/>
    </row>
    <row r="410" spans="7:7" ht="12.75">
      <c r="G410" s="71"/>
    </row>
    <row r="411" spans="7:7" ht="12.75">
      <c r="G411" s="71"/>
    </row>
    <row r="412" spans="7:7" ht="12.75">
      <c r="G412" s="71"/>
    </row>
    <row r="413" spans="7:7" ht="12.75">
      <c r="G413" s="71"/>
    </row>
    <row r="414" spans="7:7" ht="12.75">
      <c r="G414" s="71"/>
    </row>
    <row r="415" spans="7:7" ht="12.75">
      <c r="G415" s="71"/>
    </row>
    <row r="416" spans="7:7" ht="12.75">
      <c r="G416" s="71"/>
    </row>
    <row r="417" spans="7:7" ht="12.75">
      <c r="G417" s="71"/>
    </row>
    <row r="418" spans="7:7" ht="12.75">
      <c r="G418" s="71"/>
    </row>
    <row r="419" spans="7:7" ht="12.75">
      <c r="G419" s="71"/>
    </row>
    <row r="420" spans="7:7" ht="12.75">
      <c r="G420" s="71"/>
    </row>
    <row r="421" spans="7:7" ht="12.75">
      <c r="G421" s="71"/>
    </row>
    <row r="422" spans="7:7" ht="12.75">
      <c r="G422" s="71"/>
    </row>
    <row r="423" spans="7:7" ht="12.75">
      <c r="G423" s="71"/>
    </row>
    <row r="424" spans="7:7" ht="12.75">
      <c r="G424" s="71"/>
    </row>
    <row r="425" spans="7:7" ht="12.75">
      <c r="G425" s="71"/>
    </row>
    <row r="426" spans="7:7" ht="12.75">
      <c r="G426" s="71"/>
    </row>
    <row r="427" spans="7:7" ht="12.75">
      <c r="G427" s="71"/>
    </row>
    <row r="428" spans="7:7" ht="12.75">
      <c r="G428" s="71"/>
    </row>
    <row r="429" spans="7:7" ht="12.75">
      <c r="G429" s="71"/>
    </row>
    <row r="430" spans="7:7" ht="12.75">
      <c r="G430" s="71"/>
    </row>
    <row r="431" spans="7:7" ht="12.75">
      <c r="G431" s="71"/>
    </row>
    <row r="432" spans="7:7" ht="12.75">
      <c r="G432" s="71"/>
    </row>
    <row r="433" spans="7:7" ht="12.75">
      <c r="G433" s="71"/>
    </row>
    <row r="434" spans="7:7" ht="12.75">
      <c r="G434" s="71"/>
    </row>
    <row r="435" spans="7:7" ht="12.75">
      <c r="G435" s="71"/>
    </row>
    <row r="436" spans="7:7" ht="12.75">
      <c r="G436" s="71"/>
    </row>
    <row r="437" spans="7:7" ht="12.75">
      <c r="G437" s="71"/>
    </row>
    <row r="438" spans="7:7" ht="12.75">
      <c r="G438" s="71"/>
    </row>
    <row r="439" spans="7:7" ht="12.75">
      <c r="G439" s="71"/>
    </row>
    <row r="440" spans="7:7" ht="12.75">
      <c r="G440" s="71"/>
    </row>
    <row r="441" spans="7:7" ht="12.75">
      <c r="G441" s="71"/>
    </row>
    <row r="442" spans="7:7" ht="12.75">
      <c r="G442" s="71"/>
    </row>
    <row r="443" spans="7:7" ht="12.75">
      <c r="G443" s="71"/>
    </row>
    <row r="444" spans="7:7" ht="12.75">
      <c r="G444" s="71"/>
    </row>
    <row r="445" spans="7:7" ht="12.75">
      <c r="G445" s="71"/>
    </row>
    <row r="446" spans="7:7" ht="12.75">
      <c r="G446" s="71"/>
    </row>
    <row r="447" spans="7:7" ht="12.75">
      <c r="G447" s="71"/>
    </row>
    <row r="448" spans="7:7" ht="12.75">
      <c r="G448" s="71"/>
    </row>
    <row r="449" spans="7:7" ht="12.75">
      <c r="G449" s="71"/>
    </row>
    <row r="450" spans="7:7" ht="12.75">
      <c r="G450" s="71"/>
    </row>
    <row r="451" spans="7:7" ht="12.75">
      <c r="G451" s="71"/>
    </row>
    <row r="452" spans="7:7" ht="12.75">
      <c r="G452" s="71"/>
    </row>
    <row r="453" spans="7:7" ht="12.75">
      <c r="G453" s="71"/>
    </row>
    <row r="454" spans="7:7" ht="12.75">
      <c r="G454" s="71"/>
    </row>
    <row r="455" spans="7:7" ht="12.75">
      <c r="G455" s="71"/>
    </row>
    <row r="456" spans="7:7" ht="12.75">
      <c r="G456" s="71"/>
    </row>
    <row r="457" spans="7:7" ht="12.75">
      <c r="G457" s="71"/>
    </row>
    <row r="458" spans="7:7" ht="12.75">
      <c r="G458" s="71"/>
    </row>
    <row r="459" spans="7:7" ht="12.75">
      <c r="G459" s="71"/>
    </row>
    <row r="460" spans="7:7" ht="12.75">
      <c r="G460" s="71"/>
    </row>
    <row r="461" spans="7:7" ht="12.75">
      <c r="G461" s="71"/>
    </row>
    <row r="462" spans="7:7" ht="12.75">
      <c r="G462" s="71"/>
    </row>
    <row r="463" spans="7:7" ht="12.75">
      <c r="G463" s="71"/>
    </row>
    <row r="464" spans="7:7" ht="12.75">
      <c r="G464" s="71"/>
    </row>
    <row r="465" spans="7:7" ht="12.75">
      <c r="G465" s="71"/>
    </row>
    <row r="466" spans="7:7" ht="12.75">
      <c r="G466" s="71"/>
    </row>
    <row r="467" spans="7:7" ht="12.75">
      <c r="G467" s="71"/>
    </row>
    <row r="468" spans="7:7" ht="12.75">
      <c r="G468" s="71"/>
    </row>
    <row r="469" spans="7:7" ht="12.75">
      <c r="G469" s="71"/>
    </row>
    <row r="470" spans="7:7" ht="12.75">
      <c r="G470" s="71"/>
    </row>
    <row r="471" spans="7:7" ht="12.75">
      <c r="G471" s="71"/>
    </row>
    <row r="472" spans="7:7" ht="12.75">
      <c r="G472" s="71"/>
    </row>
    <row r="473" spans="7:7" ht="12.75">
      <c r="G473" s="71"/>
    </row>
    <row r="474" spans="7:7" ht="12.75">
      <c r="G474" s="71"/>
    </row>
    <row r="475" spans="7:7" ht="12.75">
      <c r="G475" s="71"/>
    </row>
    <row r="476" spans="7:7" ht="12.75">
      <c r="G476" s="71"/>
    </row>
    <row r="477" spans="7:7" ht="12.75">
      <c r="G477" s="71"/>
    </row>
    <row r="478" spans="7:7" ht="12.75">
      <c r="G478" s="71"/>
    </row>
    <row r="479" spans="7:7" ht="12.75">
      <c r="G479" s="71"/>
    </row>
    <row r="480" spans="7:7" ht="12.75">
      <c r="G480" s="71"/>
    </row>
    <row r="481" spans="7:7" ht="12.75">
      <c r="G481" s="71"/>
    </row>
    <row r="482" spans="7:7" ht="12.75">
      <c r="G482" s="71"/>
    </row>
    <row r="483" spans="7:7" ht="12.75">
      <c r="G483" s="71"/>
    </row>
    <row r="484" spans="7:7" ht="12.75">
      <c r="G484" s="71"/>
    </row>
    <row r="485" spans="7:7" ht="12.75">
      <c r="G485" s="71"/>
    </row>
    <row r="486" spans="7:7" ht="12.75">
      <c r="G486" s="71"/>
    </row>
    <row r="487" spans="7:7" ht="12.75">
      <c r="G487" s="71"/>
    </row>
    <row r="488" spans="7:7" ht="12.75">
      <c r="G488" s="71"/>
    </row>
    <row r="489" spans="7:7" ht="12.75">
      <c r="G489" s="71"/>
    </row>
    <row r="490" spans="7:7" ht="12.75">
      <c r="G490" s="71"/>
    </row>
    <row r="491" spans="7:7" ht="12.75">
      <c r="G491" s="71"/>
    </row>
    <row r="492" spans="7:7" ht="12.75">
      <c r="G492" s="71"/>
    </row>
    <row r="493" spans="7:7" ht="12.75">
      <c r="G493" s="71"/>
    </row>
    <row r="494" spans="7:7" ht="12.75">
      <c r="G494" s="71"/>
    </row>
    <row r="495" spans="7:7" ht="12.75">
      <c r="G495" s="71"/>
    </row>
    <row r="496" spans="7:7" ht="12.75">
      <c r="G496" s="71"/>
    </row>
    <row r="497" spans="7:7" ht="12.75">
      <c r="G497" s="71"/>
    </row>
    <row r="498" spans="7:7" ht="12.75">
      <c r="G498" s="71"/>
    </row>
    <row r="499" spans="7:7" ht="12.75">
      <c r="G499" s="71"/>
    </row>
    <row r="500" spans="7:7" ht="12.75">
      <c r="G500" s="71"/>
    </row>
    <row r="501" spans="7:7" ht="12.75">
      <c r="G501" s="71"/>
    </row>
    <row r="502" spans="7:7" ht="12.75">
      <c r="G502" s="71"/>
    </row>
    <row r="503" spans="7:7" ht="12.75">
      <c r="G503" s="71"/>
    </row>
    <row r="504" spans="7:7" ht="12.75">
      <c r="G504" s="71"/>
    </row>
    <row r="505" spans="7:7" ht="12.75">
      <c r="G505" s="71"/>
    </row>
    <row r="506" spans="7:7" ht="12.75">
      <c r="G506" s="71"/>
    </row>
    <row r="507" spans="7:7" ht="12.75">
      <c r="G507" s="71"/>
    </row>
    <row r="508" spans="7:7" ht="12.75">
      <c r="G508" s="71"/>
    </row>
    <row r="509" spans="7:7" ht="12.75">
      <c r="G509" s="71"/>
    </row>
    <row r="510" spans="7:7" ht="12.75">
      <c r="G510" s="71"/>
    </row>
    <row r="511" spans="7:7" ht="12.75">
      <c r="G511" s="71"/>
    </row>
    <row r="512" spans="7:7" ht="12.75">
      <c r="G512" s="71"/>
    </row>
    <row r="513" spans="7:7" ht="12.75">
      <c r="G513" s="71"/>
    </row>
    <row r="514" spans="7:7" ht="12.75">
      <c r="G514" s="71"/>
    </row>
    <row r="515" spans="7:7" ht="12.75">
      <c r="G515" s="71"/>
    </row>
    <row r="516" spans="7:7" ht="12.75">
      <c r="G516" s="71"/>
    </row>
    <row r="517" spans="7:7" ht="12.75">
      <c r="G517" s="71"/>
    </row>
    <row r="518" spans="7:7" ht="12.75">
      <c r="G518" s="71"/>
    </row>
    <row r="519" spans="7:7" ht="12.75">
      <c r="G519" s="71"/>
    </row>
    <row r="520" spans="7:7" ht="12.75">
      <c r="G520" s="71"/>
    </row>
    <row r="521" spans="7:7" ht="12.75">
      <c r="G521" s="71"/>
    </row>
    <row r="522" spans="7:7" ht="12.75">
      <c r="G522" s="71"/>
    </row>
    <row r="523" spans="7:7" ht="12.75">
      <c r="G523" s="71"/>
    </row>
    <row r="524" spans="7:7" ht="12.75">
      <c r="G524" s="71"/>
    </row>
    <row r="525" spans="7:7" ht="12.75">
      <c r="G525" s="71"/>
    </row>
    <row r="526" spans="7:7" ht="12.75">
      <c r="G526" s="71"/>
    </row>
    <row r="527" spans="7:7" ht="12.75">
      <c r="G527" s="71"/>
    </row>
    <row r="528" spans="7:7" ht="12.75">
      <c r="G528" s="71"/>
    </row>
    <row r="529" spans="7:7" ht="12.75">
      <c r="G529" s="71"/>
    </row>
    <row r="530" spans="7:7" ht="12.75">
      <c r="G530" s="71"/>
    </row>
    <row r="531" spans="7:7" ht="12.75">
      <c r="G531" s="71"/>
    </row>
    <row r="532" spans="7:7" ht="12.75">
      <c r="G532" s="71"/>
    </row>
    <row r="533" spans="7:7" ht="12.75">
      <c r="G533" s="71"/>
    </row>
    <row r="534" spans="7:7" ht="12.75">
      <c r="G534" s="71"/>
    </row>
    <row r="535" spans="7:7" ht="12.75">
      <c r="G535" s="71"/>
    </row>
    <row r="536" spans="7:7" ht="12.75">
      <c r="G536" s="71"/>
    </row>
    <row r="537" spans="7:7" ht="12.75">
      <c r="G537" s="71"/>
    </row>
    <row r="538" spans="7:7" ht="12.75">
      <c r="G538" s="71"/>
    </row>
    <row r="539" spans="7:7" ht="12.75">
      <c r="G539" s="71"/>
    </row>
    <row r="540" spans="7:7" ht="12.75">
      <c r="G540" s="71"/>
    </row>
    <row r="541" spans="7:7" ht="12.75">
      <c r="G541" s="71"/>
    </row>
    <row r="542" spans="7:7" ht="12.75">
      <c r="G542" s="71"/>
    </row>
    <row r="543" spans="7:7" ht="12.75">
      <c r="G543" s="71"/>
    </row>
    <row r="544" spans="7:7" ht="12.75">
      <c r="G544" s="71"/>
    </row>
    <row r="545" spans="7:7" ht="12.75">
      <c r="G545" s="71"/>
    </row>
    <row r="546" spans="7:7" ht="12.75">
      <c r="G546" s="71"/>
    </row>
    <row r="547" spans="7:7" ht="12.75">
      <c r="G547" s="71"/>
    </row>
    <row r="548" spans="7:7" ht="12.75">
      <c r="G548" s="71"/>
    </row>
    <row r="549" spans="7:7" ht="12.75">
      <c r="G549" s="71"/>
    </row>
    <row r="550" spans="7:7" ht="12.75">
      <c r="G550" s="71"/>
    </row>
    <row r="551" spans="7:7" ht="12.75">
      <c r="G551" s="71"/>
    </row>
    <row r="552" spans="7:7" ht="12.75">
      <c r="G552" s="71"/>
    </row>
    <row r="553" spans="7:7" ht="12.75">
      <c r="G553" s="71"/>
    </row>
    <row r="554" spans="7:7" ht="12.75">
      <c r="G554" s="71"/>
    </row>
    <row r="555" spans="7:7" ht="12.75">
      <c r="G555" s="71"/>
    </row>
    <row r="556" spans="7:7" ht="12.75">
      <c r="G556" s="71"/>
    </row>
    <row r="557" spans="7:7" ht="12.75">
      <c r="G557" s="71"/>
    </row>
    <row r="558" spans="7:7" ht="12.75">
      <c r="G558" s="71"/>
    </row>
    <row r="559" spans="7:7" ht="12.75">
      <c r="G559" s="71"/>
    </row>
    <row r="560" spans="7:7" ht="12.75">
      <c r="G560" s="71"/>
    </row>
    <row r="561" spans="7:7" ht="12.75">
      <c r="G561" s="71"/>
    </row>
    <row r="562" spans="7:7" ht="12.75">
      <c r="G562" s="71"/>
    </row>
    <row r="563" spans="7:7" ht="12.75">
      <c r="G563" s="71"/>
    </row>
    <row r="564" spans="7:7" ht="12.75">
      <c r="G564" s="71"/>
    </row>
    <row r="565" spans="7:7" ht="12.75">
      <c r="G565" s="71"/>
    </row>
    <row r="566" spans="7:7" ht="12.75">
      <c r="G566" s="71"/>
    </row>
    <row r="567" spans="7:7" ht="12.75">
      <c r="G567" s="71"/>
    </row>
    <row r="568" spans="7:7" ht="12.75">
      <c r="G568" s="71"/>
    </row>
    <row r="569" spans="7:7" ht="12.75">
      <c r="G569" s="71"/>
    </row>
    <row r="570" spans="7:7" ht="12.75">
      <c r="G570" s="71"/>
    </row>
    <row r="571" spans="7:7" ht="12.75">
      <c r="G571" s="71"/>
    </row>
    <row r="572" spans="7:7" ht="12.75">
      <c r="G572" s="71"/>
    </row>
    <row r="573" spans="7:7" ht="12.75">
      <c r="G573" s="71"/>
    </row>
    <row r="574" spans="7:7" ht="12.75">
      <c r="G574" s="71"/>
    </row>
    <row r="575" spans="7:7" ht="12.75">
      <c r="G575" s="71"/>
    </row>
    <row r="576" spans="7:7" ht="12.75">
      <c r="G576" s="71"/>
    </row>
    <row r="577" spans="7:7" ht="12.75">
      <c r="G577" s="71"/>
    </row>
    <row r="578" spans="7:7" ht="12.75">
      <c r="G578" s="71"/>
    </row>
    <row r="579" spans="7:7" ht="12.75">
      <c r="G579" s="71"/>
    </row>
    <row r="580" spans="7:7" ht="12.75">
      <c r="G580" s="71"/>
    </row>
    <row r="581" spans="7:7" ht="12.75">
      <c r="G581" s="71"/>
    </row>
    <row r="582" spans="7:7" ht="12.75">
      <c r="G582" s="71"/>
    </row>
    <row r="583" spans="7:7" ht="12.75">
      <c r="G583" s="71"/>
    </row>
    <row r="584" spans="7:7" ht="12.75">
      <c r="G584" s="71"/>
    </row>
    <row r="585" spans="7:7" ht="12.75">
      <c r="G585" s="71"/>
    </row>
    <row r="586" spans="7:7" ht="12.75">
      <c r="G586" s="71"/>
    </row>
    <row r="587" spans="7:7" ht="12.75">
      <c r="G587" s="71"/>
    </row>
    <row r="588" spans="7:7" ht="12.75">
      <c r="G588" s="71"/>
    </row>
    <row r="589" spans="7:7" ht="12.75">
      <c r="G589" s="71"/>
    </row>
    <row r="590" spans="7:7" ht="12.75">
      <c r="G590" s="71"/>
    </row>
    <row r="591" spans="7:7" ht="12.75">
      <c r="G591" s="71"/>
    </row>
    <row r="592" spans="7:7" ht="12.75">
      <c r="G592" s="71"/>
    </row>
    <row r="593" spans="7:7" ht="12.75">
      <c r="G593" s="71"/>
    </row>
    <row r="594" spans="7:7" ht="12.75">
      <c r="G594" s="71"/>
    </row>
    <row r="595" spans="7:7" ht="12.75">
      <c r="G595" s="71"/>
    </row>
    <row r="596" spans="7:7" ht="12.75">
      <c r="G596" s="71"/>
    </row>
    <row r="597" spans="7:7" ht="12.75">
      <c r="G597" s="71"/>
    </row>
    <row r="598" spans="7:7" ht="12.75">
      <c r="G598" s="71"/>
    </row>
    <row r="599" spans="7:7" ht="12.75">
      <c r="G599" s="71"/>
    </row>
    <row r="600" spans="7:7" ht="12.75">
      <c r="G600" s="71"/>
    </row>
    <row r="601" spans="7:7" ht="12.75">
      <c r="G601" s="71"/>
    </row>
    <row r="602" spans="7:7" ht="12.75">
      <c r="G602" s="71"/>
    </row>
    <row r="603" spans="7:7" ht="12.75">
      <c r="G603" s="71"/>
    </row>
    <row r="604" spans="7:7" ht="12.75">
      <c r="G604" s="71"/>
    </row>
    <row r="605" spans="7:7" ht="12.75">
      <c r="G605" s="71"/>
    </row>
    <row r="606" spans="7:7" ht="12.75">
      <c r="G606" s="71"/>
    </row>
    <row r="607" spans="7:7" ht="12.75">
      <c r="G607" s="71"/>
    </row>
    <row r="608" spans="7:7" ht="12.75">
      <c r="G608" s="71"/>
    </row>
    <row r="609" spans="7:7" ht="12.75">
      <c r="G609" s="71"/>
    </row>
    <row r="610" spans="7:7" ht="12.75">
      <c r="G610" s="71"/>
    </row>
    <row r="611" spans="7:7" ht="12.75">
      <c r="G611" s="71"/>
    </row>
    <row r="612" spans="7:7" ht="12.75">
      <c r="G612" s="71"/>
    </row>
    <row r="613" spans="7:7" ht="12.75">
      <c r="G613" s="71"/>
    </row>
    <row r="614" spans="7:7" ht="12.75">
      <c r="G614" s="71"/>
    </row>
    <row r="615" spans="7:7" ht="12.75">
      <c r="G615" s="71"/>
    </row>
    <row r="616" spans="7:7" ht="12.75">
      <c r="G616" s="71"/>
    </row>
    <row r="617" spans="7:7" ht="12.75">
      <c r="G617" s="71"/>
    </row>
    <row r="618" spans="7:7" ht="12.75">
      <c r="G618" s="71"/>
    </row>
    <row r="619" spans="7:7" ht="12.75">
      <c r="G619" s="71"/>
    </row>
    <row r="620" spans="7:7" ht="12.75">
      <c r="G620" s="71"/>
    </row>
    <row r="621" spans="7:7" ht="12.75">
      <c r="G621" s="71"/>
    </row>
    <row r="622" spans="7:7" ht="12.75">
      <c r="G622" s="71"/>
    </row>
    <row r="623" spans="7:7" ht="12.75">
      <c r="G623" s="71"/>
    </row>
    <row r="624" spans="7:7" ht="12.75">
      <c r="G624" s="71"/>
    </row>
    <row r="625" spans="7:7" ht="12.75">
      <c r="G625" s="71"/>
    </row>
    <row r="626" spans="7:7" ht="12.75">
      <c r="G626" s="71"/>
    </row>
    <row r="627" spans="7:7" ht="12.75">
      <c r="G627" s="71"/>
    </row>
    <row r="628" spans="7:7" ht="12.75">
      <c r="G628" s="71"/>
    </row>
    <row r="629" spans="7:7" ht="12.75">
      <c r="G629" s="71"/>
    </row>
    <row r="630" spans="7:7" ht="12.75">
      <c r="G630" s="71"/>
    </row>
    <row r="631" spans="7:7" ht="12.75">
      <c r="G631" s="71"/>
    </row>
    <row r="632" spans="7:7" ht="12.75">
      <c r="G632" s="71"/>
    </row>
    <row r="633" spans="7:7" ht="12.75">
      <c r="G633" s="71"/>
    </row>
    <row r="634" spans="7:7" ht="12.75">
      <c r="G634" s="71"/>
    </row>
    <row r="635" spans="7:7" ht="12.75">
      <c r="G635" s="71"/>
    </row>
    <row r="636" spans="7:7" ht="12.75">
      <c r="G636" s="71"/>
    </row>
    <row r="637" spans="7:7" ht="12.75">
      <c r="G637" s="71"/>
    </row>
    <row r="638" spans="7:7" ht="12.75">
      <c r="G638" s="71"/>
    </row>
    <row r="639" spans="7:7" ht="12.75">
      <c r="G639" s="71"/>
    </row>
    <row r="640" spans="7:7" ht="12.75">
      <c r="G640" s="71"/>
    </row>
    <row r="641" spans="7:7" ht="12.75">
      <c r="G641" s="71"/>
    </row>
    <row r="642" spans="7:7" ht="12.75">
      <c r="G642" s="71"/>
    </row>
    <row r="643" spans="7:7" ht="12.75">
      <c r="G643" s="71"/>
    </row>
    <row r="644" spans="7:7" ht="12.75">
      <c r="G644" s="71"/>
    </row>
    <row r="645" spans="7:7" ht="12.75">
      <c r="G645" s="71"/>
    </row>
    <row r="646" spans="7:7" ht="12.75">
      <c r="G646" s="71"/>
    </row>
    <row r="647" spans="7:7" ht="12.75">
      <c r="G647" s="71"/>
    </row>
    <row r="648" spans="7:7" ht="12.75">
      <c r="G648" s="71"/>
    </row>
    <row r="649" spans="7:7" ht="12.75">
      <c r="G649" s="71"/>
    </row>
    <row r="650" spans="7:7" ht="12.75">
      <c r="G650" s="71"/>
    </row>
    <row r="651" spans="7:7" ht="12.75">
      <c r="G651" s="71"/>
    </row>
    <row r="652" spans="7:7" ht="12.75">
      <c r="G652" s="71"/>
    </row>
    <row r="653" spans="7:7" ht="12.75">
      <c r="G653" s="71"/>
    </row>
    <row r="654" spans="7:7" ht="12.75">
      <c r="G654" s="71"/>
    </row>
    <row r="655" spans="7:7" ht="12.75">
      <c r="G655" s="71"/>
    </row>
    <row r="656" spans="7:7" ht="12.75">
      <c r="G656" s="71"/>
    </row>
    <row r="657" spans="7:7" ht="12.75">
      <c r="G657" s="71"/>
    </row>
    <row r="658" spans="7:7" ht="12.75">
      <c r="G658" s="71"/>
    </row>
    <row r="659" spans="7:7" ht="12.75">
      <c r="G659" s="71"/>
    </row>
    <row r="660" spans="7:7" ht="12.75">
      <c r="G660" s="71"/>
    </row>
    <row r="661" spans="7:7" ht="12.75">
      <c r="G661" s="71"/>
    </row>
    <row r="662" spans="7:7" ht="12.75">
      <c r="G662" s="71"/>
    </row>
    <row r="663" spans="7:7" ht="12.75">
      <c r="G663" s="71"/>
    </row>
    <row r="664" spans="7:7" ht="12.75">
      <c r="G664" s="71"/>
    </row>
    <row r="665" spans="7:7" ht="12.75">
      <c r="G665" s="71"/>
    </row>
    <row r="666" spans="7:7" ht="12.75">
      <c r="G666" s="71"/>
    </row>
    <row r="667" spans="7:7" ht="12.75">
      <c r="G667" s="71"/>
    </row>
    <row r="668" spans="7:7" ht="12.75">
      <c r="G668" s="71"/>
    </row>
    <row r="669" spans="7:7" ht="12.75">
      <c r="G669" s="71"/>
    </row>
    <row r="670" spans="7:7" ht="12.75">
      <c r="G670" s="71"/>
    </row>
    <row r="671" spans="7:7" ht="12.75">
      <c r="G671" s="71"/>
    </row>
    <row r="672" spans="7:7" ht="12.75">
      <c r="G672" s="71"/>
    </row>
    <row r="673" spans="7:7" ht="12.75">
      <c r="G673" s="71"/>
    </row>
    <row r="674" spans="7:7" ht="12.75">
      <c r="G674" s="71"/>
    </row>
    <row r="675" spans="7:7" ht="12.75">
      <c r="G675" s="71"/>
    </row>
    <row r="676" spans="7:7" ht="12.75">
      <c r="G676" s="71"/>
    </row>
    <row r="677" spans="7:7" ht="12.75">
      <c r="G677" s="71"/>
    </row>
    <row r="678" spans="7:7" ht="12.75">
      <c r="G678" s="71"/>
    </row>
    <row r="679" spans="7:7" ht="12.75">
      <c r="G679" s="71"/>
    </row>
    <row r="680" spans="7:7" ht="12.75">
      <c r="G680" s="71"/>
    </row>
    <row r="681" spans="7:7" ht="12.75">
      <c r="G681" s="71"/>
    </row>
    <row r="682" spans="7:7" ht="12.75">
      <c r="G682" s="71"/>
    </row>
    <row r="683" spans="7:7" ht="12.75">
      <c r="G683" s="71"/>
    </row>
    <row r="684" spans="7:7" ht="12.75">
      <c r="G684" s="71"/>
    </row>
    <row r="685" spans="7:7" ht="12.75">
      <c r="G685" s="71"/>
    </row>
    <row r="686" spans="7:7" ht="12.75">
      <c r="G686" s="71"/>
    </row>
    <row r="687" spans="7:7" ht="12.75">
      <c r="G687" s="71"/>
    </row>
    <row r="688" spans="7:7" ht="12.75">
      <c r="G688" s="71"/>
    </row>
    <row r="689" spans="7:7" ht="12.75">
      <c r="G689" s="71"/>
    </row>
    <row r="690" spans="7:7" ht="12.75">
      <c r="G690" s="71"/>
    </row>
    <row r="691" spans="7:7" ht="12.75">
      <c r="G691" s="71"/>
    </row>
    <row r="692" spans="7:7" ht="12.75">
      <c r="G692" s="71"/>
    </row>
    <row r="693" spans="7:7" ht="12.75">
      <c r="G693" s="71"/>
    </row>
    <row r="694" spans="7:7" ht="12.75">
      <c r="G694" s="71"/>
    </row>
    <row r="695" spans="7:7" ht="12.75">
      <c r="G695" s="71"/>
    </row>
    <row r="696" spans="7:7" ht="12.75">
      <c r="G696" s="71"/>
    </row>
    <row r="697" spans="7:7" ht="12.75">
      <c r="G697" s="71"/>
    </row>
    <row r="698" spans="7:7" ht="12.75">
      <c r="G698" s="71"/>
    </row>
    <row r="699" spans="7:7" ht="12.75">
      <c r="G699" s="71"/>
    </row>
    <row r="700" spans="7:7" ht="12.75">
      <c r="G700" s="71"/>
    </row>
    <row r="701" spans="7:7" ht="12.75">
      <c r="G701" s="71"/>
    </row>
    <row r="702" spans="7:7" ht="12.75">
      <c r="G702" s="71"/>
    </row>
    <row r="703" spans="7:7" ht="12.75">
      <c r="G703" s="71"/>
    </row>
    <row r="704" spans="7:7" ht="12.75">
      <c r="G704" s="71"/>
    </row>
    <row r="705" spans="7:7" ht="12.75">
      <c r="G705" s="71"/>
    </row>
    <row r="706" spans="7:7" ht="12.75">
      <c r="G706" s="71"/>
    </row>
    <row r="707" spans="7:7" ht="12.75">
      <c r="G707" s="71"/>
    </row>
    <row r="708" spans="7:7" ht="12.75">
      <c r="G708" s="71"/>
    </row>
    <row r="709" spans="7:7" ht="12.75">
      <c r="G709" s="71"/>
    </row>
    <row r="710" spans="7:7" ht="12.75">
      <c r="G710" s="71"/>
    </row>
    <row r="711" spans="7:7" ht="12.75">
      <c r="G711" s="71"/>
    </row>
    <row r="712" spans="7:7" ht="12.75">
      <c r="G712" s="71"/>
    </row>
    <row r="713" spans="7:7" ht="12.75">
      <c r="G713" s="71"/>
    </row>
    <row r="714" spans="7:7" ht="12.75">
      <c r="G714" s="71"/>
    </row>
    <row r="715" spans="7:7" ht="12.75">
      <c r="G715" s="71"/>
    </row>
    <row r="716" spans="7:7" ht="12.75">
      <c r="G716" s="71"/>
    </row>
    <row r="717" spans="7:7" ht="12.75">
      <c r="G717" s="71"/>
    </row>
    <row r="718" spans="7:7" ht="12.75">
      <c r="G718" s="71"/>
    </row>
    <row r="719" spans="7:7" ht="12.75">
      <c r="G719" s="71"/>
    </row>
    <row r="720" spans="7:7" ht="12.75">
      <c r="G720" s="71"/>
    </row>
    <row r="721" spans="7:7" ht="12.75">
      <c r="G721" s="71"/>
    </row>
    <row r="722" spans="7:7" ht="12.75">
      <c r="G722" s="71"/>
    </row>
    <row r="723" spans="7:7" ht="12.75">
      <c r="G723" s="71"/>
    </row>
    <row r="724" spans="7:7" ht="12.75">
      <c r="G724" s="71"/>
    </row>
    <row r="725" spans="7:7" ht="12.75">
      <c r="G725" s="71"/>
    </row>
    <row r="726" spans="7:7" ht="12.75">
      <c r="G726" s="71"/>
    </row>
    <row r="727" spans="7:7" ht="12.75">
      <c r="G727" s="71"/>
    </row>
    <row r="728" spans="7:7" ht="12.75">
      <c r="G728" s="71"/>
    </row>
    <row r="729" spans="7:7" ht="12.75">
      <c r="G729" s="71"/>
    </row>
    <row r="730" spans="7:7" ht="12.75">
      <c r="G730" s="71"/>
    </row>
    <row r="731" spans="7:7" ht="12.75">
      <c r="G731" s="71"/>
    </row>
    <row r="732" spans="7:7" ht="12.75">
      <c r="G732" s="71"/>
    </row>
    <row r="733" spans="7:7" ht="12.75">
      <c r="G733" s="71"/>
    </row>
    <row r="734" spans="7:7" ht="12.75">
      <c r="G734" s="71"/>
    </row>
    <row r="735" spans="7:7" ht="12.75">
      <c r="G735" s="71"/>
    </row>
    <row r="736" spans="7:7" ht="12.75">
      <c r="G736" s="71"/>
    </row>
    <row r="737" spans="7:7" ht="12.75">
      <c r="G737" s="71"/>
    </row>
    <row r="738" spans="7:7" ht="12.75">
      <c r="G738" s="71"/>
    </row>
    <row r="739" spans="7:7" ht="12.75">
      <c r="G739" s="71"/>
    </row>
    <row r="740" spans="7:7" ht="12.75">
      <c r="G740" s="71"/>
    </row>
    <row r="741" spans="7:7" ht="12.75">
      <c r="G741" s="71"/>
    </row>
    <row r="742" spans="7:7" ht="12.75">
      <c r="G742" s="71"/>
    </row>
    <row r="743" spans="7:7" ht="12.75">
      <c r="G743" s="71"/>
    </row>
    <row r="744" spans="7:7" ht="12.75">
      <c r="G744" s="71"/>
    </row>
    <row r="745" spans="7:7" ht="12.75">
      <c r="G745" s="71"/>
    </row>
    <row r="746" spans="7:7" ht="12.75">
      <c r="G746" s="71"/>
    </row>
    <row r="747" spans="7:7" ht="12.75">
      <c r="G747" s="71"/>
    </row>
    <row r="748" spans="7:7" ht="12.75">
      <c r="G748" s="71"/>
    </row>
    <row r="749" spans="7:7" ht="12.75">
      <c r="G749" s="71"/>
    </row>
    <row r="750" spans="7:7" ht="12.75">
      <c r="G750" s="71"/>
    </row>
    <row r="751" spans="7:7" ht="12.75">
      <c r="G751" s="71"/>
    </row>
    <row r="752" spans="7:7" ht="12.75">
      <c r="G752" s="71"/>
    </row>
    <row r="753" spans="7:7" ht="12.75">
      <c r="G753" s="71"/>
    </row>
    <row r="754" spans="7:7" ht="12.75">
      <c r="G754" s="71"/>
    </row>
    <row r="755" spans="7:7" ht="12.75">
      <c r="G755" s="71"/>
    </row>
    <row r="756" spans="7:7" ht="12.75">
      <c r="G756" s="71"/>
    </row>
    <row r="757" spans="7:7" ht="12.75">
      <c r="G757" s="71"/>
    </row>
    <row r="758" spans="7:7" ht="12.75">
      <c r="G758" s="71"/>
    </row>
    <row r="759" spans="7:7" ht="12.75">
      <c r="G759" s="71"/>
    </row>
    <row r="760" spans="7:7" ht="12.75">
      <c r="G760" s="71"/>
    </row>
    <row r="761" spans="7:7" ht="12.75">
      <c r="G761" s="71"/>
    </row>
    <row r="762" spans="7:7" ht="12.75">
      <c r="G762" s="71"/>
    </row>
    <row r="763" spans="7:7" ht="12.75">
      <c r="G763" s="71"/>
    </row>
    <row r="764" spans="7:7" ht="12.75">
      <c r="G764" s="71"/>
    </row>
    <row r="765" spans="7:7" ht="12.75">
      <c r="G765" s="71"/>
    </row>
    <row r="766" spans="7:7" ht="12.75">
      <c r="G766" s="71"/>
    </row>
    <row r="767" spans="7:7" ht="12.75">
      <c r="G767" s="71"/>
    </row>
    <row r="768" spans="7:7" ht="12.75">
      <c r="G768" s="71"/>
    </row>
    <row r="769" spans="7:7" ht="12.75">
      <c r="G769" s="71"/>
    </row>
    <row r="770" spans="7:7" ht="12.75">
      <c r="G770" s="71"/>
    </row>
    <row r="771" spans="7:7" ht="12.75">
      <c r="G771" s="71"/>
    </row>
    <row r="772" spans="7:7" ht="12.75">
      <c r="G772" s="71"/>
    </row>
    <row r="773" spans="7:7" ht="12.75">
      <c r="G773" s="71"/>
    </row>
    <row r="774" spans="7:7" ht="12.75">
      <c r="G774" s="71"/>
    </row>
    <row r="775" spans="7:7" ht="12.75">
      <c r="G775" s="71"/>
    </row>
    <row r="776" spans="7:7" ht="12.75">
      <c r="G776" s="71"/>
    </row>
    <row r="777" spans="7:7" ht="12.75">
      <c r="G777" s="71"/>
    </row>
    <row r="778" spans="7:7" ht="12.75">
      <c r="G778" s="71"/>
    </row>
    <row r="779" spans="7:7" ht="12.75">
      <c r="G779" s="71"/>
    </row>
    <row r="780" spans="7:7" ht="12.75">
      <c r="G780" s="71"/>
    </row>
    <row r="781" spans="7:7" ht="12.75">
      <c r="G781" s="71"/>
    </row>
    <row r="782" spans="7:7" ht="12.75">
      <c r="G782" s="71"/>
    </row>
    <row r="783" spans="7:7" ht="12.75">
      <c r="G783" s="71"/>
    </row>
    <row r="784" spans="7:7" ht="12.75">
      <c r="G784" s="71"/>
    </row>
    <row r="785" spans="7:7" ht="12.75">
      <c r="G785" s="71"/>
    </row>
    <row r="786" spans="7:7" ht="12.75">
      <c r="G786" s="71"/>
    </row>
    <row r="787" spans="7:7" ht="12.75">
      <c r="G787" s="71"/>
    </row>
    <row r="788" spans="7:7" ht="12.75">
      <c r="G788" s="71"/>
    </row>
    <row r="789" spans="7:7" ht="12.75">
      <c r="G789" s="71"/>
    </row>
    <row r="790" spans="7:7" ht="12.75">
      <c r="G790" s="71"/>
    </row>
    <row r="791" spans="7:7" ht="12.75">
      <c r="G791" s="71"/>
    </row>
    <row r="792" spans="7:7" ht="12.75">
      <c r="G792" s="71"/>
    </row>
    <row r="793" spans="7:7" ht="12.75">
      <c r="G793" s="71"/>
    </row>
    <row r="794" spans="7:7" ht="12.75">
      <c r="G794" s="71"/>
    </row>
    <row r="795" spans="7:7" ht="12.75">
      <c r="G795" s="71"/>
    </row>
    <row r="796" spans="7:7" ht="12.75">
      <c r="G796" s="71"/>
    </row>
    <row r="797" spans="7:7" ht="12.75">
      <c r="G797" s="71"/>
    </row>
    <row r="798" spans="7:7" ht="12.75">
      <c r="G798" s="71"/>
    </row>
    <row r="799" spans="7:7" ht="12.75">
      <c r="G799" s="71"/>
    </row>
    <row r="800" spans="7:7" ht="12.75">
      <c r="G800" s="71"/>
    </row>
    <row r="801" spans="7:7" ht="12.75">
      <c r="G801" s="71"/>
    </row>
    <row r="802" spans="7:7" ht="12.75">
      <c r="G802" s="71"/>
    </row>
    <row r="803" spans="7:7" ht="12.75">
      <c r="G803" s="71"/>
    </row>
    <row r="804" spans="7:7" ht="12.75">
      <c r="G804" s="71"/>
    </row>
    <row r="805" spans="7:7" ht="12.75">
      <c r="G805" s="71"/>
    </row>
    <row r="806" spans="7:7" ht="12.75">
      <c r="G806" s="71"/>
    </row>
    <row r="807" spans="7:7" ht="12.75">
      <c r="G807" s="71"/>
    </row>
    <row r="808" spans="7:7" ht="12.75">
      <c r="G808" s="71"/>
    </row>
    <row r="809" spans="7:7" ht="12.75">
      <c r="G809" s="71"/>
    </row>
    <row r="810" spans="7:7" ht="12.75">
      <c r="G810" s="71"/>
    </row>
    <row r="811" spans="7:7" ht="12.75">
      <c r="G811" s="71"/>
    </row>
    <row r="812" spans="7:7" ht="12.75">
      <c r="G812" s="71"/>
    </row>
    <row r="813" spans="7:7" ht="12.75">
      <c r="G813" s="71"/>
    </row>
    <row r="814" spans="7:7" ht="12.75">
      <c r="G814" s="71"/>
    </row>
    <row r="815" spans="7:7" ht="12.75">
      <c r="G815" s="71"/>
    </row>
    <row r="816" spans="7:7" ht="12.75">
      <c r="G816" s="71"/>
    </row>
    <row r="817" spans="7:7" ht="12.75">
      <c r="G817" s="71"/>
    </row>
    <row r="818" spans="7:7" ht="12.75">
      <c r="G818" s="71"/>
    </row>
    <row r="819" spans="7:7" ht="12.75">
      <c r="G819" s="71"/>
    </row>
    <row r="820" spans="7:7" ht="12.75">
      <c r="G820" s="71"/>
    </row>
    <row r="821" spans="7:7" ht="12.75">
      <c r="G821" s="71"/>
    </row>
    <row r="822" spans="7:7" ht="12.75">
      <c r="G822" s="71"/>
    </row>
    <row r="823" spans="7:7" ht="12.75">
      <c r="G823" s="71"/>
    </row>
    <row r="824" spans="7:7" ht="12.75">
      <c r="G824" s="71"/>
    </row>
    <row r="825" spans="7:7" ht="12.75">
      <c r="G825" s="71"/>
    </row>
    <row r="826" spans="7:7" ht="12.75">
      <c r="G826" s="71"/>
    </row>
    <row r="827" spans="7:7" ht="12.75">
      <c r="G827" s="71"/>
    </row>
    <row r="828" spans="7:7" ht="12.75">
      <c r="G828" s="71"/>
    </row>
    <row r="829" spans="7:7" ht="12.75">
      <c r="G829" s="71"/>
    </row>
    <row r="830" spans="7:7" ht="12.75">
      <c r="G830" s="71"/>
    </row>
    <row r="831" spans="7:7" ht="12.75">
      <c r="G831" s="71"/>
    </row>
    <row r="832" spans="7:7" ht="12.75">
      <c r="G832" s="71"/>
    </row>
    <row r="833" spans="7:7" ht="12.75">
      <c r="G833" s="71"/>
    </row>
    <row r="834" spans="7:7" ht="12.75">
      <c r="G834" s="71"/>
    </row>
    <row r="835" spans="7:7" ht="12.75">
      <c r="G835" s="71"/>
    </row>
    <row r="836" spans="7:7" ht="12.75">
      <c r="G836" s="71"/>
    </row>
    <row r="837" spans="7:7" ht="12.75">
      <c r="G837" s="71"/>
    </row>
    <row r="838" spans="7:7" ht="12.75">
      <c r="G838" s="71"/>
    </row>
    <row r="839" spans="7:7" ht="12.75">
      <c r="G839" s="71"/>
    </row>
    <row r="840" spans="7:7" ht="12.75">
      <c r="G840" s="71"/>
    </row>
    <row r="841" spans="7:7" ht="12.75">
      <c r="G841" s="71"/>
    </row>
    <row r="842" spans="7:7" ht="12.75">
      <c r="G842" s="71"/>
    </row>
    <row r="843" spans="7:7" ht="12.75">
      <c r="G843" s="71"/>
    </row>
    <row r="844" spans="7:7" ht="12.75">
      <c r="G844" s="71"/>
    </row>
    <row r="845" spans="7:7" ht="12.75">
      <c r="G845" s="71"/>
    </row>
    <row r="846" spans="7:7" ht="12.75">
      <c r="G846" s="71"/>
    </row>
    <row r="847" spans="7:7" ht="12.75">
      <c r="G847" s="71"/>
    </row>
    <row r="848" spans="7:7" ht="12.75">
      <c r="G848" s="71"/>
    </row>
    <row r="849" spans="7:7" ht="12.75">
      <c r="G849" s="71"/>
    </row>
    <row r="850" spans="7:7" ht="12.75">
      <c r="G850" s="71"/>
    </row>
    <row r="851" spans="7:7" ht="12.75">
      <c r="G851" s="71"/>
    </row>
    <row r="852" spans="7:7" ht="12.75">
      <c r="G852" s="71"/>
    </row>
    <row r="853" spans="7:7" ht="12.75">
      <c r="G853" s="71"/>
    </row>
    <row r="854" spans="7:7" ht="12.75">
      <c r="G854" s="71"/>
    </row>
    <row r="855" spans="7:7" ht="12.75">
      <c r="G855" s="71"/>
    </row>
    <row r="856" spans="7:7" ht="12.75">
      <c r="G856" s="71"/>
    </row>
    <row r="857" spans="7:7" ht="12.75">
      <c r="G857" s="71"/>
    </row>
    <row r="858" spans="7:7" ht="12.75">
      <c r="G858" s="71"/>
    </row>
    <row r="859" spans="7:7" ht="12.75">
      <c r="G859" s="71"/>
    </row>
    <row r="860" spans="7:7" ht="12.75">
      <c r="G860" s="71"/>
    </row>
    <row r="861" spans="7:7" ht="12.75">
      <c r="G861" s="71"/>
    </row>
    <row r="862" spans="7:7" ht="12.75">
      <c r="G862" s="71"/>
    </row>
    <row r="863" spans="7:7" ht="12.75">
      <c r="G863" s="71"/>
    </row>
    <row r="864" spans="7:7" ht="12.75">
      <c r="G864" s="71"/>
    </row>
    <row r="865" spans="7:7" ht="12.75">
      <c r="G865" s="71"/>
    </row>
    <row r="866" spans="7:7" ht="12.75">
      <c r="G866" s="71"/>
    </row>
    <row r="867" spans="7:7" ht="12.75">
      <c r="G867" s="71"/>
    </row>
    <row r="868" spans="7:7" ht="12.75">
      <c r="G868" s="71"/>
    </row>
    <row r="869" spans="7:7" ht="12.75">
      <c r="G869" s="71"/>
    </row>
    <row r="870" spans="7:7" ht="12.75">
      <c r="G870" s="71"/>
    </row>
    <row r="871" spans="7:7" ht="12.75">
      <c r="G871" s="71"/>
    </row>
    <row r="872" spans="7:7" ht="12.75">
      <c r="G872" s="71"/>
    </row>
    <row r="873" spans="7:7" ht="12.75">
      <c r="G873" s="71"/>
    </row>
    <row r="874" spans="7:7" ht="12.75">
      <c r="G874" s="71"/>
    </row>
    <row r="875" spans="7:7" ht="12.75">
      <c r="G875" s="71"/>
    </row>
    <row r="876" spans="7:7" ht="12.75">
      <c r="G876" s="71"/>
    </row>
    <row r="877" spans="7:7" ht="12.75">
      <c r="G877" s="71"/>
    </row>
    <row r="878" spans="7:7" ht="12.75">
      <c r="G878" s="71"/>
    </row>
    <row r="879" spans="7:7" ht="12.75">
      <c r="G879" s="71"/>
    </row>
    <row r="880" spans="7:7" ht="12.75">
      <c r="G880" s="71"/>
    </row>
    <row r="881" spans="7:7" ht="12.75">
      <c r="G881" s="71"/>
    </row>
    <row r="882" spans="7:7" ht="12.75">
      <c r="G882" s="71"/>
    </row>
    <row r="883" spans="7:7" ht="12.75">
      <c r="G883" s="71"/>
    </row>
    <row r="884" spans="7:7" ht="12.75">
      <c r="G884" s="71"/>
    </row>
    <row r="885" spans="7:7" ht="12.75">
      <c r="G885" s="71"/>
    </row>
    <row r="886" spans="7:7" ht="12.75">
      <c r="G886" s="71"/>
    </row>
    <row r="887" spans="7:7" ht="12.75">
      <c r="G887" s="71"/>
    </row>
    <row r="888" spans="7:7" ht="12.75">
      <c r="G888" s="71"/>
    </row>
    <row r="889" spans="7:7" ht="12.75">
      <c r="G889" s="71"/>
    </row>
    <row r="890" spans="7:7" ht="12.75">
      <c r="G890" s="71"/>
    </row>
    <row r="891" spans="7:7" ht="12.75">
      <c r="G891" s="71"/>
    </row>
    <row r="892" spans="7:7" ht="12.75">
      <c r="G892" s="71"/>
    </row>
    <row r="893" spans="7:7" ht="12.75">
      <c r="G893" s="71"/>
    </row>
    <row r="894" spans="7:7" ht="12.75">
      <c r="G894" s="71"/>
    </row>
    <row r="895" spans="7:7" ht="12.75">
      <c r="G895" s="71"/>
    </row>
    <row r="896" spans="7:7" ht="12.75">
      <c r="G896" s="71"/>
    </row>
    <row r="897" spans="7:7" ht="12.75">
      <c r="G897" s="71"/>
    </row>
    <row r="898" spans="7:7" ht="12.75">
      <c r="G898" s="71"/>
    </row>
    <row r="899" spans="7:7" ht="12.75">
      <c r="G899" s="71"/>
    </row>
    <row r="900" spans="7:7" ht="12.75">
      <c r="G900" s="71"/>
    </row>
    <row r="901" spans="7:7" ht="12.75">
      <c r="G901" s="71"/>
    </row>
    <row r="902" spans="7:7" ht="12.75">
      <c r="G902" s="71"/>
    </row>
    <row r="903" spans="7:7" ht="12.75">
      <c r="G903" s="71"/>
    </row>
    <row r="904" spans="7:7" ht="12.75">
      <c r="G904" s="71"/>
    </row>
    <row r="905" spans="7:7" ht="12.75">
      <c r="G905" s="71"/>
    </row>
    <row r="906" spans="7:7" ht="12.75">
      <c r="G906" s="71"/>
    </row>
    <row r="907" spans="7:7" ht="12.75">
      <c r="G907" s="71"/>
    </row>
    <row r="908" spans="7:7" ht="12.75">
      <c r="G908" s="71"/>
    </row>
    <row r="909" spans="7:7" ht="12.75">
      <c r="G909" s="71"/>
    </row>
    <row r="910" spans="7:7" ht="12.75">
      <c r="G910" s="71"/>
    </row>
    <row r="911" spans="7:7" ht="12.75">
      <c r="G911" s="71"/>
    </row>
    <row r="912" spans="7:7" ht="12.75">
      <c r="G912" s="71"/>
    </row>
    <row r="913" spans="7:7" ht="12.75">
      <c r="G913" s="71"/>
    </row>
    <row r="914" spans="7:7" ht="12.75">
      <c r="G914" s="71"/>
    </row>
    <row r="915" spans="7:7" ht="12.75">
      <c r="G915" s="71"/>
    </row>
    <row r="916" spans="7:7" ht="12.75">
      <c r="G916" s="71"/>
    </row>
    <row r="917" spans="7:7" ht="12.75">
      <c r="G917" s="71"/>
    </row>
    <row r="918" spans="7:7" ht="12.75">
      <c r="G918" s="71"/>
    </row>
    <row r="919" spans="7:7" ht="12.75">
      <c r="G919" s="71"/>
    </row>
    <row r="920" spans="7:7" ht="12.75">
      <c r="G920" s="71"/>
    </row>
    <row r="921" spans="7:7" ht="12.75">
      <c r="G921" s="71"/>
    </row>
    <row r="922" spans="7:7" ht="12.75">
      <c r="G922" s="71"/>
    </row>
    <row r="923" spans="7:7" ht="12.75">
      <c r="G923" s="71"/>
    </row>
    <row r="924" spans="7:7" ht="12.75">
      <c r="G924" s="71"/>
    </row>
    <row r="925" spans="7:7" ht="12.75">
      <c r="G925" s="71"/>
    </row>
    <row r="926" spans="7:7" ht="12.75">
      <c r="G926" s="71"/>
    </row>
    <row r="927" spans="7:7" ht="12.75">
      <c r="G927" s="71"/>
    </row>
    <row r="928" spans="7:7" ht="12.75">
      <c r="G928" s="71"/>
    </row>
    <row r="929" spans="7:7" ht="12.75">
      <c r="G929" s="71"/>
    </row>
    <row r="930" spans="7:7" ht="12.75">
      <c r="G930" s="71"/>
    </row>
    <row r="931" spans="7:7" ht="12.75">
      <c r="G931" s="71"/>
    </row>
    <row r="932" spans="7:7" ht="12.75">
      <c r="G932" s="71"/>
    </row>
    <row r="933" spans="7:7" ht="12.75">
      <c r="G933" s="71"/>
    </row>
    <row r="934" spans="7:7" ht="12.75">
      <c r="G934" s="71"/>
    </row>
    <row r="935" spans="7:7" ht="12.75">
      <c r="G935" s="71"/>
    </row>
    <row r="936" spans="7:7" ht="12.75">
      <c r="G936" s="71"/>
    </row>
    <row r="937" spans="7:7" ht="12.75">
      <c r="G937" s="71"/>
    </row>
    <row r="938" spans="7:7" ht="12.75">
      <c r="G938" s="71"/>
    </row>
    <row r="939" spans="7:7" ht="12.75">
      <c r="G939" s="71"/>
    </row>
    <row r="940" spans="7:7" ht="12.75">
      <c r="G940" s="71"/>
    </row>
    <row r="941" spans="7:7" ht="12.75">
      <c r="G941" s="71"/>
    </row>
    <row r="942" spans="7:7" ht="12.75">
      <c r="G942" s="71"/>
    </row>
    <row r="943" spans="7:7" ht="12.75">
      <c r="G943" s="71"/>
    </row>
    <row r="944" spans="7:7" ht="12.75">
      <c r="G944" s="71"/>
    </row>
    <row r="945" spans="7:7" ht="12.75">
      <c r="G945" s="71"/>
    </row>
    <row r="946" spans="7:7" ht="12.75">
      <c r="G946" s="71"/>
    </row>
    <row r="947" spans="7:7" ht="12.75">
      <c r="G947" s="71"/>
    </row>
    <row r="948" spans="7:7" ht="12.75">
      <c r="G948" s="71"/>
    </row>
    <row r="949" spans="7:7" ht="12.75">
      <c r="G949" s="71"/>
    </row>
    <row r="950" spans="7:7" ht="12.75">
      <c r="G950" s="71"/>
    </row>
    <row r="951" spans="7:7" ht="12.75">
      <c r="G951" s="71"/>
    </row>
    <row r="952" spans="7:7" ht="12.75">
      <c r="G952" s="71"/>
    </row>
    <row r="953" spans="7:7" ht="12.75">
      <c r="G953" s="71"/>
    </row>
    <row r="954" spans="7:7" ht="12.75">
      <c r="G954" s="71"/>
    </row>
    <row r="955" spans="7:7" ht="12.75">
      <c r="G955" s="71"/>
    </row>
    <row r="956" spans="7:7" ht="12.75">
      <c r="G956" s="71"/>
    </row>
    <row r="957" spans="7:7" ht="12.75">
      <c r="G957" s="71"/>
    </row>
    <row r="958" spans="7:7" ht="12.75">
      <c r="G958" s="71"/>
    </row>
    <row r="959" spans="7:7" ht="12.75">
      <c r="G959" s="71"/>
    </row>
    <row r="960" spans="7:7" ht="12.75">
      <c r="G960" s="71"/>
    </row>
    <row r="961" spans="7:7" ht="12.75">
      <c r="G961" s="71"/>
    </row>
  </sheetData>
  <mergeCells count="3">
    <mergeCell ref="D1:G1"/>
    <mergeCell ref="D2:G2"/>
    <mergeCell ref="D3:G3"/>
  </mergeCells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O24"/>
  <sheetViews>
    <sheetView showGridLines="0" topLeftCell="B12" workbookViewId="0">
      <selection activeCell="D34" sqref="D34"/>
    </sheetView>
  </sheetViews>
  <sheetFormatPr baseColWidth="10" defaultColWidth="10.28515625" defaultRowHeight="12.75"/>
  <cols>
    <col min="1" max="1" width="3.7109375" style="6" customWidth="1"/>
    <col min="2" max="2" width="17.85546875" style="71" customWidth="1"/>
    <col min="3" max="3" width="42.28515625" style="71" customWidth="1"/>
    <col min="4" max="4" width="56" style="71" customWidth="1"/>
    <col min="5" max="5" width="33.28515625" style="71" customWidth="1"/>
    <col min="6" max="6" width="40.28515625" style="71" customWidth="1"/>
    <col min="7" max="7" width="43" style="71" customWidth="1"/>
    <col min="8" max="8" width="40.7109375" style="71" customWidth="1"/>
    <col min="9" max="9" width="31.28515625" style="71" customWidth="1"/>
    <col min="10" max="10" width="45" style="71" customWidth="1"/>
    <col min="11" max="11" width="33.85546875" style="71" customWidth="1"/>
    <col min="12" max="12" width="32.7109375" style="71" customWidth="1"/>
    <col min="13" max="13" width="37.7109375" style="71" customWidth="1"/>
    <col min="14" max="14" width="34.140625" style="71" customWidth="1"/>
    <col min="15" max="15" width="36.7109375" style="6" customWidth="1"/>
    <col min="16" max="16384" width="10.28515625" style="6"/>
  </cols>
  <sheetData>
    <row r="6" spans="2:15">
      <c r="B6" s="230" t="s">
        <v>0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1"/>
    </row>
    <row r="7" spans="2:15" s="154" customFormat="1" ht="45" customHeight="1">
      <c r="B7" s="164" t="s">
        <v>116</v>
      </c>
      <c r="C7" s="165" t="s">
        <v>117</v>
      </c>
      <c r="D7" s="165" t="s">
        <v>118</v>
      </c>
      <c r="E7" s="165" t="s">
        <v>119</v>
      </c>
      <c r="F7" s="165" t="s">
        <v>120</v>
      </c>
      <c r="G7" s="165" t="s">
        <v>121</v>
      </c>
      <c r="H7" s="165" t="s">
        <v>122</v>
      </c>
      <c r="I7" s="165" t="s">
        <v>123</v>
      </c>
      <c r="J7" s="165" t="s">
        <v>124</v>
      </c>
      <c r="K7" s="165" t="s">
        <v>125</v>
      </c>
      <c r="L7" s="165" t="s">
        <v>126</v>
      </c>
      <c r="M7" s="165" t="s">
        <v>127</v>
      </c>
      <c r="N7" s="166" t="s">
        <v>128</v>
      </c>
      <c r="O7" s="163" t="s">
        <v>128</v>
      </c>
    </row>
    <row r="8" spans="2:15" s="155" customFormat="1">
      <c r="B8" s="167">
        <v>1</v>
      </c>
      <c r="C8" s="168" t="s">
        <v>129</v>
      </c>
      <c r="D8" s="168" t="s">
        <v>130</v>
      </c>
      <c r="E8" s="170">
        <v>15155</v>
      </c>
      <c r="F8" s="171">
        <v>1219</v>
      </c>
      <c r="G8" s="168">
        <v>86</v>
      </c>
      <c r="H8" s="168" t="s">
        <v>131</v>
      </c>
      <c r="I8" s="168" t="s">
        <v>131</v>
      </c>
      <c r="J8" s="173">
        <v>372896</v>
      </c>
      <c r="K8" s="173">
        <v>372896</v>
      </c>
      <c r="L8" s="172">
        <v>0</v>
      </c>
      <c r="M8" s="172">
        <v>0</v>
      </c>
      <c r="N8" s="160">
        <v>2102</v>
      </c>
      <c r="O8" s="158">
        <v>2102</v>
      </c>
    </row>
    <row r="9" spans="2:15" s="155" customFormat="1">
      <c r="B9" s="167">
        <v>2</v>
      </c>
      <c r="C9" s="168" t="s">
        <v>132</v>
      </c>
      <c r="D9" s="168" t="s">
        <v>133</v>
      </c>
      <c r="E9" s="170">
        <v>35527</v>
      </c>
      <c r="F9" s="168" t="s">
        <v>134</v>
      </c>
      <c r="G9" s="168">
        <v>86</v>
      </c>
      <c r="H9" s="168" t="s">
        <v>131</v>
      </c>
      <c r="I9" s="168" t="s">
        <v>131</v>
      </c>
      <c r="J9" s="173">
        <v>372896</v>
      </c>
      <c r="K9" s="173">
        <v>372896</v>
      </c>
      <c r="L9" s="172">
        <v>0</v>
      </c>
      <c r="M9" s="172">
        <v>0</v>
      </c>
      <c r="N9" s="160">
        <v>7898</v>
      </c>
      <c r="O9" s="160">
        <v>7898</v>
      </c>
    </row>
    <row r="10" spans="2:15" s="156" customFormat="1">
      <c r="B10" s="259">
        <v>3</v>
      </c>
      <c r="C10" s="260" t="s">
        <v>135</v>
      </c>
      <c r="D10" s="260" t="s">
        <v>136</v>
      </c>
      <c r="E10" s="261">
        <v>33718</v>
      </c>
      <c r="F10" s="260" t="s">
        <v>134</v>
      </c>
      <c r="G10" s="260">
        <v>86</v>
      </c>
      <c r="H10" s="260" t="s">
        <v>131</v>
      </c>
      <c r="I10" s="260" t="s">
        <v>131</v>
      </c>
      <c r="J10" s="262">
        <v>372896</v>
      </c>
      <c r="K10" s="262">
        <v>372896</v>
      </c>
      <c r="L10" s="263">
        <v>0</v>
      </c>
      <c r="M10" s="263">
        <v>0</v>
      </c>
      <c r="N10" s="264" t="s">
        <v>134</v>
      </c>
      <c r="O10" s="264" t="s">
        <v>134</v>
      </c>
    </row>
    <row r="11" spans="2:15" s="156" customFormat="1">
      <c r="B11" s="197">
        <v>4</v>
      </c>
      <c r="C11" s="198" t="s">
        <v>137</v>
      </c>
      <c r="D11" s="198" t="s">
        <v>138</v>
      </c>
      <c r="E11" s="199">
        <v>15857</v>
      </c>
      <c r="F11" s="202">
        <v>1727</v>
      </c>
      <c r="G11" s="198">
        <v>86</v>
      </c>
      <c r="H11" s="198" t="s">
        <v>131</v>
      </c>
      <c r="I11" s="198" t="s">
        <v>131</v>
      </c>
      <c r="J11" s="200">
        <v>372896</v>
      </c>
      <c r="K11" s="200">
        <v>372896</v>
      </c>
      <c r="L11" s="201">
        <v>0</v>
      </c>
      <c r="M11" s="201">
        <v>0</v>
      </c>
      <c r="N11" s="203">
        <v>5677</v>
      </c>
      <c r="O11" s="203">
        <v>5677</v>
      </c>
    </row>
    <row r="12" spans="2:15" s="156" customFormat="1">
      <c r="B12" s="259">
        <v>5</v>
      </c>
      <c r="C12" s="260" t="s">
        <v>139</v>
      </c>
      <c r="D12" s="260" t="s">
        <v>140</v>
      </c>
      <c r="E12" s="261">
        <v>21978</v>
      </c>
      <c r="F12" s="265">
        <v>6098</v>
      </c>
      <c r="G12" s="260">
        <v>86</v>
      </c>
      <c r="H12" s="260" t="s">
        <v>131</v>
      </c>
      <c r="I12" s="260" t="s">
        <v>131</v>
      </c>
      <c r="J12" s="262">
        <v>372896</v>
      </c>
      <c r="K12" s="262">
        <v>372896</v>
      </c>
      <c r="L12" s="263">
        <v>0</v>
      </c>
      <c r="M12" s="263">
        <v>0</v>
      </c>
      <c r="N12" s="266">
        <v>4543</v>
      </c>
      <c r="O12" s="266">
        <v>4543</v>
      </c>
    </row>
    <row r="13" spans="2:15" s="155" customFormat="1">
      <c r="B13" s="167">
        <v>6</v>
      </c>
      <c r="C13" s="168" t="s">
        <v>141</v>
      </c>
      <c r="D13" s="168" t="s">
        <v>142</v>
      </c>
      <c r="E13" s="170">
        <v>6877</v>
      </c>
      <c r="F13" s="168" t="s">
        <v>134</v>
      </c>
      <c r="G13" s="168">
        <v>86</v>
      </c>
      <c r="H13" s="168" t="s">
        <v>131</v>
      </c>
      <c r="I13" s="168" t="s">
        <v>131</v>
      </c>
      <c r="J13" s="173">
        <v>372896</v>
      </c>
      <c r="K13" s="173">
        <v>372896</v>
      </c>
      <c r="L13" s="172">
        <v>0</v>
      </c>
      <c r="M13" s="172">
        <v>0</v>
      </c>
      <c r="N13" s="159">
        <v>48</v>
      </c>
      <c r="O13" s="159">
        <v>48</v>
      </c>
    </row>
    <row r="14" spans="2:15" s="155" customFormat="1">
      <c r="B14" s="167">
        <v>7</v>
      </c>
      <c r="C14" s="168" t="s">
        <v>143</v>
      </c>
      <c r="D14" s="168" t="s">
        <v>144</v>
      </c>
      <c r="E14" s="170">
        <v>37833</v>
      </c>
      <c r="F14" s="171">
        <v>19365</v>
      </c>
      <c r="G14" s="168">
        <v>86</v>
      </c>
      <c r="H14" s="168" t="s">
        <v>131</v>
      </c>
      <c r="I14" s="168" t="s">
        <v>131</v>
      </c>
      <c r="J14" s="173">
        <v>372896</v>
      </c>
      <c r="K14" s="173">
        <v>372896</v>
      </c>
      <c r="L14" s="172">
        <v>0</v>
      </c>
      <c r="M14" s="172">
        <v>0</v>
      </c>
      <c r="N14" s="159" t="s">
        <v>134</v>
      </c>
      <c r="O14" s="159" t="s">
        <v>134</v>
      </c>
    </row>
    <row r="15" spans="2:15" s="155" customFormat="1">
      <c r="B15" s="167">
        <v>8</v>
      </c>
      <c r="C15" s="168" t="s">
        <v>145</v>
      </c>
      <c r="D15" s="168" t="s">
        <v>146</v>
      </c>
      <c r="E15" s="170">
        <v>16941</v>
      </c>
      <c r="F15" s="171">
        <v>3820</v>
      </c>
      <c r="G15" s="168">
        <v>86</v>
      </c>
      <c r="H15" s="168" t="s">
        <v>131</v>
      </c>
      <c r="I15" s="168" t="s">
        <v>131</v>
      </c>
      <c r="J15" s="173">
        <v>372896</v>
      </c>
      <c r="K15" s="173">
        <v>372896</v>
      </c>
      <c r="L15" s="172">
        <v>0</v>
      </c>
      <c r="M15" s="172">
        <v>0</v>
      </c>
      <c r="N15" s="160">
        <v>4133</v>
      </c>
      <c r="O15" s="160">
        <v>4133</v>
      </c>
    </row>
    <row r="16" spans="2:15" s="155" customFormat="1">
      <c r="B16" s="167">
        <v>9</v>
      </c>
      <c r="C16" s="168" t="s">
        <v>147</v>
      </c>
      <c r="D16" s="168" t="s">
        <v>148</v>
      </c>
      <c r="E16" s="170">
        <v>11472</v>
      </c>
      <c r="F16" s="171">
        <v>2100</v>
      </c>
      <c r="G16" s="168">
        <v>86</v>
      </c>
      <c r="H16" s="168" t="s">
        <v>131</v>
      </c>
      <c r="I16" s="168" t="s">
        <v>131</v>
      </c>
      <c r="J16" s="173">
        <v>372896</v>
      </c>
      <c r="K16" s="173">
        <v>372896</v>
      </c>
      <c r="L16" s="172">
        <v>0</v>
      </c>
      <c r="M16" s="172">
        <v>0</v>
      </c>
      <c r="N16" s="159" t="s">
        <v>134</v>
      </c>
      <c r="O16" s="159" t="s">
        <v>134</v>
      </c>
    </row>
    <row r="17" spans="2:15" s="155" customFormat="1">
      <c r="B17" s="167" t="s">
        <v>149</v>
      </c>
      <c r="C17" s="168" t="s">
        <v>150</v>
      </c>
      <c r="D17" s="168" t="s">
        <v>151</v>
      </c>
      <c r="E17" s="169" t="s">
        <v>152</v>
      </c>
      <c r="F17" s="168" t="s">
        <v>152</v>
      </c>
      <c r="G17" s="168" t="s">
        <v>152</v>
      </c>
      <c r="H17" s="168" t="s">
        <v>152</v>
      </c>
      <c r="I17" s="168" t="s">
        <v>152</v>
      </c>
      <c r="J17" s="168" t="s">
        <v>152</v>
      </c>
      <c r="K17" s="168" t="s">
        <v>152</v>
      </c>
      <c r="L17" s="172">
        <v>0</v>
      </c>
      <c r="M17" s="172">
        <v>0</v>
      </c>
      <c r="N17" s="159" t="s">
        <v>134</v>
      </c>
      <c r="O17" s="159" t="s">
        <v>134</v>
      </c>
    </row>
    <row r="18" spans="2:15" s="156" customFormat="1">
      <c r="B18" s="167" t="s">
        <v>134</v>
      </c>
      <c r="C18" s="168" t="s">
        <v>153</v>
      </c>
      <c r="D18" s="168" t="s">
        <v>154</v>
      </c>
      <c r="E18" s="169" t="s">
        <v>134</v>
      </c>
      <c r="F18" s="168" t="s">
        <v>134</v>
      </c>
      <c r="G18" s="168" t="s">
        <v>134</v>
      </c>
      <c r="H18" s="168" t="s">
        <v>134</v>
      </c>
      <c r="I18" s="168" t="s">
        <v>134</v>
      </c>
      <c r="J18" s="172" t="s">
        <v>134</v>
      </c>
      <c r="K18" s="172" t="s">
        <v>134</v>
      </c>
      <c r="L18" s="172" t="s">
        <v>134</v>
      </c>
      <c r="M18" s="172" t="s">
        <v>134</v>
      </c>
      <c r="N18" s="159">
        <v>288</v>
      </c>
      <c r="O18" s="159">
        <v>288</v>
      </c>
    </row>
    <row r="19" spans="2:15" s="156" customFormat="1">
      <c r="B19" s="167">
        <v>11</v>
      </c>
      <c r="C19" s="174" t="s">
        <v>155</v>
      </c>
      <c r="D19" s="168" t="s">
        <v>130</v>
      </c>
      <c r="E19" s="173">
        <v>41024</v>
      </c>
      <c r="F19" s="174" t="s">
        <v>134</v>
      </c>
      <c r="G19" s="168">
        <v>86</v>
      </c>
      <c r="H19" s="174" t="s">
        <v>131</v>
      </c>
      <c r="I19" s="174" t="s">
        <v>131</v>
      </c>
      <c r="J19" s="173">
        <v>372896</v>
      </c>
      <c r="K19" s="173">
        <v>372896</v>
      </c>
      <c r="L19" s="172">
        <v>0</v>
      </c>
      <c r="M19" s="172">
        <v>0</v>
      </c>
      <c r="N19" s="161">
        <v>29</v>
      </c>
      <c r="O19" s="161">
        <v>29</v>
      </c>
    </row>
    <row r="20" spans="2:15" s="156" customFormat="1">
      <c r="B20" s="167">
        <v>12</v>
      </c>
      <c r="C20" s="174" t="s">
        <v>156</v>
      </c>
      <c r="D20" s="168" t="s">
        <v>157</v>
      </c>
      <c r="E20" s="173">
        <v>13410</v>
      </c>
      <c r="F20" s="174" t="s">
        <v>134</v>
      </c>
      <c r="G20" s="168">
        <v>86</v>
      </c>
      <c r="H20" s="174" t="s">
        <v>131</v>
      </c>
      <c r="I20" s="174" t="s">
        <v>131</v>
      </c>
      <c r="J20" s="173">
        <v>372896</v>
      </c>
      <c r="K20" s="173">
        <v>372896</v>
      </c>
      <c r="L20" s="172">
        <v>0</v>
      </c>
      <c r="M20" s="172">
        <v>0</v>
      </c>
      <c r="N20" s="161" t="s">
        <v>134</v>
      </c>
      <c r="O20" s="161" t="s">
        <v>134</v>
      </c>
    </row>
    <row r="21" spans="2:15" s="156" customFormat="1">
      <c r="B21" s="167">
        <v>13</v>
      </c>
      <c r="C21" s="174" t="s">
        <v>158</v>
      </c>
      <c r="D21" s="174" t="s">
        <v>159</v>
      </c>
      <c r="E21" s="172">
        <v>906</v>
      </c>
      <c r="F21" s="174" t="s">
        <v>134</v>
      </c>
      <c r="G21" s="168">
        <v>86</v>
      </c>
      <c r="H21" s="174" t="s">
        <v>131</v>
      </c>
      <c r="I21" s="174" t="s">
        <v>131</v>
      </c>
      <c r="J21" s="173">
        <v>372896</v>
      </c>
      <c r="K21" s="173">
        <v>372896</v>
      </c>
      <c r="L21" s="172">
        <v>0</v>
      </c>
      <c r="M21" s="172">
        <v>0</v>
      </c>
      <c r="N21" s="161" t="s">
        <v>134</v>
      </c>
      <c r="O21" s="161" t="s">
        <v>134</v>
      </c>
    </row>
    <row r="22" spans="2:15" s="155" customFormat="1">
      <c r="B22" s="167">
        <v>14</v>
      </c>
      <c r="C22" s="174" t="s">
        <v>160</v>
      </c>
      <c r="D22" s="174" t="s">
        <v>161</v>
      </c>
      <c r="E22" s="172">
        <v>499</v>
      </c>
      <c r="F22" s="174" t="s">
        <v>134</v>
      </c>
      <c r="G22" s="168">
        <v>86</v>
      </c>
      <c r="H22" s="174" t="s">
        <v>131</v>
      </c>
      <c r="I22" s="174" t="s">
        <v>131</v>
      </c>
      <c r="J22" s="173">
        <v>372896</v>
      </c>
      <c r="K22" s="173">
        <v>372896</v>
      </c>
      <c r="L22" s="172">
        <v>0</v>
      </c>
      <c r="M22" s="172">
        <v>0</v>
      </c>
      <c r="N22" s="161">
        <v>48945</v>
      </c>
      <c r="O22" s="161">
        <v>48945</v>
      </c>
    </row>
    <row r="23" spans="2:15">
      <c r="B23" s="175" t="s">
        <v>162</v>
      </c>
      <c r="C23" s="174" t="s">
        <v>134</v>
      </c>
      <c r="D23" s="174">
        <v>14</v>
      </c>
      <c r="E23" s="176">
        <v>251197</v>
      </c>
      <c r="F23" s="178">
        <v>34329</v>
      </c>
      <c r="G23" s="177">
        <v>86</v>
      </c>
      <c r="H23" s="177">
        <v>0</v>
      </c>
      <c r="I23" s="177">
        <v>0</v>
      </c>
      <c r="J23" s="178">
        <v>372896</v>
      </c>
      <c r="K23" s="178">
        <v>372896</v>
      </c>
      <c r="L23" s="177">
        <v>0</v>
      </c>
      <c r="M23" s="177">
        <v>0</v>
      </c>
      <c r="N23" s="179">
        <v>73663</v>
      </c>
      <c r="O23" s="162">
        <v>73663</v>
      </c>
    </row>
    <row r="24" spans="2:15" ht="65.25" customHeight="1">
      <c r="B24" s="232" t="s">
        <v>163</v>
      </c>
      <c r="C24" s="233"/>
      <c r="D24" s="233"/>
      <c r="E24" s="233"/>
      <c r="F24" s="233"/>
      <c r="G24" s="233"/>
      <c r="H24" s="233"/>
    </row>
  </sheetData>
  <mergeCells count="2">
    <mergeCell ref="B6:N6"/>
    <mergeCell ref="B24:H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M840"/>
  <sheetViews>
    <sheetView showGridLines="0" topLeftCell="C15" zoomScale="70" zoomScaleNormal="70" workbookViewId="0">
      <selection activeCell="I45" sqref="I45"/>
    </sheetView>
  </sheetViews>
  <sheetFormatPr baseColWidth="10" defaultColWidth="14.42578125" defaultRowHeight="15" customHeight="1"/>
  <cols>
    <col min="1" max="2" width="11.42578125" style="1" customWidth="1"/>
    <col min="3" max="3" width="51.7109375" style="1" customWidth="1"/>
    <col min="4" max="4" width="38.28515625" style="1" customWidth="1"/>
    <col min="5" max="5" width="17.28515625" style="1" customWidth="1"/>
    <col min="6" max="6" width="18.5703125" style="1" customWidth="1"/>
    <col min="7" max="7" width="15.5703125" style="1" customWidth="1"/>
    <col min="8" max="8" width="12" style="1" customWidth="1"/>
    <col min="9" max="9" width="21.140625" style="1" customWidth="1"/>
    <col min="10" max="10" width="19.85546875" style="1" customWidth="1"/>
    <col min="11" max="11" width="18" style="1" customWidth="1"/>
    <col min="12" max="12" width="15" style="1" customWidth="1"/>
    <col min="13" max="13" width="16.28515625" style="1" customWidth="1"/>
    <col min="14" max="23" width="10" style="1" customWidth="1"/>
    <col min="24" max="16384" width="14.42578125" style="1"/>
  </cols>
  <sheetData>
    <row r="1" spans="3:13" ht="12.75" customHeight="1">
      <c r="C1" s="84"/>
      <c r="D1" s="84"/>
      <c r="E1" s="84"/>
      <c r="F1" s="84"/>
      <c r="G1" s="84"/>
      <c r="H1" s="84"/>
    </row>
    <row r="2" spans="3:13" ht="12.75" customHeight="1">
      <c r="C2" s="84"/>
      <c r="D2" s="84"/>
      <c r="E2" s="251" t="s">
        <v>61</v>
      </c>
      <c r="F2" s="251"/>
      <c r="G2" s="251"/>
      <c r="H2" s="251"/>
      <c r="I2" s="251"/>
      <c r="J2" s="251"/>
      <c r="K2" s="251"/>
    </row>
    <row r="3" spans="3:13" ht="16.5" customHeight="1">
      <c r="C3" s="148"/>
      <c r="D3" s="148"/>
      <c r="E3" s="251" t="s">
        <v>62</v>
      </c>
      <c r="F3" s="251"/>
      <c r="G3" s="251"/>
      <c r="H3" s="251"/>
      <c r="I3" s="251"/>
      <c r="J3" s="251"/>
      <c r="K3" s="251"/>
    </row>
    <row r="4" spans="3:13" ht="12.75" customHeight="1">
      <c r="E4" s="252" t="s">
        <v>164</v>
      </c>
      <c r="F4" s="252"/>
      <c r="G4" s="252"/>
      <c r="H4" s="252"/>
      <c r="I4" s="252"/>
      <c r="J4" s="252"/>
      <c r="K4" s="252"/>
    </row>
    <row r="5" spans="3:13" ht="12.75" customHeight="1">
      <c r="E5" s="5"/>
      <c r="F5" s="5"/>
      <c r="G5" s="5"/>
      <c r="H5" s="5"/>
      <c r="I5" s="5"/>
      <c r="J5" s="5"/>
      <c r="K5" s="5"/>
    </row>
    <row r="6" spans="3:13" ht="12.75" customHeight="1">
      <c r="C6" s="78" t="s">
        <v>165</v>
      </c>
      <c r="D6" s="79" t="s">
        <v>166</v>
      </c>
      <c r="E6" s="80"/>
      <c r="F6" s="80"/>
      <c r="G6" s="80"/>
      <c r="H6" s="80"/>
      <c r="I6" s="80"/>
      <c r="J6" s="80"/>
      <c r="K6" s="80"/>
    </row>
    <row r="7" spans="3:13" ht="12.75" customHeight="1">
      <c r="C7" s="81" t="s">
        <v>167</v>
      </c>
      <c r="D7" s="79" t="s">
        <v>168</v>
      </c>
      <c r="E7" s="82"/>
      <c r="F7" s="82"/>
      <c r="G7" s="82"/>
      <c r="H7" s="83"/>
      <c r="I7" s="82"/>
      <c r="J7" s="84"/>
      <c r="K7" s="84"/>
    </row>
    <row r="8" spans="3:13" ht="12.75" customHeight="1">
      <c r="C8" s="81"/>
      <c r="D8" s="79"/>
      <c r="E8" s="82"/>
      <c r="F8" s="82"/>
      <c r="G8" s="82"/>
      <c r="H8" s="83"/>
      <c r="I8" s="82"/>
      <c r="J8" s="84"/>
      <c r="K8" s="84"/>
    </row>
    <row r="9" spans="3:13" ht="52.5" customHeight="1">
      <c r="C9" s="85" t="s">
        <v>169</v>
      </c>
      <c r="D9" s="86" t="s">
        <v>64</v>
      </c>
      <c r="E9" s="87" t="s">
        <v>170</v>
      </c>
      <c r="F9" s="87" t="s">
        <v>171</v>
      </c>
      <c r="G9" s="87" t="s">
        <v>172</v>
      </c>
      <c r="H9" s="87" t="s">
        <v>173</v>
      </c>
      <c r="I9" s="87" t="s">
        <v>174</v>
      </c>
      <c r="J9" s="87" t="s">
        <v>175</v>
      </c>
      <c r="K9" s="87" t="s">
        <v>176</v>
      </c>
      <c r="L9" s="183" t="s">
        <v>177</v>
      </c>
    </row>
    <row r="10" spans="3:13" ht="15.75" customHeight="1">
      <c r="C10" s="245" t="s">
        <v>178</v>
      </c>
      <c r="D10" s="89" t="s">
        <v>179</v>
      </c>
      <c r="E10" s="90" t="s">
        <v>180</v>
      </c>
      <c r="F10" s="91" t="s">
        <v>180</v>
      </c>
      <c r="G10" s="92" t="s">
        <v>180</v>
      </c>
      <c r="H10" s="93" t="s">
        <v>180</v>
      </c>
      <c r="I10" s="94" t="s">
        <v>180</v>
      </c>
      <c r="J10" s="95" t="s">
        <v>180</v>
      </c>
      <c r="K10" s="146" t="s">
        <v>180</v>
      </c>
      <c r="L10" s="180" t="s">
        <v>180</v>
      </c>
      <c r="M10" s="182"/>
    </row>
    <row r="11" spans="3:13" ht="15.75" customHeight="1">
      <c r="C11" s="246"/>
      <c r="D11" s="89" t="s">
        <v>181</v>
      </c>
      <c r="E11" s="90" t="s">
        <v>180</v>
      </c>
      <c r="F11" s="91" t="s">
        <v>180</v>
      </c>
      <c r="G11" s="92" t="s">
        <v>180</v>
      </c>
      <c r="H11" s="93" t="s">
        <v>180</v>
      </c>
      <c r="I11" s="94" t="s">
        <v>180</v>
      </c>
      <c r="J11" s="96" t="s">
        <v>180</v>
      </c>
      <c r="K11" s="181" t="s">
        <v>180</v>
      </c>
      <c r="L11" s="180" t="s">
        <v>180</v>
      </c>
      <c r="M11" s="182"/>
    </row>
    <row r="12" spans="3:13" ht="15.75" customHeight="1">
      <c r="C12" s="246"/>
      <c r="D12" s="97" t="s">
        <v>182</v>
      </c>
      <c r="E12" s="98"/>
      <c r="F12" s="2" t="s">
        <v>180</v>
      </c>
      <c r="G12" s="92" t="s">
        <v>180</v>
      </c>
      <c r="H12" s="93" t="s">
        <v>180</v>
      </c>
      <c r="I12" s="94" t="s">
        <v>180</v>
      </c>
      <c r="J12" s="95" t="s">
        <v>180</v>
      </c>
      <c r="K12" s="146" t="s">
        <v>180</v>
      </c>
      <c r="L12" s="180" t="s">
        <v>180</v>
      </c>
      <c r="M12" s="182"/>
    </row>
    <row r="13" spans="3:13" ht="15.75" customHeight="1">
      <c r="C13" s="246"/>
      <c r="D13" s="97" t="s">
        <v>183</v>
      </c>
      <c r="E13" s="98"/>
      <c r="F13" s="2" t="s">
        <v>180</v>
      </c>
      <c r="G13" s="92" t="s">
        <v>180</v>
      </c>
      <c r="H13" s="93" t="s">
        <v>180</v>
      </c>
      <c r="I13" s="94" t="s">
        <v>180</v>
      </c>
      <c r="J13" s="95" t="s">
        <v>180</v>
      </c>
      <c r="K13" s="146" t="s">
        <v>180</v>
      </c>
      <c r="L13" s="180" t="s">
        <v>180</v>
      </c>
      <c r="M13" s="182"/>
    </row>
    <row r="14" spans="3:13" ht="15.75" customHeight="1">
      <c r="C14" s="246"/>
      <c r="D14" s="97" t="s">
        <v>184</v>
      </c>
      <c r="E14" s="98"/>
      <c r="F14" s="2" t="s">
        <v>180</v>
      </c>
      <c r="G14" s="92" t="s">
        <v>180</v>
      </c>
      <c r="H14" s="93" t="s">
        <v>180</v>
      </c>
      <c r="I14" s="94" t="s">
        <v>180</v>
      </c>
      <c r="J14" s="95" t="s">
        <v>180</v>
      </c>
      <c r="K14" s="146" t="s">
        <v>180</v>
      </c>
      <c r="L14" s="180" t="s">
        <v>180</v>
      </c>
      <c r="M14" s="182"/>
    </row>
    <row r="15" spans="3:13" ht="15.75" customHeight="1">
      <c r="C15" s="246"/>
      <c r="D15" s="97" t="s">
        <v>185</v>
      </c>
      <c r="E15" s="98"/>
      <c r="F15" s="2"/>
      <c r="G15" s="92"/>
      <c r="H15" s="93"/>
      <c r="I15" s="94" t="s">
        <v>180</v>
      </c>
      <c r="J15" s="95" t="s">
        <v>180</v>
      </c>
      <c r="K15" s="146" t="s">
        <v>180</v>
      </c>
      <c r="L15" s="180" t="s">
        <v>180</v>
      </c>
      <c r="M15" s="182"/>
    </row>
    <row r="16" spans="3:13" ht="15.75" customHeight="1">
      <c r="C16" s="246"/>
      <c r="D16" s="99" t="s">
        <v>186</v>
      </c>
      <c r="E16" s="100"/>
      <c r="F16" s="101" t="s">
        <v>180</v>
      </c>
      <c r="G16" s="92" t="s">
        <v>180</v>
      </c>
      <c r="H16" s="93" t="s">
        <v>180</v>
      </c>
      <c r="I16" s="94" t="s">
        <v>180</v>
      </c>
      <c r="J16" s="95" t="s">
        <v>180</v>
      </c>
      <c r="K16" s="146" t="s">
        <v>180</v>
      </c>
      <c r="L16" s="180" t="s">
        <v>180</v>
      </c>
      <c r="M16" s="182"/>
    </row>
    <row r="17" spans="3:13" ht="15.75" customHeight="1">
      <c r="C17" s="246"/>
      <c r="D17" s="97" t="s">
        <v>187</v>
      </c>
      <c r="E17" s="98"/>
      <c r="F17" s="2" t="s">
        <v>180</v>
      </c>
      <c r="G17" s="92" t="s">
        <v>180</v>
      </c>
      <c r="H17" s="93" t="s">
        <v>180</v>
      </c>
      <c r="I17" s="94" t="s">
        <v>180</v>
      </c>
      <c r="J17" s="95" t="s">
        <v>180</v>
      </c>
      <c r="K17" s="146" t="s">
        <v>180</v>
      </c>
      <c r="L17" s="180" t="s">
        <v>180</v>
      </c>
      <c r="M17" s="182"/>
    </row>
    <row r="18" spans="3:13" ht="15.75" customHeight="1">
      <c r="C18" s="246"/>
      <c r="D18" s="99" t="s">
        <v>188</v>
      </c>
      <c r="E18" s="100"/>
      <c r="F18" s="101"/>
      <c r="G18" s="92" t="s">
        <v>180</v>
      </c>
      <c r="H18" s="93" t="s">
        <v>180</v>
      </c>
      <c r="I18" s="94"/>
      <c r="J18" s="95"/>
      <c r="K18" s="146"/>
      <c r="L18" s="180"/>
      <c r="M18" s="182"/>
    </row>
    <row r="19" spans="3:13" ht="15.75" customHeight="1">
      <c r="C19" s="246"/>
      <c r="D19" s="102" t="s">
        <v>189</v>
      </c>
      <c r="E19" s="103"/>
      <c r="F19" s="104"/>
      <c r="G19" s="92"/>
      <c r="H19" s="93"/>
      <c r="I19" s="94" t="s">
        <v>180</v>
      </c>
      <c r="J19" s="95" t="s">
        <v>180</v>
      </c>
      <c r="K19" s="146" t="s">
        <v>180</v>
      </c>
      <c r="L19" s="180"/>
      <c r="M19" s="182"/>
    </row>
    <row r="20" spans="3:13" ht="15.75" customHeight="1">
      <c r="C20" s="246"/>
      <c r="D20" s="102" t="s">
        <v>190</v>
      </c>
      <c r="E20" s="105"/>
      <c r="F20" s="106"/>
      <c r="G20" s="92" t="s">
        <v>180</v>
      </c>
      <c r="H20" s="93" t="s">
        <v>180</v>
      </c>
      <c r="I20" s="94"/>
      <c r="J20" s="95"/>
      <c r="K20" s="146" t="s">
        <v>180</v>
      </c>
      <c r="L20" s="180" t="s">
        <v>180</v>
      </c>
      <c r="M20" s="182"/>
    </row>
    <row r="21" spans="3:13" ht="15.75" customHeight="1">
      <c r="C21" s="247"/>
      <c r="D21" s="107" t="s">
        <v>191</v>
      </c>
      <c r="E21" s="105"/>
      <c r="F21" s="108"/>
      <c r="G21" s="109" t="s">
        <v>180</v>
      </c>
      <c r="H21" s="93" t="s">
        <v>180</v>
      </c>
      <c r="I21" s="94"/>
      <c r="J21" s="95"/>
      <c r="K21" s="146" t="s">
        <v>134</v>
      </c>
      <c r="L21" s="180"/>
      <c r="M21" s="182"/>
    </row>
    <row r="22" spans="3:13" ht="15.75" customHeight="1">
      <c r="C22" s="253" t="s">
        <v>192</v>
      </c>
      <c r="D22" s="89" t="s">
        <v>193</v>
      </c>
      <c r="E22" s="90"/>
      <c r="F22" s="2"/>
      <c r="G22" s="110"/>
      <c r="H22" s="93"/>
      <c r="I22" s="94"/>
      <c r="J22" s="95"/>
      <c r="K22" s="146" t="s">
        <v>134</v>
      </c>
      <c r="L22" s="180"/>
      <c r="M22" s="182"/>
    </row>
    <row r="23" spans="3:13" ht="15.75" customHeight="1">
      <c r="C23" s="254"/>
      <c r="D23" s="89" t="s">
        <v>194</v>
      </c>
      <c r="E23" s="90" t="s">
        <v>180</v>
      </c>
      <c r="F23" s="2"/>
      <c r="G23" s="110"/>
      <c r="H23" s="93"/>
      <c r="I23" s="94"/>
      <c r="J23" s="95"/>
      <c r="K23" s="146" t="s">
        <v>134</v>
      </c>
      <c r="L23" s="180"/>
      <c r="M23" s="182"/>
    </row>
    <row r="24" spans="3:13" ht="15.75" customHeight="1">
      <c r="C24" s="255"/>
      <c r="D24" s="89" t="s">
        <v>195</v>
      </c>
      <c r="E24" s="111" t="s">
        <v>180</v>
      </c>
      <c r="F24" s="112"/>
      <c r="G24" s="113"/>
      <c r="H24" s="93"/>
      <c r="I24" s="94"/>
      <c r="J24" s="95"/>
      <c r="K24" s="146" t="s">
        <v>134</v>
      </c>
      <c r="L24" s="180"/>
      <c r="M24" s="182"/>
    </row>
    <row r="25" spans="3:13" ht="15.75" customHeight="1">
      <c r="C25" s="237" t="s">
        <v>196</v>
      </c>
      <c r="D25" s="89" t="s">
        <v>197</v>
      </c>
      <c r="E25" s="114" t="s">
        <v>180</v>
      </c>
      <c r="F25" s="106" t="s">
        <v>180</v>
      </c>
      <c r="G25" s="92" t="s">
        <v>180</v>
      </c>
      <c r="H25" s="115" t="s">
        <v>180</v>
      </c>
      <c r="I25" s="94" t="s">
        <v>180</v>
      </c>
      <c r="J25" s="95" t="s">
        <v>180</v>
      </c>
      <c r="K25" s="146" t="s">
        <v>180</v>
      </c>
      <c r="L25" s="180"/>
      <c r="M25" s="182"/>
    </row>
    <row r="26" spans="3:13" ht="15.75" customHeight="1">
      <c r="C26" s="238"/>
      <c r="D26" s="89" t="s">
        <v>198</v>
      </c>
      <c r="E26" s="90"/>
      <c r="F26" s="91"/>
      <c r="G26" s="92"/>
      <c r="H26" s="93"/>
      <c r="I26" s="94" t="s">
        <v>180</v>
      </c>
      <c r="J26" s="95"/>
      <c r="K26" s="146" t="s">
        <v>134</v>
      </c>
      <c r="L26" s="180" t="s">
        <v>180</v>
      </c>
      <c r="M26" s="182"/>
    </row>
    <row r="27" spans="3:13" ht="15.75" customHeight="1">
      <c r="C27" s="239"/>
      <c r="D27" s="89" t="s">
        <v>199</v>
      </c>
      <c r="E27" s="90"/>
      <c r="F27" s="91"/>
      <c r="G27" s="92"/>
      <c r="H27" s="93"/>
      <c r="I27" s="94" t="s">
        <v>180</v>
      </c>
      <c r="J27" s="95"/>
      <c r="K27" s="146" t="s">
        <v>134</v>
      </c>
      <c r="L27" s="180" t="s">
        <v>180</v>
      </c>
      <c r="M27" s="182"/>
    </row>
    <row r="28" spans="3:13" ht="15.75" customHeight="1">
      <c r="C28" s="116" t="s">
        <v>200</v>
      </c>
      <c r="D28" s="89" t="s">
        <v>201</v>
      </c>
      <c r="E28" s="90" t="s">
        <v>180</v>
      </c>
      <c r="F28" s="2" t="s">
        <v>180</v>
      </c>
      <c r="G28" s="110" t="s">
        <v>180</v>
      </c>
      <c r="H28" s="93" t="s">
        <v>180</v>
      </c>
      <c r="I28" s="94" t="s">
        <v>180</v>
      </c>
      <c r="J28" s="95" t="s">
        <v>180</v>
      </c>
      <c r="K28" s="146" t="s">
        <v>180</v>
      </c>
      <c r="L28" s="180" t="s">
        <v>180</v>
      </c>
      <c r="M28" s="182"/>
    </row>
    <row r="29" spans="3:13" ht="15.75" customHeight="1">
      <c r="C29" s="116" t="s">
        <v>202</v>
      </c>
      <c r="D29" s="117" t="s">
        <v>203</v>
      </c>
      <c r="E29" s="90" t="s">
        <v>180</v>
      </c>
      <c r="F29" s="2"/>
      <c r="G29" s="110"/>
      <c r="H29" s="93"/>
      <c r="I29" s="94"/>
      <c r="J29" s="95"/>
      <c r="K29" s="146" t="s">
        <v>180</v>
      </c>
      <c r="L29" s="180" t="s">
        <v>180</v>
      </c>
      <c r="M29" s="182"/>
    </row>
    <row r="30" spans="3:13" ht="15.75" customHeight="1">
      <c r="C30" s="253" t="s">
        <v>204</v>
      </c>
      <c r="D30" s="117" t="s">
        <v>205</v>
      </c>
      <c r="E30" s="90" t="s">
        <v>180</v>
      </c>
      <c r="F30" s="2"/>
      <c r="G30" s="110"/>
      <c r="H30" s="93" t="s">
        <v>180</v>
      </c>
      <c r="I30" s="94" t="s">
        <v>180</v>
      </c>
      <c r="J30" s="95"/>
      <c r="K30" s="146" t="s">
        <v>134</v>
      </c>
      <c r="L30" s="180"/>
      <c r="M30" s="182"/>
    </row>
    <row r="31" spans="3:13" ht="15.75" customHeight="1">
      <c r="C31" s="255"/>
      <c r="D31" s="117" t="s">
        <v>206</v>
      </c>
      <c r="E31" s="90"/>
      <c r="F31" s="2"/>
      <c r="G31" s="92" t="s">
        <v>180</v>
      </c>
      <c r="H31" s="93" t="s">
        <v>180</v>
      </c>
      <c r="I31" s="94" t="s">
        <v>180</v>
      </c>
      <c r="J31" s="95" t="s">
        <v>180</v>
      </c>
      <c r="K31" s="146" t="s">
        <v>180</v>
      </c>
      <c r="L31" s="180"/>
      <c r="M31" s="182"/>
    </row>
    <row r="32" spans="3:13" ht="15.75" customHeight="1">
      <c r="C32" s="245" t="s">
        <v>207</v>
      </c>
      <c r="D32" s="118" t="s">
        <v>208</v>
      </c>
      <c r="E32" s="90" t="s">
        <v>180</v>
      </c>
      <c r="F32" s="2"/>
      <c r="G32" s="110"/>
      <c r="H32" s="93"/>
      <c r="I32" s="94"/>
      <c r="J32" s="95"/>
      <c r="K32" s="146" t="s">
        <v>134</v>
      </c>
      <c r="L32" s="180"/>
      <c r="M32" s="182"/>
    </row>
    <row r="33" spans="3:13" ht="15.75" customHeight="1">
      <c r="C33" s="247"/>
      <c r="D33" s="118" t="s">
        <v>209</v>
      </c>
      <c r="E33" s="90" t="s">
        <v>180</v>
      </c>
      <c r="F33" s="2"/>
      <c r="G33" s="110"/>
      <c r="H33" s="93"/>
      <c r="I33" s="94"/>
      <c r="J33" s="95"/>
      <c r="K33" s="146" t="s">
        <v>134</v>
      </c>
      <c r="L33" s="180" t="s">
        <v>180</v>
      </c>
      <c r="M33" s="182"/>
    </row>
    <row r="34" spans="3:13" ht="15.75" customHeight="1">
      <c r="C34" s="116" t="s">
        <v>210</v>
      </c>
      <c r="D34" s="118" t="s">
        <v>211</v>
      </c>
      <c r="E34" s="90" t="s">
        <v>180</v>
      </c>
      <c r="F34" s="2"/>
      <c r="G34" s="110"/>
      <c r="H34" s="93"/>
      <c r="I34" s="94"/>
      <c r="J34" s="95"/>
      <c r="K34" s="146"/>
      <c r="L34" s="180"/>
      <c r="M34" s="182"/>
    </row>
    <row r="35" spans="3:13" ht="15.75" customHeight="1">
      <c r="C35" s="116" t="s">
        <v>212</v>
      </c>
      <c r="D35" s="119" t="s">
        <v>213</v>
      </c>
      <c r="E35" s="90" t="s">
        <v>180</v>
      </c>
      <c r="F35" s="2" t="s">
        <v>180</v>
      </c>
      <c r="G35" s="110"/>
      <c r="H35" s="93"/>
      <c r="I35" s="94" t="s">
        <v>180</v>
      </c>
      <c r="J35" s="95" t="s">
        <v>180</v>
      </c>
      <c r="K35" s="146" t="s">
        <v>180</v>
      </c>
      <c r="L35" s="180" t="s">
        <v>180</v>
      </c>
      <c r="M35" s="182"/>
    </row>
    <row r="36" spans="3:13" ht="15.75" customHeight="1">
      <c r="C36" s="116" t="s">
        <v>214</v>
      </c>
      <c r="D36" s="118" t="s">
        <v>215</v>
      </c>
      <c r="E36" s="90" t="s">
        <v>180</v>
      </c>
      <c r="F36" s="2"/>
      <c r="G36" s="110"/>
      <c r="H36" s="93"/>
      <c r="I36" s="94"/>
      <c r="J36" s="95"/>
      <c r="K36" s="146"/>
      <c r="L36" s="180"/>
      <c r="M36" s="182"/>
    </row>
    <row r="37" spans="3:13" ht="15.75" customHeight="1">
      <c r="C37" s="116" t="s">
        <v>216</v>
      </c>
      <c r="D37" s="118" t="s">
        <v>217</v>
      </c>
      <c r="E37" s="90" t="s">
        <v>180</v>
      </c>
      <c r="F37" s="2" t="s">
        <v>180</v>
      </c>
      <c r="G37" s="92" t="s">
        <v>180</v>
      </c>
      <c r="H37" s="93"/>
      <c r="I37" s="94"/>
      <c r="J37" s="95"/>
      <c r="K37" s="146"/>
      <c r="L37" s="180"/>
      <c r="M37" s="182"/>
    </row>
    <row r="38" spans="3:13" ht="15.75" customHeight="1">
      <c r="C38" s="245" t="s">
        <v>218</v>
      </c>
      <c r="D38" s="118" t="s">
        <v>219</v>
      </c>
      <c r="E38" s="90" t="s">
        <v>180</v>
      </c>
      <c r="F38" s="2" t="s">
        <v>180</v>
      </c>
      <c r="G38" s="110"/>
      <c r="H38" s="93"/>
      <c r="I38" s="94"/>
      <c r="J38" s="95"/>
      <c r="K38" s="146"/>
      <c r="L38" s="180"/>
      <c r="M38" s="182"/>
    </row>
    <row r="39" spans="3:13" ht="15.75" customHeight="1">
      <c r="C39" s="247"/>
      <c r="D39" s="118" t="s">
        <v>220</v>
      </c>
      <c r="E39" s="90" t="s">
        <v>180</v>
      </c>
      <c r="F39" s="2"/>
      <c r="G39" s="110"/>
      <c r="H39" s="93"/>
      <c r="I39" s="94"/>
      <c r="J39" s="95"/>
      <c r="K39" s="146"/>
      <c r="L39" s="180"/>
      <c r="M39" s="182"/>
    </row>
    <row r="40" spans="3:13" ht="15.75" customHeight="1">
      <c r="C40" s="253" t="s">
        <v>221</v>
      </c>
      <c r="D40" s="118" t="s">
        <v>222</v>
      </c>
      <c r="E40" s="90" t="s">
        <v>180</v>
      </c>
      <c r="F40" s="2" t="s">
        <v>180</v>
      </c>
      <c r="G40" s="92" t="s">
        <v>180</v>
      </c>
      <c r="H40" s="93"/>
      <c r="I40" s="94"/>
      <c r="J40" s="95"/>
      <c r="K40" s="146"/>
      <c r="L40" s="180"/>
      <c r="M40" s="182"/>
    </row>
    <row r="41" spans="3:13" ht="15.75" customHeight="1">
      <c r="C41" s="254"/>
      <c r="D41" s="118" t="s">
        <v>223</v>
      </c>
      <c r="E41" s="90" t="s">
        <v>180</v>
      </c>
      <c r="F41" s="2" t="s">
        <v>180</v>
      </c>
      <c r="G41" s="109" t="s">
        <v>180</v>
      </c>
      <c r="H41" s="93"/>
      <c r="I41" s="94"/>
      <c r="J41" s="95"/>
      <c r="K41" s="146"/>
      <c r="L41" s="180"/>
      <c r="M41" s="182"/>
    </row>
    <row r="42" spans="3:13" ht="15.75" customHeight="1">
      <c r="C42" s="255"/>
      <c r="D42" s="118" t="s">
        <v>224</v>
      </c>
      <c r="E42" s="90" t="s">
        <v>180</v>
      </c>
      <c r="F42" s="2" t="s">
        <v>180</v>
      </c>
      <c r="G42" s="109" t="s">
        <v>180</v>
      </c>
      <c r="H42" s="93"/>
      <c r="I42" s="94"/>
      <c r="J42" s="95"/>
      <c r="K42" s="146"/>
      <c r="L42" s="180"/>
      <c r="M42" s="182"/>
    </row>
    <row r="43" spans="3:13" ht="15.75" customHeight="1">
      <c r="C43" s="88" t="s">
        <v>225</v>
      </c>
      <c r="D43" s="118" t="s">
        <v>226</v>
      </c>
      <c r="E43" s="120" t="s">
        <v>180</v>
      </c>
      <c r="F43" s="121"/>
      <c r="G43" s="92" t="s">
        <v>180</v>
      </c>
      <c r="H43" s="122" t="s">
        <v>180</v>
      </c>
      <c r="I43" s="94" t="s">
        <v>180</v>
      </c>
      <c r="J43" s="95"/>
      <c r="K43" s="146"/>
      <c r="L43" s="180" t="s">
        <v>180</v>
      </c>
      <c r="M43" s="182"/>
    </row>
    <row r="44" spans="3:13" ht="15.75" customHeight="1">
      <c r="C44" s="116" t="s">
        <v>227</v>
      </c>
      <c r="D44" s="118" t="s">
        <v>228</v>
      </c>
      <c r="E44" s="111" t="s">
        <v>180</v>
      </c>
      <c r="F44" s="2" t="s">
        <v>180</v>
      </c>
      <c r="G44" s="123" t="s">
        <v>180</v>
      </c>
      <c r="H44" s="93"/>
      <c r="I44" s="94" t="s">
        <v>180</v>
      </c>
      <c r="J44" s="95"/>
      <c r="K44" s="146"/>
      <c r="L44" s="180" t="s">
        <v>180</v>
      </c>
      <c r="M44" s="182"/>
    </row>
    <row r="45" spans="3:13" ht="15.75" customHeight="1">
      <c r="C45" s="245" t="s">
        <v>229</v>
      </c>
      <c r="D45" s="118" t="s">
        <v>230</v>
      </c>
      <c r="E45" s="124" t="s">
        <v>180</v>
      </c>
      <c r="F45" s="125" t="s">
        <v>180</v>
      </c>
      <c r="G45" s="92" t="s">
        <v>180</v>
      </c>
      <c r="H45" s="93">
        <v>0</v>
      </c>
      <c r="I45" s="94" t="s">
        <v>180</v>
      </c>
      <c r="J45" s="95" t="s">
        <v>180</v>
      </c>
      <c r="K45" s="146"/>
      <c r="L45" s="180" t="s">
        <v>180</v>
      </c>
      <c r="M45" s="182"/>
    </row>
    <row r="46" spans="3:13" ht="15.75" customHeight="1">
      <c r="C46" s="246"/>
      <c r="D46" s="118" t="s">
        <v>231</v>
      </c>
      <c r="E46" s="126" t="s">
        <v>180</v>
      </c>
      <c r="F46" s="126" t="s">
        <v>180</v>
      </c>
      <c r="G46" s="126" t="s">
        <v>180</v>
      </c>
      <c r="H46" s="127"/>
      <c r="I46" s="248" t="s">
        <v>180</v>
      </c>
      <c r="J46" s="234" t="s">
        <v>180</v>
      </c>
      <c r="K46" s="234" t="s">
        <v>180</v>
      </c>
      <c r="L46" s="180" t="s">
        <v>180</v>
      </c>
      <c r="M46" s="182"/>
    </row>
    <row r="47" spans="3:13" ht="15.75" customHeight="1">
      <c r="C47" s="246"/>
      <c r="D47" s="118" t="s">
        <v>232</v>
      </c>
      <c r="E47" s="128"/>
      <c r="F47" s="128"/>
      <c r="G47" s="128"/>
      <c r="H47" s="129"/>
      <c r="I47" s="249"/>
      <c r="J47" s="235"/>
      <c r="K47" s="235"/>
      <c r="L47" s="180" t="s">
        <v>180</v>
      </c>
      <c r="M47" s="182"/>
    </row>
    <row r="48" spans="3:13" ht="15.75" customHeight="1">
      <c r="C48" s="246"/>
      <c r="D48" s="118" t="s">
        <v>233</v>
      </c>
      <c r="E48" s="128"/>
      <c r="F48" s="128"/>
      <c r="G48" s="128"/>
      <c r="H48" s="129"/>
      <c r="I48" s="249"/>
      <c r="J48" s="235"/>
      <c r="K48" s="235"/>
      <c r="L48" s="180" t="s">
        <v>180</v>
      </c>
      <c r="M48" s="182"/>
    </row>
    <row r="49" spans="3:13" ht="15.75" customHeight="1">
      <c r="C49" s="246"/>
      <c r="D49" s="118" t="s">
        <v>234</v>
      </c>
      <c r="E49" s="128"/>
      <c r="F49" s="128"/>
      <c r="G49" s="128"/>
      <c r="H49" s="129"/>
      <c r="I49" s="249"/>
      <c r="J49" s="235"/>
      <c r="K49" s="235"/>
      <c r="L49" s="180" t="s">
        <v>180</v>
      </c>
      <c r="M49" s="182"/>
    </row>
    <row r="50" spans="3:13" ht="15.75" customHeight="1">
      <c r="C50" s="246"/>
      <c r="D50" s="118" t="s">
        <v>235</v>
      </c>
      <c r="E50" s="128"/>
      <c r="F50" s="128"/>
      <c r="G50" s="128"/>
      <c r="H50" s="129"/>
      <c r="I50" s="249"/>
      <c r="J50" s="235"/>
      <c r="K50" s="235"/>
      <c r="L50" s="180" t="s">
        <v>180</v>
      </c>
      <c r="M50" s="182"/>
    </row>
    <row r="51" spans="3:13" ht="15.75" customHeight="1">
      <c r="C51" s="246"/>
      <c r="D51" s="118" t="s">
        <v>236</v>
      </c>
      <c r="E51" s="128"/>
      <c r="F51" s="128"/>
      <c r="G51" s="128"/>
      <c r="H51" s="129"/>
      <c r="I51" s="249"/>
      <c r="J51" s="235"/>
      <c r="K51" s="235"/>
      <c r="L51" s="180" t="s">
        <v>180</v>
      </c>
      <c r="M51" s="182"/>
    </row>
    <row r="52" spans="3:13" ht="15.75" customHeight="1">
      <c r="C52" s="246"/>
      <c r="D52" s="118" t="s">
        <v>237</v>
      </c>
      <c r="E52" s="128"/>
      <c r="F52" s="128"/>
      <c r="G52" s="128"/>
      <c r="H52" s="129"/>
      <c r="I52" s="249"/>
      <c r="J52" s="235"/>
      <c r="K52" s="235"/>
      <c r="L52" s="180" t="s">
        <v>180</v>
      </c>
      <c r="M52" s="182"/>
    </row>
    <row r="53" spans="3:13" ht="15.75" customHeight="1">
      <c r="C53" s="246"/>
      <c r="D53" s="118" t="s">
        <v>238</v>
      </c>
      <c r="E53" s="128"/>
      <c r="F53" s="128"/>
      <c r="G53" s="128"/>
      <c r="H53" s="129"/>
      <c r="I53" s="249"/>
      <c r="J53" s="235"/>
      <c r="K53" s="235"/>
      <c r="L53" s="180"/>
      <c r="M53" s="182"/>
    </row>
    <row r="54" spans="3:13" ht="15.75" customHeight="1">
      <c r="C54" s="246"/>
      <c r="D54" s="118" t="s">
        <v>239</v>
      </c>
      <c r="E54" s="128"/>
      <c r="F54" s="128"/>
      <c r="G54" s="128"/>
      <c r="H54" s="129"/>
      <c r="I54" s="249"/>
      <c r="J54" s="235"/>
      <c r="K54" s="235"/>
      <c r="L54" s="180" t="s">
        <v>180</v>
      </c>
      <c r="M54" s="182"/>
    </row>
    <row r="55" spans="3:13" ht="15.75" customHeight="1">
      <c r="C55" s="246"/>
      <c r="D55" s="118" t="s">
        <v>240</v>
      </c>
      <c r="E55" s="130"/>
      <c r="F55" s="130"/>
      <c r="G55" s="130"/>
      <c r="H55" s="131"/>
      <c r="I55" s="249"/>
      <c r="J55" s="235"/>
      <c r="K55" s="235"/>
      <c r="L55" s="180" t="s">
        <v>180</v>
      </c>
      <c r="M55" s="182"/>
    </row>
    <row r="56" spans="3:13" ht="15.75" customHeight="1">
      <c r="C56" s="246"/>
      <c r="D56" s="118" t="s">
        <v>241</v>
      </c>
      <c r="E56" s="130"/>
      <c r="F56" s="130"/>
      <c r="G56" s="130"/>
      <c r="H56" s="131"/>
      <c r="I56" s="249"/>
      <c r="J56" s="235"/>
      <c r="K56" s="235"/>
      <c r="L56" s="180"/>
      <c r="M56" s="182"/>
    </row>
    <row r="57" spans="3:13" ht="15.75" customHeight="1">
      <c r="C57" s="246"/>
      <c r="D57" s="118" t="s">
        <v>242</v>
      </c>
      <c r="E57" s="130"/>
      <c r="F57" s="130"/>
      <c r="G57" s="130"/>
      <c r="H57" s="131"/>
      <c r="I57" s="249"/>
      <c r="J57" s="235"/>
      <c r="K57" s="235"/>
      <c r="L57" s="180" t="s">
        <v>180</v>
      </c>
      <c r="M57" s="182"/>
    </row>
    <row r="58" spans="3:13" ht="15.75" customHeight="1">
      <c r="C58" s="246"/>
      <c r="D58" s="118" t="s">
        <v>243</v>
      </c>
      <c r="E58" s="130"/>
      <c r="F58" s="130"/>
      <c r="G58" s="130"/>
      <c r="H58" s="131"/>
      <c r="I58" s="249"/>
      <c r="J58" s="235"/>
      <c r="K58" s="235"/>
      <c r="L58" s="180" t="s">
        <v>180</v>
      </c>
      <c r="M58" s="182"/>
    </row>
    <row r="59" spans="3:13" ht="15.75" customHeight="1">
      <c r="C59" s="246"/>
      <c r="D59" s="118" t="s">
        <v>244</v>
      </c>
      <c r="E59" s="130"/>
      <c r="F59" s="130"/>
      <c r="G59" s="130"/>
      <c r="H59" s="131"/>
      <c r="I59" s="249"/>
      <c r="J59" s="235"/>
      <c r="K59" s="235"/>
      <c r="L59" s="180"/>
      <c r="M59" s="182"/>
    </row>
    <row r="60" spans="3:13" ht="15.75" customHeight="1">
      <c r="C60" s="246"/>
      <c r="D60" s="118" t="s">
        <v>245</v>
      </c>
      <c r="E60" s="130"/>
      <c r="F60" s="130"/>
      <c r="G60" s="130"/>
      <c r="H60" s="131"/>
      <c r="I60" s="249"/>
      <c r="J60" s="235"/>
      <c r="K60" s="235"/>
      <c r="L60" s="180"/>
      <c r="M60" s="182"/>
    </row>
    <row r="61" spans="3:13" ht="15.75" customHeight="1">
      <c r="C61" s="246"/>
      <c r="D61" s="118" t="s">
        <v>246</v>
      </c>
      <c r="E61" s="130"/>
      <c r="F61" s="130"/>
      <c r="G61" s="130"/>
      <c r="H61" s="131"/>
      <c r="I61" s="249"/>
      <c r="J61" s="235"/>
      <c r="K61" s="235"/>
      <c r="L61" s="180" t="s">
        <v>180</v>
      </c>
      <c r="M61" s="182"/>
    </row>
    <row r="62" spans="3:13" ht="15.75" customHeight="1">
      <c r="C62" s="246"/>
      <c r="D62" s="118" t="s">
        <v>247</v>
      </c>
      <c r="E62" s="130"/>
      <c r="F62" s="130"/>
      <c r="G62" s="130"/>
      <c r="H62" s="131"/>
      <c r="I62" s="249"/>
      <c r="J62" s="235"/>
      <c r="K62" s="235"/>
      <c r="L62" s="180" t="s">
        <v>180</v>
      </c>
      <c r="M62" s="182"/>
    </row>
    <row r="63" spans="3:13" ht="15.75" customHeight="1">
      <c r="C63" s="246"/>
      <c r="D63" s="118" t="s">
        <v>248</v>
      </c>
      <c r="E63" s="130"/>
      <c r="F63" s="130"/>
      <c r="G63" s="130"/>
      <c r="H63" s="131"/>
      <c r="I63" s="249"/>
      <c r="J63" s="235"/>
      <c r="K63" s="235"/>
      <c r="L63" s="180"/>
      <c r="M63" s="182"/>
    </row>
    <row r="64" spans="3:13" ht="15.75" customHeight="1">
      <c r="C64" s="246"/>
      <c r="D64" s="118" t="s">
        <v>249</v>
      </c>
      <c r="E64" s="130"/>
      <c r="F64" s="130"/>
      <c r="G64" s="130"/>
      <c r="H64" s="131"/>
      <c r="I64" s="249"/>
      <c r="J64" s="235"/>
      <c r="K64" s="235"/>
      <c r="L64" s="180" t="s">
        <v>180</v>
      </c>
      <c r="M64" s="182"/>
    </row>
    <row r="65" spans="3:13" ht="15.75" customHeight="1">
      <c r="C65" s="246"/>
      <c r="D65" s="118" t="s">
        <v>250</v>
      </c>
      <c r="E65" s="130"/>
      <c r="F65" s="130"/>
      <c r="G65" s="130"/>
      <c r="H65" s="131"/>
      <c r="I65" s="249"/>
      <c r="J65" s="235"/>
      <c r="K65" s="235"/>
      <c r="L65" s="180" t="s">
        <v>180</v>
      </c>
      <c r="M65" s="182"/>
    </row>
    <row r="66" spans="3:13" ht="15.75" customHeight="1">
      <c r="C66" s="247"/>
      <c r="D66" s="118" t="s">
        <v>251</v>
      </c>
      <c r="E66" s="132"/>
      <c r="F66" s="132"/>
      <c r="G66" s="132"/>
      <c r="H66" s="133"/>
      <c r="I66" s="250"/>
      <c r="J66" s="236"/>
      <c r="K66" s="236"/>
      <c r="L66" s="180" t="s">
        <v>180</v>
      </c>
      <c r="M66" s="182"/>
    </row>
    <row r="67" spans="3:13" ht="15.75" customHeight="1">
      <c r="C67" s="134" t="s">
        <v>252</v>
      </c>
      <c r="D67" s="135" t="s">
        <v>253</v>
      </c>
      <c r="E67" s="105"/>
      <c r="F67" s="106"/>
      <c r="G67" s="110" t="s">
        <v>180</v>
      </c>
      <c r="H67" s="93" t="s">
        <v>180</v>
      </c>
      <c r="I67" s="94" t="s">
        <v>180</v>
      </c>
      <c r="J67" s="95"/>
      <c r="K67" s="146" t="s">
        <v>180</v>
      </c>
      <c r="L67" s="180"/>
      <c r="M67" s="182"/>
    </row>
    <row r="68" spans="3:13" ht="15.75" customHeight="1">
      <c r="C68" s="134" t="s">
        <v>254</v>
      </c>
      <c r="D68" s="136" t="s">
        <v>255</v>
      </c>
      <c r="E68" s="95"/>
      <c r="F68" s="95"/>
      <c r="G68" s="95"/>
      <c r="H68" s="95" t="s">
        <v>180</v>
      </c>
      <c r="I68" s="95" t="s">
        <v>180</v>
      </c>
      <c r="J68" s="95"/>
      <c r="K68" s="146"/>
      <c r="L68" s="180"/>
      <c r="M68" s="182"/>
    </row>
    <row r="69" spans="3:13" ht="15.75" customHeight="1">
      <c r="C69" s="137" t="s">
        <v>256</v>
      </c>
      <c r="D69" s="136" t="s">
        <v>257</v>
      </c>
      <c r="E69" s="95"/>
      <c r="F69" s="95"/>
      <c r="G69" s="95"/>
      <c r="H69" s="95"/>
      <c r="I69" s="95" t="s">
        <v>180</v>
      </c>
      <c r="J69" s="95"/>
      <c r="K69" s="146"/>
      <c r="L69" s="180" t="s">
        <v>180</v>
      </c>
      <c r="M69" s="182"/>
    </row>
    <row r="70" spans="3:13" ht="15.75" customHeight="1">
      <c r="C70" s="237" t="s">
        <v>258</v>
      </c>
      <c r="D70" s="136" t="s">
        <v>259</v>
      </c>
      <c r="E70" s="95"/>
      <c r="F70" s="95"/>
      <c r="G70" s="95"/>
      <c r="H70" s="95" t="s">
        <v>180</v>
      </c>
      <c r="I70" s="95"/>
      <c r="J70" s="95" t="s">
        <v>180</v>
      </c>
      <c r="K70" s="146"/>
      <c r="L70" s="180"/>
      <c r="M70" s="182"/>
    </row>
    <row r="71" spans="3:13" ht="15.75" customHeight="1">
      <c r="C71" s="238"/>
      <c r="D71" s="136" t="s">
        <v>260</v>
      </c>
      <c r="E71" s="95"/>
      <c r="F71" s="95"/>
      <c r="G71" s="95"/>
      <c r="H71" s="95" t="s">
        <v>180</v>
      </c>
      <c r="I71" s="95" t="s">
        <v>180</v>
      </c>
      <c r="J71" s="95" t="s">
        <v>180</v>
      </c>
      <c r="K71" s="146"/>
      <c r="L71" s="180"/>
      <c r="M71" s="182"/>
    </row>
    <row r="72" spans="3:13" ht="15.75" customHeight="1">
      <c r="C72" s="238"/>
      <c r="D72" s="136" t="s">
        <v>261</v>
      </c>
      <c r="E72" s="95"/>
      <c r="F72" s="95"/>
      <c r="G72" s="95"/>
      <c r="H72" s="95" t="s">
        <v>180</v>
      </c>
      <c r="I72" s="95" t="s">
        <v>180</v>
      </c>
      <c r="J72" s="95" t="s">
        <v>180</v>
      </c>
      <c r="K72" s="146" t="s">
        <v>134</v>
      </c>
      <c r="L72" s="180"/>
      <c r="M72" s="182"/>
    </row>
    <row r="73" spans="3:13" ht="15.75" customHeight="1">
      <c r="C73" s="238"/>
      <c r="D73" s="136" t="s">
        <v>262</v>
      </c>
      <c r="E73" s="95"/>
      <c r="F73" s="95"/>
      <c r="G73" s="95"/>
      <c r="H73" s="95" t="s">
        <v>180</v>
      </c>
      <c r="I73" s="95" t="s">
        <v>180</v>
      </c>
      <c r="J73" s="95" t="s">
        <v>180</v>
      </c>
      <c r="K73" s="146"/>
      <c r="L73" s="180"/>
      <c r="M73" s="182"/>
    </row>
    <row r="74" spans="3:13" ht="15.75" customHeight="1">
      <c r="C74" s="238"/>
      <c r="D74" s="136" t="s">
        <v>263</v>
      </c>
      <c r="E74" s="95"/>
      <c r="F74" s="95"/>
      <c r="G74" s="95"/>
      <c r="H74" s="95" t="s">
        <v>180</v>
      </c>
      <c r="I74" s="95" t="s">
        <v>180</v>
      </c>
      <c r="J74" s="95" t="s">
        <v>180</v>
      </c>
      <c r="K74" s="146"/>
      <c r="L74" s="180"/>
      <c r="M74" s="182"/>
    </row>
    <row r="75" spans="3:13" ht="15.75" customHeight="1">
      <c r="C75" s="238"/>
      <c r="D75" s="136" t="s">
        <v>264</v>
      </c>
      <c r="E75" s="95"/>
      <c r="F75" s="95"/>
      <c r="G75" s="95"/>
      <c r="H75" s="95"/>
      <c r="I75" s="95" t="s">
        <v>180</v>
      </c>
      <c r="J75" s="95" t="s">
        <v>180</v>
      </c>
      <c r="K75" s="146"/>
      <c r="L75" s="180"/>
      <c r="M75" s="182"/>
    </row>
    <row r="76" spans="3:13" ht="15.75" customHeight="1">
      <c r="C76" s="239"/>
      <c r="D76" s="136" t="s">
        <v>265</v>
      </c>
      <c r="E76" s="95"/>
      <c r="F76" s="95"/>
      <c r="G76" s="95"/>
      <c r="H76" s="95" t="s">
        <v>180</v>
      </c>
      <c r="I76" s="95" t="s">
        <v>180</v>
      </c>
      <c r="J76" s="95"/>
      <c r="K76" s="146"/>
      <c r="L76" s="180"/>
      <c r="M76" s="182"/>
    </row>
    <row r="77" spans="3:13" ht="15.75" customHeight="1">
      <c r="C77" s="240" t="s">
        <v>266</v>
      </c>
      <c r="D77" s="136" t="s">
        <v>267</v>
      </c>
      <c r="E77" s="95"/>
      <c r="F77" s="95"/>
      <c r="G77" s="95"/>
      <c r="H77" s="95" t="s">
        <v>180</v>
      </c>
      <c r="I77" s="95" t="s">
        <v>180</v>
      </c>
      <c r="J77" s="95" t="s">
        <v>180</v>
      </c>
      <c r="K77" s="146" t="s">
        <v>134</v>
      </c>
      <c r="L77" s="180"/>
      <c r="M77" s="182"/>
    </row>
    <row r="78" spans="3:13" ht="15.75" customHeight="1">
      <c r="C78" s="241"/>
      <c r="D78" s="136" t="s">
        <v>268</v>
      </c>
      <c r="E78" s="95"/>
      <c r="F78" s="95"/>
      <c r="G78" s="95"/>
      <c r="H78" s="95" t="s">
        <v>180</v>
      </c>
      <c r="I78" s="95" t="s">
        <v>180</v>
      </c>
      <c r="J78" s="95" t="s">
        <v>180</v>
      </c>
      <c r="K78" s="146" t="s">
        <v>180</v>
      </c>
      <c r="L78" s="180"/>
      <c r="M78" s="182"/>
    </row>
    <row r="79" spans="3:13" ht="15.75" customHeight="1">
      <c r="C79" s="241"/>
      <c r="D79" s="136" t="s">
        <v>269</v>
      </c>
      <c r="E79" s="95"/>
      <c r="F79" s="95"/>
      <c r="G79" s="95"/>
      <c r="H79" s="95" t="s">
        <v>180</v>
      </c>
      <c r="I79" s="95" t="s">
        <v>180</v>
      </c>
      <c r="J79" s="95" t="s">
        <v>180</v>
      </c>
      <c r="K79" s="146" t="s">
        <v>180</v>
      </c>
      <c r="L79" s="180"/>
      <c r="M79" s="182"/>
    </row>
    <row r="80" spans="3:13" ht="15.75" customHeight="1">
      <c r="C80" s="241"/>
      <c r="D80" s="136" t="s">
        <v>270</v>
      </c>
      <c r="E80" s="95"/>
      <c r="F80" s="95"/>
      <c r="G80" s="95"/>
      <c r="H80" s="95" t="s">
        <v>180</v>
      </c>
      <c r="I80" s="95" t="s">
        <v>180</v>
      </c>
      <c r="J80" s="95" t="s">
        <v>180</v>
      </c>
      <c r="K80" s="146"/>
      <c r="L80" s="180"/>
      <c r="M80" s="182"/>
    </row>
    <row r="81" spans="3:13" ht="15.75" customHeight="1">
      <c r="C81" s="241"/>
      <c r="D81" s="136" t="s">
        <v>271</v>
      </c>
      <c r="E81" s="95"/>
      <c r="F81" s="95"/>
      <c r="G81" s="95"/>
      <c r="H81" s="95" t="s">
        <v>180</v>
      </c>
      <c r="I81" s="95" t="s">
        <v>180</v>
      </c>
      <c r="J81" s="95" t="s">
        <v>180</v>
      </c>
      <c r="K81" s="146" t="s">
        <v>180</v>
      </c>
      <c r="L81" s="180"/>
      <c r="M81" s="182"/>
    </row>
    <row r="82" spans="3:13" ht="15.75" customHeight="1">
      <c r="C82" s="241"/>
      <c r="D82" s="136" t="s">
        <v>272</v>
      </c>
      <c r="E82" s="95"/>
      <c r="F82" s="95"/>
      <c r="G82" s="95"/>
      <c r="H82" s="95"/>
      <c r="I82" s="95" t="s">
        <v>180</v>
      </c>
      <c r="J82" s="95" t="s">
        <v>180</v>
      </c>
      <c r="K82" s="146" t="s">
        <v>134</v>
      </c>
      <c r="L82" s="180"/>
      <c r="M82" s="182"/>
    </row>
    <row r="83" spans="3:13" ht="15.75" customHeight="1">
      <c r="C83" s="241"/>
      <c r="D83" s="136" t="s">
        <v>273</v>
      </c>
      <c r="E83" s="95"/>
      <c r="F83" s="95"/>
      <c r="G83" s="95"/>
      <c r="H83" s="95"/>
      <c r="I83" s="95" t="s">
        <v>180</v>
      </c>
      <c r="J83" s="95" t="s">
        <v>180</v>
      </c>
      <c r="K83" s="146" t="s">
        <v>134</v>
      </c>
      <c r="L83" s="180"/>
      <c r="M83" s="182"/>
    </row>
    <row r="84" spans="3:13" ht="15.75" customHeight="1">
      <c r="C84" s="241"/>
      <c r="D84" s="136" t="s">
        <v>274</v>
      </c>
      <c r="E84" s="95"/>
      <c r="F84" s="95"/>
      <c r="G84" s="95"/>
      <c r="H84" s="95"/>
      <c r="I84" s="95" t="s">
        <v>180</v>
      </c>
      <c r="J84" s="95" t="s">
        <v>180</v>
      </c>
      <c r="K84" s="146" t="s">
        <v>134</v>
      </c>
      <c r="L84" s="180"/>
      <c r="M84" s="182"/>
    </row>
    <row r="85" spans="3:13" ht="15.75" customHeight="1">
      <c r="C85" s="241"/>
      <c r="D85" s="136" t="s">
        <v>275</v>
      </c>
      <c r="E85" s="95"/>
      <c r="F85" s="95"/>
      <c r="G85" s="95"/>
      <c r="H85" s="95"/>
      <c r="I85" s="95"/>
      <c r="J85" s="95"/>
      <c r="K85" s="146" t="s">
        <v>180</v>
      </c>
      <c r="L85" s="180"/>
      <c r="M85" s="182"/>
    </row>
    <row r="86" spans="3:13" ht="15.75" customHeight="1">
      <c r="C86" s="241"/>
      <c r="D86" s="136" t="s">
        <v>276</v>
      </c>
      <c r="E86" s="95"/>
      <c r="F86" s="95"/>
      <c r="G86" s="95"/>
      <c r="H86" s="95"/>
      <c r="I86" s="95"/>
      <c r="J86" s="95"/>
      <c r="K86" s="146" t="s">
        <v>180</v>
      </c>
      <c r="L86" s="180"/>
      <c r="M86" s="182"/>
    </row>
    <row r="87" spans="3:13" ht="15.75" customHeight="1">
      <c r="C87" s="241"/>
      <c r="D87" s="138" t="s">
        <v>277</v>
      </c>
      <c r="E87" s="101"/>
      <c r="F87" s="101"/>
      <c r="G87" s="101"/>
      <c r="H87" s="93" t="s">
        <v>180</v>
      </c>
      <c r="I87" s="94" t="s">
        <v>180</v>
      </c>
      <c r="J87" s="95" t="s">
        <v>180</v>
      </c>
      <c r="K87" s="146" t="s">
        <v>134</v>
      </c>
      <c r="L87" s="180"/>
      <c r="M87" s="182"/>
    </row>
    <row r="88" spans="3:13" ht="15.75" customHeight="1">
      <c r="C88" s="139" t="s">
        <v>278</v>
      </c>
      <c r="D88" s="140" t="s">
        <v>279</v>
      </c>
      <c r="E88" s="141"/>
      <c r="F88" s="141"/>
      <c r="G88" s="141"/>
      <c r="H88" s="142"/>
      <c r="I88" s="143" t="s">
        <v>180</v>
      </c>
      <c r="J88" s="144"/>
      <c r="K88" s="144"/>
      <c r="L88" s="180"/>
      <c r="M88" s="182"/>
    </row>
    <row r="89" spans="3:13" ht="15.75" customHeight="1">
      <c r="C89" s="145" t="s">
        <v>280</v>
      </c>
      <c r="D89" s="138" t="s">
        <v>281</v>
      </c>
      <c r="E89" s="101"/>
      <c r="F89" s="101"/>
      <c r="G89" s="101"/>
      <c r="H89" s="93"/>
      <c r="I89" s="94"/>
      <c r="J89" s="146"/>
      <c r="K89" s="146" t="s">
        <v>180</v>
      </c>
      <c r="L89" s="180" t="s">
        <v>180</v>
      </c>
      <c r="M89" s="182"/>
    </row>
    <row r="90" spans="3:13" ht="15.75" customHeight="1">
      <c r="C90" s="242" t="s">
        <v>282</v>
      </c>
      <c r="D90" s="138" t="s">
        <v>283</v>
      </c>
      <c r="E90" s="101"/>
      <c r="F90" s="101"/>
      <c r="G90" s="101"/>
      <c r="H90" s="93"/>
      <c r="I90" s="94"/>
      <c r="J90" s="146"/>
      <c r="K90" s="146" t="s">
        <v>180</v>
      </c>
      <c r="L90" s="180"/>
      <c r="M90" s="182"/>
    </row>
    <row r="91" spans="3:13" ht="15.75" customHeight="1">
      <c r="C91" s="243"/>
      <c r="D91" s="138" t="s">
        <v>284</v>
      </c>
      <c r="E91" s="101"/>
      <c r="F91" s="101"/>
      <c r="G91" s="101"/>
      <c r="H91" s="93"/>
      <c r="I91" s="94"/>
      <c r="J91" s="146"/>
      <c r="K91" s="146" t="s">
        <v>180</v>
      </c>
      <c r="L91" s="180"/>
      <c r="M91" s="182"/>
    </row>
    <row r="92" spans="3:13" ht="15.75" customHeight="1">
      <c r="C92" s="243"/>
      <c r="D92" s="138" t="s">
        <v>285</v>
      </c>
      <c r="E92" s="101"/>
      <c r="F92" s="101"/>
      <c r="G92" s="101"/>
      <c r="H92" s="93"/>
      <c r="I92" s="94"/>
      <c r="J92" s="146"/>
      <c r="K92" s="146" t="s">
        <v>180</v>
      </c>
      <c r="L92" s="180"/>
      <c r="M92" s="182"/>
    </row>
    <row r="93" spans="3:13" ht="15.75" customHeight="1">
      <c r="C93" s="243"/>
      <c r="D93" s="138" t="s">
        <v>286</v>
      </c>
      <c r="E93" s="101"/>
      <c r="F93" s="101"/>
      <c r="G93" s="101"/>
      <c r="H93" s="93"/>
      <c r="I93" s="94"/>
      <c r="J93" s="146"/>
      <c r="K93" s="146" t="s">
        <v>180</v>
      </c>
      <c r="L93" s="180"/>
      <c r="M93" s="182"/>
    </row>
    <row r="94" spans="3:13" ht="15.75" customHeight="1">
      <c r="C94" s="243"/>
      <c r="D94" s="138" t="s">
        <v>263</v>
      </c>
      <c r="E94" s="101"/>
      <c r="F94" s="101"/>
      <c r="G94" s="101"/>
      <c r="H94" s="93"/>
      <c r="I94" s="94"/>
      <c r="J94" s="146"/>
      <c r="K94" s="146" t="s">
        <v>180</v>
      </c>
      <c r="L94" s="180"/>
      <c r="M94" s="182"/>
    </row>
    <row r="95" spans="3:13" ht="15.75" customHeight="1">
      <c r="C95" s="243"/>
      <c r="D95" s="138" t="s">
        <v>287</v>
      </c>
      <c r="E95" s="101"/>
      <c r="F95" s="101"/>
      <c r="G95" s="101"/>
      <c r="H95" s="93"/>
      <c r="I95" s="94"/>
      <c r="J95" s="146"/>
      <c r="K95" s="146" t="s">
        <v>180</v>
      </c>
      <c r="L95" s="180"/>
      <c r="M95" s="182"/>
    </row>
    <row r="96" spans="3:13" ht="15.75" customHeight="1">
      <c r="C96" s="243"/>
      <c r="D96" s="138" t="s">
        <v>288</v>
      </c>
      <c r="E96" s="101"/>
      <c r="F96" s="101"/>
      <c r="G96" s="101"/>
      <c r="H96" s="93"/>
      <c r="I96" s="94"/>
      <c r="J96" s="146"/>
      <c r="K96" s="146" t="s">
        <v>180</v>
      </c>
      <c r="L96" s="180"/>
      <c r="M96" s="182"/>
    </row>
    <row r="97" spans="3:13" ht="15.75" customHeight="1">
      <c r="C97" s="243"/>
      <c r="D97" s="138" t="s">
        <v>289</v>
      </c>
      <c r="E97" s="101"/>
      <c r="F97" s="101"/>
      <c r="G97" s="101"/>
      <c r="H97" s="93"/>
      <c r="I97" s="94"/>
      <c r="J97" s="146"/>
      <c r="K97" s="146" t="s">
        <v>180</v>
      </c>
      <c r="L97" s="180"/>
      <c r="M97" s="182"/>
    </row>
    <row r="98" spans="3:13" ht="15.75" customHeight="1">
      <c r="C98" s="244"/>
      <c r="D98" s="138" t="s">
        <v>290</v>
      </c>
      <c r="E98" s="101"/>
      <c r="F98" s="101"/>
      <c r="G98" s="101"/>
      <c r="H98" s="93"/>
      <c r="I98" s="94"/>
      <c r="J98" s="146"/>
      <c r="K98" s="146" t="s">
        <v>180</v>
      </c>
      <c r="L98" s="180"/>
      <c r="M98" s="182"/>
    </row>
    <row r="99" spans="3:13" ht="15.75" customHeight="1">
      <c r="E99" s="4"/>
      <c r="F99" s="4"/>
      <c r="G99" s="4"/>
      <c r="L99" s="182"/>
    </row>
    <row r="100" spans="3:13" ht="15.75" customHeight="1">
      <c r="E100" s="4"/>
      <c r="F100" s="4"/>
      <c r="G100" s="4"/>
    </row>
    <row r="101" spans="3:13" ht="15.75" customHeight="1">
      <c r="E101" s="4"/>
      <c r="F101" s="4"/>
      <c r="G101" s="4"/>
    </row>
    <row r="102" spans="3:13" ht="15.75" customHeight="1">
      <c r="E102" s="4"/>
      <c r="F102" s="4"/>
      <c r="G102" s="4"/>
    </row>
    <row r="103" spans="3:13" ht="15.75" customHeight="1">
      <c r="E103" s="4"/>
      <c r="F103" s="4"/>
      <c r="G103" s="4"/>
    </row>
    <row r="104" spans="3:13" ht="15.75" customHeight="1">
      <c r="E104" s="4"/>
      <c r="F104" s="4"/>
      <c r="G104" s="4"/>
    </row>
    <row r="105" spans="3:13" ht="15.75" customHeight="1">
      <c r="E105" s="4"/>
      <c r="F105" s="4"/>
      <c r="G105" s="4"/>
    </row>
    <row r="106" spans="3:13" ht="15.75" customHeight="1">
      <c r="E106" s="4"/>
      <c r="F106" s="4"/>
      <c r="G106" s="4"/>
    </row>
    <row r="107" spans="3:13" ht="15.75" customHeight="1">
      <c r="E107" s="4"/>
      <c r="F107" s="4"/>
      <c r="G107" s="4"/>
    </row>
    <row r="108" spans="3:13" ht="15.75" customHeight="1">
      <c r="E108" s="4"/>
      <c r="F108" s="4"/>
      <c r="G108" s="4"/>
    </row>
    <row r="109" spans="3:13" ht="15.75" customHeight="1">
      <c r="E109" s="4"/>
      <c r="F109" s="4"/>
      <c r="G109" s="4"/>
    </row>
    <row r="110" spans="3:13" ht="15.75" customHeight="1">
      <c r="E110" s="4"/>
      <c r="F110" s="4"/>
      <c r="G110" s="4"/>
    </row>
    <row r="111" spans="3:13" ht="15.75" customHeight="1">
      <c r="E111" s="4"/>
      <c r="F111" s="4"/>
      <c r="G111" s="4"/>
    </row>
    <row r="112" spans="3:13" ht="15.75" customHeight="1">
      <c r="E112" s="4"/>
      <c r="F112" s="4"/>
      <c r="G112" s="4"/>
    </row>
    <row r="113" spans="5:7" ht="15.75" customHeight="1">
      <c r="E113" s="4"/>
      <c r="F113" s="4"/>
      <c r="G113" s="4"/>
    </row>
    <row r="114" spans="5:7" ht="15.75" customHeight="1">
      <c r="E114" s="4"/>
      <c r="F114" s="4"/>
      <c r="G114" s="4"/>
    </row>
    <row r="115" spans="5:7" ht="15.75" customHeight="1">
      <c r="E115" s="4"/>
      <c r="F115" s="4"/>
      <c r="G115" s="4"/>
    </row>
    <row r="116" spans="5:7" ht="15.75" customHeight="1">
      <c r="E116" s="4"/>
      <c r="F116" s="4"/>
      <c r="G116" s="4"/>
    </row>
    <row r="117" spans="5:7" ht="15.75" customHeight="1">
      <c r="E117" s="4"/>
      <c r="F117" s="4"/>
      <c r="G117" s="4"/>
    </row>
    <row r="118" spans="5:7" ht="15.75" customHeight="1">
      <c r="E118" s="4"/>
      <c r="F118" s="4"/>
      <c r="G118" s="4"/>
    </row>
    <row r="119" spans="5:7" ht="15.75" customHeight="1">
      <c r="E119" s="4"/>
      <c r="F119" s="4"/>
      <c r="G119" s="4"/>
    </row>
    <row r="120" spans="5:7" ht="15.75" customHeight="1">
      <c r="E120" s="4"/>
      <c r="F120" s="4"/>
      <c r="G120" s="4"/>
    </row>
    <row r="121" spans="5:7" ht="15.75" customHeight="1">
      <c r="E121" s="4"/>
      <c r="F121" s="4"/>
      <c r="G121" s="4"/>
    </row>
    <row r="122" spans="5:7" ht="15.75" customHeight="1">
      <c r="E122" s="4"/>
      <c r="F122" s="4"/>
      <c r="G122" s="4"/>
    </row>
    <row r="123" spans="5:7" ht="15.75" customHeight="1">
      <c r="E123" s="4"/>
      <c r="F123" s="4"/>
      <c r="G123" s="4"/>
    </row>
    <row r="124" spans="5:7" ht="15.75" customHeight="1">
      <c r="E124" s="4"/>
      <c r="F124" s="4"/>
      <c r="G124" s="4"/>
    </row>
    <row r="125" spans="5:7" ht="15.75" customHeight="1">
      <c r="E125" s="4"/>
      <c r="F125" s="4"/>
      <c r="G125" s="4"/>
    </row>
    <row r="126" spans="5:7" ht="15.75" customHeight="1">
      <c r="E126" s="4"/>
      <c r="F126" s="4"/>
      <c r="G126" s="4"/>
    </row>
    <row r="127" spans="5:7" ht="15.75" customHeight="1">
      <c r="E127" s="4"/>
      <c r="F127" s="4"/>
      <c r="G127" s="4"/>
    </row>
    <row r="128" spans="5:7" ht="15.75" customHeight="1">
      <c r="E128" s="4"/>
      <c r="F128" s="4"/>
      <c r="G128" s="4"/>
    </row>
    <row r="129" spans="5:7" ht="15.75" customHeight="1">
      <c r="E129" s="4"/>
      <c r="F129" s="4"/>
      <c r="G129" s="4"/>
    </row>
    <row r="130" spans="5:7" ht="15.75" customHeight="1">
      <c r="E130" s="4"/>
      <c r="F130" s="4"/>
      <c r="G130" s="4"/>
    </row>
    <row r="131" spans="5:7" ht="15.75" customHeight="1">
      <c r="E131" s="4"/>
      <c r="F131" s="4"/>
      <c r="G131" s="4"/>
    </row>
    <row r="132" spans="5:7" ht="15.75" customHeight="1">
      <c r="E132" s="4"/>
      <c r="F132" s="4"/>
      <c r="G132" s="4"/>
    </row>
    <row r="133" spans="5:7" ht="15.75" customHeight="1">
      <c r="E133" s="4"/>
      <c r="F133" s="4"/>
      <c r="G133" s="4"/>
    </row>
    <row r="134" spans="5:7" ht="15.75" customHeight="1">
      <c r="E134" s="4"/>
      <c r="F134" s="4"/>
      <c r="G134" s="4"/>
    </row>
    <row r="135" spans="5:7" ht="15.75" customHeight="1">
      <c r="E135" s="4"/>
      <c r="F135" s="4"/>
      <c r="G135" s="4"/>
    </row>
    <row r="136" spans="5:7" ht="15.75" customHeight="1">
      <c r="E136" s="4"/>
      <c r="F136" s="4"/>
      <c r="G136" s="4"/>
    </row>
    <row r="137" spans="5:7" ht="15.75" customHeight="1">
      <c r="E137" s="4"/>
      <c r="F137" s="4"/>
      <c r="G137" s="4"/>
    </row>
    <row r="138" spans="5:7" ht="15.75" customHeight="1">
      <c r="E138" s="4"/>
      <c r="F138" s="4"/>
      <c r="G138" s="4"/>
    </row>
    <row r="139" spans="5:7" ht="15.75" customHeight="1">
      <c r="E139" s="4"/>
      <c r="F139" s="4"/>
      <c r="G139" s="4"/>
    </row>
    <row r="140" spans="5:7" ht="15.75" customHeight="1">
      <c r="E140" s="4"/>
      <c r="F140" s="4"/>
      <c r="G140" s="4"/>
    </row>
    <row r="141" spans="5:7" ht="15.75" customHeight="1">
      <c r="E141" s="4"/>
      <c r="F141" s="4"/>
      <c r="G141" s="4"/>
    </row>
    <row r="142" spans="5:7" ht="15.75" customHeight="1">
      <c r="E142" s="4"/>
      <c r="F142" s="4"/>
      <c r="G142" s="4"/>
    </row>
    <row r="143" spans="5:7" ht="15.75" customHeight="1">
      <c r="E143" s="4"/>
      <c r="F143" s="4"/>
      <c r="G143" s="4"/>
    </row>
    <row r="144" spans="5:7" ht="15.75" customHeight="1">
      <c r="E144" s="4"/>
      <c r="F144" s="4"/>
      <c r="G144" s="4"/>
    </row>
    <row r="145" spans="5:7" ht="15.75" customHeight="1">
      <c r="E145" s="4"/>
      <c r="F145" s="4"/>
      <c r="G145" s="4"/>
    </row>
    <row r="146" spans="5:7" ht="15.75" customHeight="1">
      <c r="E146" s="4"/>
      <c r="F146" s="4"/>
      <c r="G146" s="4"/>
    </row>
    <row r="147" spans="5:7" ht="15.75" customHeight="1">
      <c r="E147" s="4"/>
      <c r="F147" s="4"/>
      <c r="G147" s="4"/>
    </row>
    <row r="148" spans="5:7" ht="15.75" customHeight="1">
      <c r="E148" s="4"/>
      <c r="F148" s="4"/>
      <c r="G148" s="4"/>
    </row>
    <row r="149" spans="5:7" ht="15.75" customHeight="1">
      <c r="E149" s="4"/>
      <c r="F149" s="4"/>
      <c r="G149" s="4"/>
    </row>
    <row r="150" spans="5:7" ht="15.75" customHeight="1">
      <c r="E150" s="4"/>
      <c r="F150" s="4"/>
      <c r="G150" s="4"/>
    </row>
    <row r="151" spans="5:7" ht="15.75" customHeight="1">
      <c r="E151" s="4"/>
      <c r="F151" s="4"/>
      <c r="G151" s="4"/>
    </row>
    <row r="152" spans="5:7" ht="15.75" customHeight="1">
      <c r="E152" s="4"/>
      <c r="F152" s="4"/>
      <c r="G152" s="4"/>
    </row>
    <row r="153" spans="5:7" ht="15.75" customHeight="1">
      <c r="E153" s="4"/>
      <c r="F153" s="4"/>
      <c r="G153" s="4"/>
    </row>
    <row r="154" spans="5:7" ht="15.75" customHeight="1">
      <c r="E154" s="4"/>
      <c r="F154" s="4"/>
      <c r="G154" s="4"/>
    </row>
    <row r="155" spans="5:7" ht="12.75" customHeight="1">
      <c r="E155" s="4"/>
      <c r="F155" s="4"/>
      <c r="G155" s="4"/>
    </row>
    <row r="156" spans="5:7" ht="12.75" customHeight="1">
      <c r="E156" s="4"/>
      <c r="F156" s="4"/>
      <c r="G156" s="4"/>
    </row>
    <row r="157" spans="5:7" ht="12.75" customHeight="1">
      <c r="E157" s="4"/>
      <c r="F157" s="4"/>
      <c r="G157" s="4"/>
    </row>
    <row r="158" spans="5:7" ht="12.75" customHeight="1">
      <c r="E158" s="4"/>
      <c r="F158" s="4"/>
      <c r="G158" s="4"/>
    </row>
    <row r="159" spans="5:7" ht="12.75" customHeight="1">
      <c r="E159" s="4"/>
      <c r="F159" s="4"/>
      <c r="G159" s="4"/>
    </row>
    <row r="160" spans="5:7" ht="12.75" customHeight="1">
      <c r="E160" s="4"/>
      <c r="F160" s="4"/>
      <c r="G160" s="4"/>
    </row>
    <row r="161" spans="5:7" ht="12.75" customHeight="1">
      <c r="E161" s="4"/>
      <c r="F161" s="4"/>
      <c r="G161" s="4"/>
    </row>
    <row r="162" spans="5:7" ht="12.75" customHeight="1">
      <c r="E162" s="4"/>
      <c r="F162" s="4"/>
      <c r="G162" s="4"/>
    </row>
    <row r="163" spans="5:7" ht="12.75" customHeight="1">
      <c r="E163" s="4"/>
      <c r="F163" s="4"/>
      <c r="G163" s="4"/>
    </row>
    <row r="164" spans="5:7" ht="12.75" customHeight="1">
      <c r="E164" s="4"/>
      <c r="F164" s="4"/>
      <c r="G164" s="4"/>
    </row>
    <row r="165" spans="5:7" ht="12.75" customHeight="1">
      <c r="E165" s="4"/>
      <c r="F165" s="4"/>
      <c r="G165" s="4"/>
    </row>
    <row r="166" spans="5:7" ht="12.75" customHeight="1">
      <c r="E166" s="4"/>
      <c r="F166" s="4"/>
      <c r="G166" s="4"/>
    </row>
    <row r="167" spans="5:7" ht="12.75" customHeight="1">
      <c r="E167" s="4"/>
      <c r="F167" s="4"/>
      <c r="G167" s="4"/>
    </row>
    <row r="168" spans="5:7" ht="12.75" customHeight="1">
      <c r="E168" s="4"/>
      <c r="F168" s="4"/>
      <c r="G168" s="4"/>
    </row>
    <row r="169" spans="5:7" ht="12.75" customHeight="1">
      <c r="E169" s="4"/>
      <c r="F169" s="4"/>
      <c r="G169" s="4"/>
    </row>
    <row r="170" spans="5:7" ht="12.75" customHeight="1">
      <c r="E170" s="4"/>
      <c r="F170" s="4"/>
      <c r="G170" s="4"/>
    </row>
    <row r="171" spans="5:7" ht="12.75" customHeight="1">
      <c r="E171" s="4"/>
      <c r="F171" s="4"/>
      <c r="G171" s="4"/>
    </row>
    <row r="172" spans="5:7" ht="12.75" customHeight="1">
      <c r="E172" s="4"/>
      <c r="F172" s="4"/>
      <c r="G172" s="4"/>
    </row>
    <row r="173" spans="5:7" ht="12.75" customHeight="1">
      <c r="E173" s="4"/>
      <c r="F173" s="4"/>
      <c r="G173" s="4"/>
    </row>
    <row r="174" spans="5:7" ht="12.75" customHeight="1">
      <c r="E174" s="4"/>
      <c r="F174" s="4"/>
      <c r="G174" s="4"/>
    </row>
    <row r="175" spans="5:7" ht="12.75" customHeight="1">
      <c r="E175" s="4"/>
      <c r="F175" s="4"/>
      <c r="G175" s="4"/>
    </row>
    <row r="176" spans="5:7" ht="12.75" customHeight="1">
      <c r="E176" s="4"/>
      <c r="F176" s="4"/>
      <c r="G176" s="4"/>
    </row>
    <row r="177" spans="5:7" ht="12.75" customHeight="1">
      <c r="E177" s="4"/>
      <c r="F177" s="4"/>
      <c r="G177" s="4"/>
    </row>
    <row r="178" spans="5:7" ht="12.75" customHeight="1">
      <c r="E178" s="4"/>
      <c r="F178" s="4"/>
      <c r="G178" s="4"/>
    </row>
    <row r="179" spans="5:7" ht="12.75" customHeight="1">
      <c r="E179" s="4"/>
      <c r="F179" s="4"/>
      <c r="G179" s="4"/>
    </row>
    <row r="180" spans="5:7" ht="12.75" customHeight="1">
      <c r="E180" s="4"/>
      <c r="F180" s="4"/>
      <c r="G180" s="4"/>
    </row>
    <row r="181" spans="5:7" ht="12.75" customHeight="1">
      <c r="E181" s="4"/>
      <c r="F181" s="4"/>
      <c r="G181" s="4"/>
    </row>
    <row r="182" spans="5:7" ht="12.75" customHeight="1">
      <c r="E182" s="4"/>
      <c r="F182" s="4"/>
      <c r="G182" s="4"/>
    </row>
    <row r="183" spans="5:7" ht="12.75" customHeight="1">
      <c r="E183" s="4"/>
      <c r="F183" s="4"/>
      <c r="G183" s="4"/>
    </row>
    <row r="184" spans="5:7" ht="12.75" customHeight="1">
      <c r="E184" s="4"/>
      <c r="F184" s="4"/>
      <c r="G184" s="4"/>
    </row>
    <row r="185" spans="5:7" ht="12.75" customHeight="1">
      <c r="E185" s="4"/>
      <c r="F185" s="4"/>
      <c r="G185" s="4"/>
    </row>
    <row r="186" spans="5:7" ht="12.75" customHeight="1">
      <c r="E186" s="4"/>
      <c r="F186" s="4"/>
      <c r="G186" s="4"/>
    </row>
    <row r="187" spans="5:7" ht="12.75" customHeight="1">
      <c r="E187" s="4"/>
      <c r="F187" s="4"/>
      <c r="G187" s="4"/>
    </row>
    <row r="188" spans="5:7" ht="12.75" customHeight="1">
      <c r="E188" s="4"/>
      <c r="F188" s="4"/>
      <c r="G188" s="4"/>
    </row>
    <row r="189" spans="5:7" ht="12.75" customHeight="1">
      <c r="E189" s="4"/>
      <c r="F189" s="4"/>
      <c r="G189" s="4"/>
    </row>
    <row r="190" spans="5:7" ht="12.75" customHeight="1">
      <c r="E190" s="4"/>
      <c r="F190" s="4"/>
      <c r="G190" s="4"/>
    </row>
    <row r="191" spans="5:7" ht="12.75" customHeight="1">
      <c r="E191" s="4"/>
      <c r="F191" s="4"/>
      <c r="G191" s="4"/>
    </row>
    <row r="192" spans="5:7" ht="12.75" customHeight="1">
      <c r="E192" s="4"/>
      <c r="F192" s="4"/>
      <c r="G192" s="4"/>
    </row>
    <row r="193" spans="5:7" ht="12.75" customHeight="1">
      <c r="E193" s="4"/>
      <c r="F193" s="4"/>
      <c r="G193" s="4"/>
    </row>
    <row r="194" spans="5:7" ht="12.75" customHeight="1">
      <c r="E194" s="4"/>
      <c r="F194" s="4"/>
      <c r="G194" s="4"/>
    </row>
    <row r="195" spans="5:7" ht="12.75" customHeight="1">
      <c r="E195" s="4"/>
      <c r="F195" s="4"/>
      <c r="G195" s="4"/>
    </row>
    <row r="196" spans="5:7" ht="12.75" customHeight="1">
      <c r="E196" s="4"/>
      <c r="F196" s="4"/>
      <c r="G196" s="4"/>
    </row>
    <row r="197" spans="5:7" ht="12.75" customHeight="1">
      <c r="E197" s="4"/>
      <c r="F197" s="4"/>
      <c r="G197" s="4"/>
    </row>
    <row r="198" spans="5:7" ht="12.75" customHeight="1">
      <c r="E198" s="4"/>
      <c r="F198" s="4"/>
      <c r="G198" s="4"/>
    </row>
    <row r="199" spans="5:7" ht="12.75" customHeight="1">
      <c r="E199" s="4"/>
      <c r="F199" s="4"/>
      <c r="G199" s="4"/>
    </row>
    <row r="200" spans="5:7" ht="12.75" customHeight="1">
      <c r="E200" s="4"/>
      <c r="F200" s="4"/>
      <c r="G200" s="4"/>
    </row>
    <row r="201" spans="5:7" ht="12.75" customHeight="1">
      <c r="E201" s="4"/>
      <c r="F201" s="4"/>
      <c r="G201" s="4"/>
    </row>
    <row r="202" spans="5:7" ht="12.75" customHeight="1">
      <c r="E202" s="4"/>
      <c r="F202" s="4"/>
      <c r="G202" s="4"/>
    </row>
    <row r="203" spans="5:7" ht="12.75" customHeight="1">
      <c r="E203" s="4"/>
      <c r="F203" s="4"/>
      <c r="G203" s="4"/>
    </row>
    <row r="204" spans="5:7" ht="12.75" customHeight="1">
      <c r="E204" s="4"/>
      <c r="F204" s="4"/>
      <c r="G204" s="4"/>
    </row>
    <row r="205" spans="5:7" ht="12.75" customHeight="1">
      <c r="E205" s="4"/>
      <c r="F205" s="4"/>
      <c r="G205" s="4"/>
    </row>
    <row r="206" spans="5:7" ht="12.75" customHeight="1">
      <c r="E206" s="4"/>
      <c r="F206" s="4"/>
      <c r="G206" s="4"/>
    </row>
    <row r="207" spans="5:7" ht="12.75" customHeight="1">
      <c r="E207" s="4"/>
      <c r="F207" s="4"/>
      <c r="G207" s="4"/>
    </row>
    <row r="208" spans="5:7" ht="12.75" customHeight="1">
      <c r="E208" s="4"/>
      <c r="F208" s="4"/>
      <c r="G208" s="4"/>
    </row>
    <row r="209" spans="5:7" ht="12.75" customHeight="1">
      <c r="E209" s="4"/>
      <c r="F209" s="4"/>
      <c r="G209" s="4"/>
    </row>
    <row r="210" spans="5:7" ht="12.75" customHeight="1">
      <c r="E210" s="4"/>
      <c r="F210" s="4"/>
      <c r="G210" s="4"/>
    </row>
    <row r="211" spans="5:7" ht="12.75" customHeight="1">
      <c r="E211" s="4"/>
      <c r="F211" s="4"/>
      <c r="G211" s="4"/>
    </row>
    <row r="212" spans="5:7" ht="12.75" customHeight="1">
      <c r="E212" s="4"/>
      <c r="F212" s="4"/>
      <c r="G212" s="4"/>
    </row>
    <row r="213" spans="5:7" ht="12.75" customHeight="1">
      <c r="E213" s="4"/>
      <c r="F213" s="4"/>
      <c r="G213" s="4"/>
    </row>
    <row r="214" spans="5:7" ht="12.75" customHeight="1">
      <c r="E214" s="4"/>
      <c r="F214" s="4"/>
      <c r="G214" s="4"/>
    </row>
    <row r="215" spans="5:7" ht="12.75" customHeight="1">
      <c r="E215" s="4"/>
      <c r="F215" s="4"/>
      <c r="G215" s="4"/>
    </row>
    <row r="216" spans="5:7" ht="12.75" customHeight="1">
      <c r="E216" s="4"/>
      <c r="F216" s="4"/>
      <c r="G216" s="4"/>
    </row>
    <row r="217" spans="5:7" ht="12.75" customHeight="1">
      <c r="E217" s="4"/>
      <c r="F217" s="4"/>
      <c r="G217" s="4"/>
    </row>
    <row r="218" spans="5:7" ht="12.75" customHeight="1">
      <c r="E218" s="4"/>
      <c r="F218" s="4"/>
      <c r="G218" s="4"/>
    </row>
    <row r="219" spans="5:7" ht="12.75" customHeight="1">
      <c r="E219" s="4"/>
      <c r="F219" s="4"/>
      <c r="G219" s="4"/>
    </row>
    <row r="220" spans="5:7" ht="12.75" customHeight="1">
      <c r="E220" s="4"/>
      <c r="F220" s="4"/>
      <c r="G220" s="4"/>
    </row>
    <row r="221" spans="5:7" ht="12.75" customHeight="1">
      <c r="E221" s="4"/>
      <c r="F221" s="4"/>
      <c r="G221" s="4"/>
    </row>
    <row r="222" spans="5:7" ht="12.75" customHeight="1">
      <c r="E222" s="4"/>
      <c r="F222" s="4"/>
      <c r="G222" s="4"/>
    </row>
    <row r="223" spans="5:7" ht="12.75" customHeight="1">
      <c r="E223" s="4"/>
      <c r="F223" s="4"/>
      <c r="G223" s="4"/>
    </row>
    <row r="224" spans="5:7" ht="12.75" customHeight="1">
      <c r="E224" s="4"/>
      <c r="F224" s="4"/>
      <c r="G224" s="4"/>
    </row>
    <row r="225" spans="5:7" ht="12.75" customHeight="1">
      <c r="E225" s="4"/>
      <c r="F225" s="4"/>
      <c r="G225" s="4"/>
    </row>
    <row r="226" spans="5:7" ht="12.75" customHeight="1">
      <c r="E226" s="4"/>
      <c r="F226" s="4"/>
      <c r="G226" s="4"/>
    </row>
    <row r="227" spans="5:7" ht="12.75" customHeight="1">
      <c r="E227" s="4"/>
      <c r="F227" s="4"/>
      <c r="G227" s="4"/>
    </row>
    <row r="228" spans="5:7" ht="12.75" customHeight="1">
      <c r="E228" s="4"/>
      <c r="F228" s="4"/>
      <c r="G228" s="4"/>
    </row>
    <row r="229" spans="5:7" ht="12.75" customHeight="1">
      <c r="E229" s="4"/>
      <c r="F229" s="4"/>
      <c r="G229" s="4"/>
    </row>
    <row r="230" spans="5:7" ht="12.75" customHeight="1">
      <c r="E230" s="4"/>
      <c r="F230" s="4"/>
      <c r="G230" s="4"/>
    </row>
    <row r="231" spans="5:7" ht="12.75" customHeight="1">
      <c r="E231" s="4"/>
      <c r="F231" s="4"/>
      <c r="G231" s="4"/>
    </row>
    <row r="232" spans="5:7" ht="12.75" customHeight="1">
      <c r="E232" s="4"/>
      <c r="F232" s="4"/>
      <c r="G232" s="4"/>
    </row>
    <row r="233" spans="5:7" ht="12.75" customHeight="1">
      <c r="E233" s="4"/>
      <c r="F233" s="4"/>
      <c r="G233" s="4"/>
    </row>
    <row r="234" spans="5:7" ht="12.75" customHeight="1">
      <c r="E234" s="4"/>
      <c r="F234" s="4"/>
      <c r="G234" s="4"/>
    </row>
    <row r="235" spans="5:7" ht="12.75" customHeight="1">
      <c r="E235" s="4"/>
      <c r="F235" s="4"/>
      <c r="G235" s="4"/>
    </row>
    <row r="236" spans="5:7" ht="12.75" customHeight="1">
      <c r="E236" s="4"/>
      <c r="F236" s="4"/>
      <c r="G236" s="4"/>
    </row>
    <row r="237" spans="5:7" ht="12.75" customHeight="1">
      <c r="E237" s="4"/>
      <c r="F237" s="4"/>
      <c r="G237" s="4"/>
    </row>
    <row r="238" spans="5:7" ht="12.75" customHeight="1">
      <c r="E238" s="4"/>
      <c r="F238" s="4"/>
      <c r="G238" s="4"/>
    </row>
    <row r="239" spans="5:7" ht="12.75" customHeight="1">
      <c r="E239" s="4"/>
      <c r="F239" s="4"/>
      <c r="G239" s="4"/>
    </row>
    <row r="240" spans="5:7" ht="12.75" customHeight="1">
      <c r="E240" s="4"/>
      <c r="F240" s="4"/>
      <c r="G240" s="4"/>
    </row>
    <row r="241" spans="5:7" ht="12.75" customHeight="1">
      <c r="E241" s="4"/>
      <c r="F241" s="4"/>
      <c r="G241" s="4"/>
    </row>
    <row r="242" spans="5:7" ht="12.75" customHeight="1">
      <c r="E242" s="4"/>
      <c r="F242" s="4"/>
      <c r="G242" s="4"/>
    </row>
    <row r="243" spans="5:7" ht="12.75" customHeight="1">
      <c r="E243" s="4"/>
      <c r="F243" s="4"/>
      <c r="G243" s="4"/>
    </row>
    <row r="244" spans="5:7" ht="12.75" customHeight="1">
      <c r="E244" s="4"/>
      <c r="F244" s="4"/>
      <c r="G244" s="4"/>
    </row>
    <row r="245" spans="5:7" ht="12.75" customHeight="1">
      <c r="E245" s="4"/>
      <c r="F245" s="4"/>
      <c r="G245" s="4"/>
    </row>
    <row r="246" spans="5:7" ht="12.75" customHeight="1">
      <c r="E246" s="4"/>
      <c r="F246" s="4"/>
      <c r="G246" s="4"/>
    </row>
    <row r="247" spans="5:7" ht="12.75" customHeight="1">
      <c r="E247" s="4"/>
      <c r="F247" s="4"/>
      <c r="G247" s="4"/>
    </row>
    <row r="248" spans="5:7" ht="12.75" customHeight="1">
      <c r="E248" s="4"/>
      <c r="F248" s="4"/>
      <c r="G248" s="4"/>
    </row>
    <row r="249" spans="5:7" ht="12.75" customHeight="1">
      <c r="E249" s="4"/>
      <c r="F249" s="4"/>
      <c r="G249" s="4"/>
    </row>
    <row r="250" spans="5:7" ht="12.75" customHeight="1">
      <c r="E250" s="4"/>
      <c r="F250" s="4"/>
      <c r="G250" s="4"/>
    </row>
    <row r="251" spans="5:7" ht="12.75" customHeight="1">
      <c r="E251" s="4"/>
      <c r="F251" s="4"/>
      <c r="G251" s="4"/>
    </row>
    <row r="252" spans="5:7" ht="12.75" customHeight="1">
      <c r="E252" s="4"/>
      <c r="F252" s="4"/>
      <c r="G252" s="4"/>
    </row>
    <row r="253" spans="5:7" ht="12.75" customHeight="1">
      <c r="E253" s="4"/>
      <c r="F253" s="4"/>
      <c r="G253" s="4"/>
    </row>
    <row r="254" spans="5:7" ht="12.75" customHeight="1">
      <c r="E254" s="4"/>
      <c r="F254" s="4"/>
      <c r="G254" s="4"/>
    </row>
    <row r="255" spans="5:7" ht="12.75" customHeight="1">
      <c r="E255" s="4"/>
      <c r="F255" s="4"/>
      <c r="G255" s="4"/>
    </row>
    <row r="256" spans="5:7" ht="12.75" customHeight="1">
      <c r="E256" s="4"/>
      <c r="F256" s="4"/>
      <c r="G256" s="4"/>
    </row>
    <row r="257" spans="5:7" ht="12.75" customHeight="1">
      <c r="E257" s="4"/>
      <c r="F257" s="4"/>
      <c r="G257" s="4"/>
    </row>
    <row r="258" spans="5:7" ht="12.75" customHeight="1">
      <c r="E258" s="4"/>
      <c r="F258" s="4"/>
      <c r="G258" s="4"/>
    </row>
    <row r="259" spans="5:7" ht="12.75" customHeight="1">
      <c r="E259" s="4"/>
      <c r="F259" s="4"/>
      <c r="G259" s="4"/>
    </row>
    <row r="260" spans="5:7" ht="12.75" customHeight="1">
      <c r="E260" s="4"/>
      <c r="F260" s="4"/>
      <c r="G260" s="4"/>
    </row>
    <row r="261" spans="5:7" ht="12.75" customHeight="1">
      <c r="E261" s="4"/>
      <c r="F261" s="4"/>
      <c r="G261" s="4"/>
    </row>
    <row r="262" spans="5:7" ht="12.75" customHeight="1">
      <c r="E262" s="4"/>
      <c r="F262" s="4"/>
      <c r="G262" s="4"/>
    </row>
    <row r="263" spans="5:7" ht="12.75" customHeight="1">
      <c r="E263" s="4"/>
      <c r="F263" s="4"/>
      <c r="G263" s="4"/>
    </row>
    <row r="264" spans="5:7" ht="12.75" customHeight="1">
      <c r="E264" s="4"/>
      <c r="F264" s="4"/>
      <c r="G264" s="4"/>
    </row>
    <row r="265" spans="5:7" ht="12.75" customHeight="1">
      <c r="E265" s="4"/>
      <c r="F265" s="4"/>
      <c r="G265" s="4"/>
    </row>
    <row r="266" spans="5:7" ht="12.75" customHeight="1">
      <c r="E266" s="4"/>
      <c r="F266" s="4"/>
      <c r="G266" s="4"/>
    </row>
    <row r="267" spans="5:7" ht="12.75" customHeight="1">
      <c r="E267" s="4"/>
      <c r="F267" s="4"/>
      <c r="G267" s="4"/>
    </row>
    <row r="268" spans="5:7" ht="12.75" customHeight="1">
      <c r="E268" s="4"/>
      <c r="F268" s="4"/>
      <c r="G268" s="4"/>
    </row>
    <row r="269" spans="5:7" ht="12.75" customHeight="1">
      <c r="E269" s="4"/>
      <c r="F269" s="4"/>
      <c r="G269" s="4"/>
    </row>
    <row r="270" spans="5:7" ht="12.75" customHeight="1">
      <c r="E270" s="4"/>
      <c r="F270" s="4"/>
      <c r="G270" s="4"/>
    </row>
    <row r="271" spans="5:7" ht="12.75" customHeight="1">
      <c r="E271" s="4"/>
      <c r="F271" s="4"/>
      <c r="G271" s="4"/>
    </row>
    <row r="272" spans="5:7" ht="12.75" customHeight="1">
      <c r="E272" s="4"/>
      <c r="F272" s="4"/>
      <c r="G272" s="4"/>
    </row>
    <row r="273" spans="5:7" ht="12.75" customHeight="1">
      <c r="E273" s="4"/>
      <c r="F273" s="4"/>
      <c r="G273" s="4"/>
    </row>
    <row r="274" spans="5:7" ht="12.75" customHeight="1">
      <c r="E274" s="4"/>
      <c r="F274" s="4"/>
      <c r="G274" s="4"/>
    </row>
    <row r="275" spans="5:7" ht="12.75" customHeight="1">
      <c r="E275" s="4"/>
      <c r="F275" s="4"/>
      <c r="G275" s="4"/>
    </row>
    <row r="276" spans="5:7" ht="12.75" customHeight="1">
      <c r="E276" s="4"/>
      <c r="F276" s="4"/>
      <c r="G276" s="4"/>
    </row>
    <row r="277" spans="5:7" ht="12.75" customHeight="1">
      <c r="E277" s="4"/>
      <c r="F277" s="4"/>
      <c r="G277" s="4"/>
    </row>
    <row r="278" spans="5:7" ht="12.75" customHeight="1">
      <c r="E278" s="4"/>
      <c r="F278" s="4"/>
      <c r="G278" s="4"/>
    </row>
    <row r="279" spans="5:7" ht="12.75" customHeight="1">
      <c r="E279" s="4"/>
      <c r="F279" s="4"/>
      <c r="G279" s="4"/>
    </row>
    <row r="280" spans="5:7" ht="12.75" customHeight="1">
      <c r="E280" s="4"/>
      <c r="F280" s="4"/>
      <c r="G280" s="4"/>
    </row>
    <row r="281" spans="5:7" ht="12.75" customHeight="1">
      <c r="E281" s="4"/>
      <c r="F281" s="4"/>
      <c r="G281" s="4"/>
    </row>
    <row r="282" spans="5:7" ht="12.75" customHeight="1">
      <c r="E282" s="4"/>
      <c r="F282" s="4"/>
      <c r="G282" s="4"/>
    </row>
    <row r="283" spans="5:7" ht="12.75" customHeight="1">
      <c r="E283" s="4"/>
      <c r="F283" s="4"/>
      <c r="G283" s="4"/>
    </row>
    <row r="284" spans="5:7" ht="12.75" customHeight="1">
      <c r="E284" s="4"/>
      <c r="F284" s="4"/>
      <c r="G284" s="4"/>
    </row>
    <row r="285" spans="5:7" ht="12.75" customHeight="1">
      <c r="E285" s="4"/>
      <c r="F285" s="4"/>
      <c r="G285" s="4"/>
    </row>
    <row r="286" spans="5:7" ht="12.75" customHeight="1">
      <c r="E286" s="4"/>
      <c r="F286" s="4"/>
      <c r="G286" s="4"/>
    </row>
    <row r="287" spans="5:7" ht="12.75" customHeight="1">
      <c r="E287" s="4"/>
      <c r="F287" s="4"/>
      <c r="G287" s="4"/>
    </row>
    <row r="288" spans="5:7" ht="12.75" customHeight="1">
      <c r="E288" s="4"/>
      <c r="F288" s="4"/>
      <c r="G288" s="4"/>
    </row>
    <row r="289" spans="5:7" ht="12.75" customHeight="1">
      <c r="E289" s="4"/>
      <c r="F289" s="4"/>
      <c r="G289" s="4"/>
    </row>
    <row r="290" spans="5:7" ht="12.75" customHeight="1">
      <c r="E290" s="4"/>
      <c r="F290" s="4"/>
      <c r="G290" s="4"/>
    </row>
    <row r="291" spans="5:7" ht="12.75" customHeight="1">
      <c r="E291" s="4"/>
      <c r="F291" s="4"/>
      <c r="G291" s="4"/>
    </row>
    <row r="292" spans="5:7" ht="12.75" customHeight="1">
      <c r="E292" s="4"/>
      <c r="F292" s="4"/>
      <c r="G292" s="4"/>
    </row>
    <row r="293" spans="5:7" ht="12.75" customHeight="1">
      <c r="E293" s="4"/>
      <c r="F293" s="4"/>
      <c r="G293" s="4"/>
    </row>
    <row r="294" spans="5:7" ht="12.75" customHeight="1">
      <c r="E294" s="4"/>
      <c r="F294" s="4"/>
      <c r="G294" s="4"/>
    </row>
    <row r="295" spans="5:7" ht="12.75" customHeight="1">
      <c r="E295" s="4"/>
      <c r="F295" s="4"/>
      <c r="G295" s="4"/>
    </row>
    <row r="296" spans="5:7" ht="12.75" customHeight="1">
      <c r="E296" s="4"/>
      <c r="F296" s="4"/>
      <c r="G296" s="4"/>
    </row>
    <row r="297" spans="5:7" ht="12.75" customHeight="1">
      <c r="E297" s="4"/>
      <c r="F297" s="4"/>
      <c r="G297" s="4"/>
    </row>
    <row r="298" spans="5:7" ht="12.75" customHeight="1">
      <c r="E298" s="4"/>
      <c r="F298" s="4"/>
      <c r="G298" s="4"/>
    </row>
    <row r="299" spans="5:7" ht="12.75" customHeight="1">
      <c r="E299" s="4"/>
      <c r="F299" s="4"/>
      <c r="G299" s="4"/>
    </row>
    <row r="300" spans="5:7" ht="12.75" customHeight="1">
      <c r="E300" s="4"/>
      <c r="F300" s="4"/>
      <c r="G300" s="4"/>
    </row>
    <row r="301" spans="5:7" ht="12.75" customHeight="1">
      <c r="E301" s="4"/>
      <c r="F301" s="4"/>
      <c r="G301" s="4"/>
    </row>
    <row r="302" spans="5:7" ht="12.75" customHeight="1">
      <c r="E302" s="4"/>
      <c r="F302" s="4"/>
      <c r="G302" s="4"/>
    </row>
    <row r="303" spans="5:7" ht="12.75" customHeight="1">
      <c r="E303" s="4"/>
      <c r="F303" s="4"/>
      <c r="G303" s="4"/>
    </row>
    <row r="304" spans="5:7" ht="12.75" customHeight="1">
      <c r="E304" s="4"/>
      <c r="F304" s="4"/>
      <c r="G304" s="4"/>
    </row>
    <row r="305" spans="5:7" ht="12.75" customHeight="1">
      <c r="E305" s="4"/>
      <c r="F305" s="4"/>
      <c r="G305" s="4"/>
    </row>
    <row r="306" spans="5:7" ht="12.75" customHeight="1">
      <c r="E306" s="4"/>
      <c r="F306" s="4"/>
      <c r="G306" s="4"/>
    </row>
    <row r="307" spans="5:7" ht="12.75" customHeight="1">
      <c r="E307" s="4"/>
      <c r="F307" s="4"/>
      <c r="G307" s="4"/>
    </row>
    <row r="308" spans="5:7" ht="12.75" customHeight="1">
      <c r="E308" s="4"/>
      <c r="F308" s="4"/>
      <c r="G308" s="4"/>
    </row>
    <row r="309" spans="5:7" ht="12.75" customHeight="1">
      <c r="E309" s="4"/>
      <c r="F309" s="4"/>
      <c r="G309" s="4"/>
    </row>
    <row r="310" spans="5:7" ht="12.75" customHeight="1">
      <c r="E310" s="4"/>
      <c r="F310" s="4"/>
      <c r="G310" s="4"/>
    </row>
    <row r="311" spans="5:7" ht="12.75" customHeight="1">
      <c r="E311" s="4"/>
      <c r="F311" s="4"/>
      <c r="G311" s="4"/>
    </row>
    <row r="312" spans="5:7" ht="12.75" customHeight="1">
      <c r="E312" s="4"/>
      <c r="F312" s="4"/>
      <c r="G312" s="4"/>
    </row>
    <row r="313" spans="5:7" ht="12.75" customHeight="1">
      <c r="E313" s="4"/>
      <c r="F313" s="4"/>
      <c r="G313" s="4"/>
    </row>
    <row r="314" spans="5:7" ht="12.75" customHeight="1">
      <c r="E314" s="4"/>
      <c r="F314" s="4"/>
      <c r="G314" s="4"/>
    </row>
    <row r="315" spans="5:7" ht="12.75" customHeight="1">
      <c r="E315" s="4"/>
      <c r="F315" s="4"/>
      <c r="G315" s="4"/>
    </row>
    <row r="316" spans="5:7" ht="12.75" customHeight="1">
      <c r="E316" s="4"/>
      <c r="F316" s="4"/>
      <c r="G316" s="4"/>
    </row>
    <row r="317" spans="5:7" ht="12.75" customHeight="1">
      <c r="E317" s="4"/>
      <c r="F317" s="4"/>
      <c r="G317" s="4"/>
    </row>
    <row r="318" spans="5:7" ht="12.75" customHeight="1">
      <c r="E318" s="4"/>
      <c r="F318" s="4"/>
      <c r="G318" s="4"/>
    </row>
    <row r="319" spans="5:7" ht="12.75" customHeight="1">
      <c r="E319" s="4"/>
      <c r="F319" s="4"/>
      <c r="G319" s="4"/>
    </row>
    <row r="320" spans="5:7" ht="12.75" customHeight="1">
      <c r="E320" s="4"/>
      <c r="F320" s="4"/>
      <c r="G320" s="4"/>
    </row>
    <row r="321" spans="5:7" ht="12.75" customHeight="1">
      <c r="E321" s="4"/>
      <c r="F321" s="4"/>
      <c r="G321" s="4"/>
    </row>
    <row r="322" spans="5:7" ht="12.75" customHeight="1">
      <c r="E322" s="4"/>
      <c r="F322" s="4"/>
      <c r="G322" s="4"/>
    </row>
    <row r="323" spans="5:7" ht="12.75" customHeight="1">
      <c r="E323" s="4"/>
      <c r="F323" s="4"/>
      <c r="G323" s="4"/>
    </row>
    <row r="324" spans="5:7" ht="12.75" customHeight="1">
      <c r="E324" s="4"/>
      <c r="F324" s="4"/>
      <c r="G324" s="4"/>
    </row>
    <row r="325" spans="5:7" ht="12.75" customHeight="1">
      <c r="E325" s="4"/>
      <c r="F325" s="4"/>
      <c r="G325" s="4"/>
    </row>
    <row r="326" spans="5:7" ht="12.75" customHeight="1">
      <c r="E326" s="4"/>
      <c r="F326" s="4"/>
      <c r="G326" s="4"/>
    </row>
    <row r="327" spans="5:7" ht="12.75" customHeight="1">
      <c r="E327" s="4"/>
      <c r="F327" s="4"/>
      <c r="G327" s="4"/>
    </row>
    <row r="328" spans="5:7" ht="12.75" customHeight="1">
      <c r="E328" s="4"/>
      <c r="F328" s="4"/>
      <c r="G328" s="4"/>
    </row>
    <row r="329" spans="5:7" ht="12.75" customHeight="1">
      <c r="E329" s="4"/>
      <c r="F329" s="4"/>
      <c r="G329" s="4"/>
    </row>
    <row r="330" spans="5:7" ht="12.75" customHeight="1">
      <c r="E330" s="4"/>
      <c r="F330" s="4"/>
      <c r="G330" s="4"/>
    </row>
    <row r="331" spans="5:7" ht="12.75" customHeight="1">
      <c r="E331" s="4"/>
      <c r="F331" s="4"/>
      <c r="G331" s="4"/>
    </row>
    <row r="332" spans="5:7" ht="12.75" customHeight="1">
      <c r="E332" s="4"/>
      <c r="F332" s="4"/>
      <c r="G332" s="4"/>
    </row>
    <row r="333" spans="5:7" ht="12.75" customHeight="1">
      <c r="E333" s="4"/>
      <c r="F333" s="4"/>
      <c r="G333" s="4"/>
    </row>
    <row r="334" spans="5:7" ht="12.75" customHeight="1">
      <c r="E334" s="4"/>
      <c r="F334" s="4"/>
      <c r="G334" s="4"/>
    </row>
    <row r="335" spans="5:7" ht="12.75" customHeight="1">
      <c r="E335" s="4"/>
      <c r="F335" s="4"/>
      <c r="G335" s="4"/>
    </row>
    <row r="336" spans="5:7" ht="12.75" customHeight="1">
      <c r="E336" s="4"/>
      <c r="F336" s="4"/>
      <c r="G336" s="4"/>
    </row>
    <row r="337" spans="5:7" ht="12.75" customHeight="1">
      <c r="E337" s="4"/>
      <c r="F337" s="4"/>
      <c r="G337" s="4"/>
    </row>
    <row r="338" spans="5:7" ht="12.75" customHeight="1">
      <c r="E338" s="4"/>
      <c r="F338" s="4"/>
      <c r="G338" s="4"/>
    </row>
    <row r="339" spans="5:7" ht="12.75" customHeight="1">
      <c r="E339" s="4"/>
      <c r="F339" s="4"/>
      <c r="G339" s="4"/>
    </row>
    <row r="340" spans="5:7" ht="12.75" customHeight="1">
      <c r="E340" s="4"/>
      <c r="F340" s="4"/>
      <c r="G340" s="4"/>
    </row>
    <row r="341" spans="5:7" ht="12.75" customHeight="1">
      <c r="E341" s="4"/>
      <c r="F341" s="4"/>
      <c r="G341" s="4"/>
    </row>
    <row r="342" spans="5:7" ht="12.75" customHeight="1">
      <c r="E342" s="4"/>
      <c r="F342" s="4"/>
      <c r="G342" s="4"/>
    </row>
    <row r="343" spans="5:7" ht="12.75" customHeight="1">
      <c r="E343" s="4"/>
      <c r="F343" s="4"/>
      <c r="G343" s="4"/>
    </row>
    <row r="344" spans="5:7" ht="12.75" customHeight="1">
      <c r="E344" s="4"/>
      <c r="F344" s="4"/>
      <c r="G344" s="4"/>
    </row>
    <row r="345" spans="5:7" ht="12.75" customHeight="1">
      <c r="E345" s="4"/>
      <c r="F345" s="4"/>
      <c r="G345" s="4"/>
    </row>
    <row r="346" spans="5:7" ht="12.75" customHeight="1">
      <c r="E346" s="4"/>
      <c r="F346" s="4"/>
      <c r="G346" s="4"/>
    </row>
    <row r="347" spans="5:7" ht="12.75" customHeight="1">
      <c r="E347" s="4"/>
      <c r="F347" s="4"/>
      <c r="G347" s="4"/>
    </row>
    <row r="348" spans="5:7" ht="12.75" customHeight="1">
      <c r="E348" s="4"/>
      <c r="F348" s="4"/>
      <c r="G348" s="4"/>
    </row>
    <row r="349" spans="5:7" ht="12.75" customHeight="1">
      <c r="E349" s="4"/>
      <c r="F349" s="4"/>
      <c r="G349" s="4"/>
    </row>
    <row r="350" spans="5:7" ht="12.75" customHeight="1">
      <c r="E350" s="4"/>
      <c r="F350" s="4"/>
      <c r="G350" s="4"/>
    </row>
    <row r="351" spans="5:7" ht="12.75" customHeight="1">
      <c r="E351" s="4"/>
      <c r="F351" s="4"/>
      <c r="G351" s="4"/>
    </row>
    <row r="352" spans="5:7" ht="12.75" customHeight="1">
      <c r="E352" s="4"/>
      <c r="F352" s="4"/>
      <c r="G352" s="4"/>
    </row>
    <row r="353" spans="5:7" ht="12.75" customHeight="1">
      <c r="E353" s="4"/>
      <c r="F353" s="4"/>
      <c r="G353" s="4"/>
    </row>
    <row r="354" spans="5:7" ht="12.75" customHeight="1">
      <c r="E354" s="4"/>
      <c r="F354" s="4"/>
      <c r="G354" s="4"/>
    </row>
    <row r="355" spans="5:7" ht="12.75" customHeight="1">
      <c r="E355" s="4"/>
      <c r="F355" s="4"/>
      <c r="G355" s="4"/>
    </row>
    <row r="356" spans="5:7" ht="12.75" customHeight="1">
      <c r="E356" s="4"/>
      <c r="F356" s="4"/>
      <c r="G356" s="4"/>
    </row>
    <row r="357" spans="5:7" ht="12.75" customHeight="1">
      <c r="E357" s="4"/>
      <c r="F357" s="4"/>
      <c r="G357" s="4"/>
    </row>
    <row r="358" spans="5:7" ht="12.75" customHeight="1">
      <c r="E358" s="4"/>
      <c r="F358" s="4"/>
      <c r="G358" s="4"/>
    </row>
    <row r="359" spans="5:7" ht="12.75" customHeight="1">
      <c r="E359" s="4"/>
      <c r="F359" s="4"/>
      <c r="G359" s="4"/>
    </row>
    <row r="360" spans="5:7" ht="12.75" customHeight="1">
      <c r="E360" s="4"/>
      <c r="F360" s="4"/>
      <c r="G360" s="4"/>
    </row>
    <row r="361" spans="5:7" ht="12.75" customHeight="1">
      <c r="E361" s="4"/>
      <c r="F361" s="4"/>
      <c r="G361" s="4"/>
    </row>
    <row r="362" spans="5:7" ht="12.75" customHeight="1">
      <c r="E362" s="4"/>
      <c r="F362" s="4"/>
      <c r="G362" s="4"/>
    </row>
    <row r="363" spans="5:7" ht="12.75" customHeight="1">
      <c r="E363" s="4"/>
      <c r="F363" s="4"/>
      <c r="G363" s="4"/>
    </row>
    <row r="364" spans="5:7" ht="12.75" customHeight="1">
      <c r="E364" s="4"/>
      <c r="F364" s="4"/>
      <c r="G364" s="4"/>
    </row>
    <row r="365" spans="5:7" ht="12.75" customHeight="1">
      <c r="E365" s="4"/>
      <c r="F365" s="4"/>
      <c r="G365" s="4"/>
    </row>
    <row r="366" spans="5:7" ht="12.75" customHeight="1">
      <c r="E366" s="4"/>
      <c r="F366" s="4"/>
      <c r="G366" s="4"/>
    </row>
    <row r="367" spans="5:7" ht="12.75" customHeight="1">
      <c r="E367" s="4"/>
      <c r="F367" s="4"/>
      <c r="G367" s="4"/>
    </row>
    <row r="368" spans="5:7" ht="12.75" customHeight="1">
      <c r="E368" s="4"/>
      <c r="F368" s="4"/>
      <c r="G368" s="4"/>
    </row>
    <row r="369" spans="5:7" ht="12.75" customHeight="1">
      <c r="E369" s="4"/>
      <c r="F369" s="4"/>
      <c r="G369" s="4"/>
    </row>
    <row r="370" spans="5:7" ht="12.75" customHeight="1">
      <c r="E370" s="4"/>
      <c r="F370" s="4"/>
      <c r="G370" s="4"/>
    </row>
    <row r="371" spans="5:7" ht="12.75" customHeight="1">
      <c r="E371" s="4"/>
      <c r="F371" s="4"/>
      <c r="G371" s="4"/>
    </row>
    <row r="372" spans="5:7" ht="12.75" customHeight="1">
      <c r="E372" s="4"/>
      <c r="F372" s="4"/>
      <c r="G372" s="4"/>
    </row>
    <row r="373" spans="5:7" ht="12.75" customHeight="1">
      <c r="E373" s="4"/>
      <c r="F373" s="4"/>
      <c r="G373" s="4"/>
    </row>
    <row r="374" spans="5:7" ht="12.75" customHeight="1">
      <c r="E374" s="4"/>
      <c r="F374" s="4"/>
      <c r="G374" s="4"/>
    </row>
    <row r="375" spans="5:7" ht="12.75" customHeight="1">
      <c r="E375" s="4"/>
      <c r="F375" s="4"/>
      <c r="G375" s="4"/>
    </row>
    <row r="376" spans="5:7" ht="12.75" customHeight="1">
      <c r="E376" s="4"/>
      <c r="F376" s="4"/>
      <c r="G376" s="4"/>
    </row>
    <row r="377" spans="5:7" ht="12.75" customHeight="1">
      <c r="E377" s="4"/>
      <c r="F377" s="4"/>
      <c r="G377" s="4"/>
    </row>
    <row r="378" spans="5:7" ht="12.75" customHeight="1">
      <c r="E378" s="4"/>
      <c r="F378" s="4"/>
      <c r="G378" s="4"/>
    </row>
    <row r="379" spans="5:7" ht="12.75" customHeight="1">
      <c r="E379" s="4"/>
      <c r="F379" s="4"/>
      <c r="G379" s="4"/>
    </row>
    <row r="380" spans="5:7" ht="12.75" customHeight="1">
      <c r="E380" s="4"/>
      <c r="F380" s="4"/>
      <c r="G380" s="4"/>
    </row>
    <row r="381" spans="5:7" ht="12.75" customHeight="1">
      <c r="E381" s="4"/>
      <c r="F381" s="4"/>
      <c r="G381" s="4"/>
    </row>
    <row r="382" spans="5:7" ht="12.75" customHeight="1">
      <c r="E382" s="4"/>
      <c r="F382" s="4"/>
      <c r="G382" s="4"/>
    </row>
    <row r="383" spans="5:7" ht="12.75" customHeight="1">
      <c r="E383" s="4"/>
      <c r="F383" s="4"/>
      <c r="G383" s="4"/>
    </row>
    <row r="384" spans="5:7" ht="12.75" customHeight="1">
      <c r="E384" s="4"/>
      <c r="F384" s="4"/>
      <c r="G384" s="4"/>
    </row>
    <row r="385" spans="5:7" ht="12.75" customHeight="1">
      <c r="E385" s="4"/>
      <c r="F385" s="4"/>
      <c r="G385" s="4"/>
    </row>
    <row r="386" spans="5:7" ht="12.75" customHeight="1">
      <c r="E386" s="4"/>
      <c r="F386" s="4"/>
      <c r="G386" s="4"/>
    </row>
    <row r="387" spans="5:7" ht="12.75" customHeight="1">
      <c r="E387" s="4"/>
      <c r="F387" s="4"/>
      <c r="G387" s="4"/>
    </row>
    <row r="388" spans="5:7" ht="12.75" customHeight="1">
      <c r="E388" s="4"/>
      <c r="F388" s="4"/>
      <c r="G388" s="4"/>
    </row>
    <row r="389" spans="5:7" ht="12.75" customHeight="1">
      <c r="E389" s="4"/>
      <c r="F389" s="4"/>
      <c r="G389" s="4"/>
    </row>
    <row r="390" spans="5:7" ht="12.75" customHeight="1">
      <c r="E390" s="4"/>
      <c r="F390" s="4"/>
      <c r="G390" s="4"/>
    </row>
    <row r="391" spans="5:7" ht="12.75" customHeight="1">
      <c r="E391" s="4"/>
      <c r="F391" s="4"/>
      <c r="G391" s="4"/>
    </row>
    <row r="392" spans="5:7" ht="12.75" customHeight="1">
      <c r="E392" s="4"/>
      <c r="F392" s="4"/>
      <c r="G392" s="4"/>
    </row>
    <row r="393" spans="5:7" ht="12.75" customHeight="1">
      <c r="E393" s="4"/>
      <c r="F393" s="4"/>
      <c r="G393" s="4"/>
    </row>
    <row r="394" spans="5:7" ht="12.75" customHeight="1">
      <c r="E394" s="4"/>
      <c r="F394" s="4"/>
      <c r="G394" s="4"/>
    </row>
    <row r="395" spans="5:7" ht="12.75" customHeight="1">
      <c r="E395" s="4"/>
      <c r="F395" s="4"/>
      <c r="G395" s="4"/>
    </row>
    <row r="396" spans="5:7" ht="12.75" customHeight="1">
      <c r="E396" s="4"/>
      <c r="F396" s="4"/>
      <c r="G396" s="4"/>
    </row>
    <row r="397" spans="5:7" ht="12.75" customHeight="1">
      <c r="E397" s="4"/>
      <c r="F397" s="4"/>
      <c r="G397" s="4"/>
    </row>
    <row r="398" spans="5:7" ht="12.75" customHeight="1">
      <c r="E398" s="4"/>
      <c r="F398" s="4"/>
      <c r="G398" s="4"/>
    </row>
    <row r="399" spans="5:7" ht="12.75" customHeight="1">
      <c r="E399" s="4"/>
      <c r="F399" s="4"/>
      <c r="G399" s="4"/>
    </row>
    <row r="400" spans="5:7" ht="12.75" customHeight="1">
      <c r="E400" s="4"/>
      <c r="F400" s="4"/>
      <c r="G400" s="4"/>
    </row>
    <row r="401" spans="5:7" ht="12.75" customHeight="1">
      <c r="E401" s="4"/>
      <c r="F401" s="4"/>
      <c r="G401" s="4"/>
    </row>
    <row r="402" spans="5:7" ht="12.75" customHeight="1">
      <c r="E402" s="4"/>
      <c r="F402" s="4"/>
      <c r="G402" s="4"/>
    </row>
    <row r="403" spans="5:7" ht="12.75" customHeight="1">
      <c r="E403" s="4"/>
      <c r="F403" s="4"/>
      <c r="G403" s="4"/>
    </row>
    <row r="404" spans="5:7" ht="12.75" customHeight="1">
      <c r="E404" s="4"/>
      <c r="F404" s="4"/>
      <c r="G404" s="4"/>
    </row>
    <row r="405" spans="5:7" ht="12.75" customHeight="1">
      <c r="E405" s="4"/>
      <c r="F405" s="4"/>
      <c r="G405" s="4"/>
    </row>
    <row r="406" spans="5:7" ht="12.75" customHeight="1">
      <c r="E406" s="4"/>
      <c r="F406" s="4"/>
      <c r="G406" s="4"/>
    </row>
    <row r="407" spans="5:7" ht="12.75" customHeight="1">
      <c r="E407" s="4"/>
      <c r="F407" s="4"/>
      <c r="G407" s="4"/>
    </row>
    <row r="408" spans="5:7" ht="12.75" customHeight="1">
      <c r="E408" s="4"/>
      <c r="F408" s="4"/>
      <c r="G408" s="4"/>
    </row>
    <row r="409" spans="5:7" ht="12.75" customHeight="1">
      <c r="E409" s="4"/>
      <c r="F409" s="4"/>
      <c r="G409" s="4"/>
    </row>
    <row r="410" spans="5:7" ht="12.75" customHeight="1">
      <c r="E410" s="4"/>
      <c r="F410" s="4"/>
      <c r="G410" s="4"/>
    </row>
    <row r="411" spans="5:7" ht="12.75" customHeight="1">
      <c r="E411" s="4"/>
      <c r="F411" s="4"/>
      <c r="G411" s="4"/>
    </row>
    <row r="412" spans="5:7" ht="12.75" customHeight="1">
      <c r="E412" s="4"/>
      <c r="F412" s="4"/>
      <c r="G412" s="4"/>
    </row>
    <row r="413" spans="5:7" ht="12.75" customHeight="1">
      <c r="E413" s="4"/>
      <c r="F413" s="4"/>
      <c r="G413" s="4"/>
    </row>
    <row r="414" spans="5:7" ht="12.75" customHeight="1">
      <c r="E414" s="4"/>
      <c r="F414" s="4"/>
      <c r="G414" s="4"/>
    </row>
    <row r="415" spans="5:7" ht="12.75" customHeight="1">
      <c r="E415" s="4"/>
      <c r="F415" s="4"/>
      <c r="G415" s="4"/>
    </row>
    <row r="416" spans="5:7" ht="12.75" customHeight="1">
      <c r="E416" s="4"/>
      <c r="F416" s="4"/>
      <c r="G416" s="4"/>
    </row>
    <row r="417" spans="5:7" ht="12.75" customHeight="1">
      <c r="E417" s="4"/>
      <c r="F417" s="4"/>
      <c r="G417" s="4"/>
    </row>
    <row r="418" spans="5:7" ht="12.75" customHeight="1">
      <c r="E418" s="4"/>
      <c r="F418" s="4"/>
      <c r="G418" s="4"/>
    </row>
    <row r="419" spans="5:7" ht="12.75" customHeight="1">
      <c r="E419" s="4"/>
      <c r="F419" s="4"/>
      <c r="G419" s="4"/>
    </row>
    <row r="420" spans="5:7" ht="12.75" customHeight="1">
      <c r="E420" s="4"/>
      <c r="F420" s="4"/>
      <c r="G420" s="4"/>
    </row>
    <row r="421" spans="5:7" ht="12.75" customHeight="1">
      <c r="E421" s="4"/>
      <c r="F421" s="4"/>
      <c r="G421" s="4"/>
    </row>
    <row r="422" spans="5:7" ht="12.75" customHeight="1">
      <c r="E422" s="4"/>
      <c r="F422" s="4"/>
      <c r="G422" s="4"/>
    </row>
    <row r="423" spans="5:7" ht="12.75" customHeight="1">
      <c r="E423" s="4"/>
      <c r="F423" s="4"/>
      <c r="G423" s="4"/>
    </row>
    <row r="424" spans="5:7" ht="12.75" customHeight="1">
      <c r="E424" s="4"/>
      <c r="F424" s="4"/>
      <c r="G424" s="4"/>
    </row>
    <row r="425" spans="5:7" ht="12.75" customHeight="1">
      <c r="E425" s="4"/>
      <c r="F425" s="4"/>
      <c r="G425" s="4"/>
    </row>
    <row r="426" spans="5:7" ht="12.75" customHeight="1">
      <c r="E426" s="4"/>
      <c r="F426" s="4"/>
      <c r="G426" s="4"/>
    </row>
    <row r="427" spans="5:7" ht="12.75" customHeight="1">
      <c r="E427" s="4"/>
      <c r="F427" s="4"/>
      <c r="G427" s="4"/>
    </row>
    <row r="428" spans="5:7" ht="12.75" customHeight="1">
      <c r="E428" s="4"/>
      <c r="F428" s="4"/>
      <c r="G428" s="4"/>
    </row>
    <row r="429" spans="5:7" ht="12.75" customHeight="1">
      <c r="E429" s="4"/>
      <c r="F429" s="4"/>
      <c r="G429" s="4"/>
    </row>
    <row r="430" spans="5:7" ht="12.75" customHeight="1">
      <c r="E430" s="4"/>
      <c r="F430" s="4"/>
      <c r="G430" s="4"/>
    </row>
    <row r="431" spans="5:7" ht="12.75" customHeight="1">
      <c r="E431" s="4"/>
      <c r="F431" s="4"/>
      <c r="G431" s="4"/>
    </row>
    <row r="432" spans="5:7" ht="12.75" customHeight="1">
      <c r="E432" s="4"/>
      <c r="F432" s="4"/>
      <c r="G432" s="4"/>
    </row>
    <row r="433" spans="5:7" ht="12.75" customHeight="1">
      <c r="E433" s="4"/>
      <c r="F433" s="4"/>
      <c r="G433" s="4"/>
    </row>
    <row r="434" spans="5:7" ht="12.75" customHeight="1">
      <c r="E434" s="4"/>
      <c r="F434" s="4"/>
      <c r="G434" s="4"/>
    </row>
    <row r="435" spans="5:7" ht="12.75" customHeight="1">
      <c r="E435" s="4"/>
      <c r="F435" s="4"/>
      <c r="G435" s="4"/>
    </row>
    <row r="436" spans="5:7" ht="12.75" customHeight="1">
      <c r="E436" s="4"/>
      <c r="F436" s="4"/>
      <c r="G436" s="4"/>
    </row>
    <row r="437" spans="5:7" ht="12.75" customHeight="1">
      <c r="E437" s="4"/>
      <c r="F437" s="4"/>
      <c r="G437" s="4"/>
    </row>
    <row r="438" spans="5:7" ht="12.75" customHeight="1">
      <c r="E438" s="4"/>
      <c r="F438" s="4"/>
      <c r="G438" s="4"/>
    </row>
    <row r="439" spans="5:7" ht="12.75" customHeight="1">
      <c r="E439" s="4"/>
      <c r="F439" s="4"/>
      <c r="G439" s="4"/>
    </row>
    <row r="440" spans="5:7" ht="12.75" customHeight="1">
      <c r="E440" s="4"/>
      <c r="F440" s="4"/>
      <c r="G440" s="4"/>
    </row>
    <row r="441" spans="5:7" ht="12.75" customHeight="1">
      <c r="E441" s="4"/>
      <c r="F441" s="4"/>
      <c r="G441" s="4"/>
    </row>
    <row r="442" spans="5:7" ht="12.75" customHeight="1">
      <c r="E442" s="4"/>
      <c r="F442" s="4"/>
      <c r="G442" s="4"/>
    </row>
    <row r="443" spans="5:7" ht="12.75" customHeight="1">
      <c r="E443" s="4"/>
      <c r="F443" s="4"/>
      <c r="G443" s="4"/>
    </row>
    <row r="444" spans="5:7" ht="12.75" customHeight="1">
      <c r="E444" s="4"/>
      <c r="F444" s="4"/>
      <c r="G444" s="4"/>
    </row>
    <row r="445" spans="5:7" ht="12.75" customHeight="1">
      <c r="E445" s="4"/>
      <c r="F445" s="4"/>
      <c r="G445" s="4"/>
    </row>
    <row r="446" spans="5:7" ht="12.75" customHeight="1">
      <c r="E446" s="4"/>
      <c r="F446" s="4"/>
      <c r="G446" s="4"/>
    </row>
    <row r="447" spans="5:7" ht="12.75" customHeight="1">
      <c r="E447" s="4"/>
      <c r="F447" s="4"/>
      <c r="G447" s="4"/>
    </row>
    <row r="448" spans="5:7" ht="12.75" customHeight="1">
      <c r="E448" s="4"/>
      <c r="F448" s="4"/>
      <c r="G448" s="4"/>
    </row>
    <row r="449" spans="5:7" ht="12.75" customHeight="1">
      <c r="E449" s="4"/>
      <c r="F449" s="4"/>
      <c r="G449" s="4"/>
    </row>
    <row r="450" spans="5:7" ht="12.75" customHeight="1">
      <c r="E450" s="4"/>
      <c r="F450" s="4"/>
      <c r="G450" s="4"/>
    </row>
    <row r="451" spans="5:7" ht="12.75" customHeight="1">
      <c r="E451" s="4"/>
      <c r="F451" s="4"/>
      <c r="G451" s="4"/>
    </row>
    <row r="452" spans="5:7" ht="12.75" customHeight="1">
      <c r="E452" s="4"/>
      <c r="F452" s="4"/>
      <c r="G452" s="4"/>
    </row>
    <row r="453" spans="5:7" ht="12.75" customHeight="1">
      <c r="E453" s="4"/>
      <c r="F453" s="4"/>
      <c r="G453" s="4"/>
    </row>
    <row r="454" spans="5:7" ht="12.75" customHeight="1">
      <c r="E454" s="4"/>
      <c r="F454" s="4"/>
      <c r="G454" s="4"/>
    </row>
    <row r="455" spans="5:7" ht="12.75" customHeight="1">
      <c r="E455" s="4"/>
      <c r="F455" s="4"/>
      <c r="G455" s="4"/>
    </row>
    <row r="456" spans="5:7" ht="12.75" customHeight="1">
      <c r="E456" s="4"/>
      <c r="F456" s="4"/>
      <c r="G456" s="4"/>
    </row>
    <row r="457" spans="5:7" ht="12.75" customHeight="1">
      <c r="E457" s="4"/>
      <c r="F457" s="4"/>
      <c r="G457" s="4"/>
    </row>
    <row r="458" spans="5:7" ht="12.75" customHeight="1">
      <c r="E458" s="4"/>
      <c r="F458" s="4"/>
      <c r="G458" s="4"/>
    </row>
    <row r="459" spans="5:7" ht="12.75" customHeight="1">
      <c r="E459" s="4"/>
      <c r="F459" s="4"/>
      <c r="G459" s="4"/>
    </row>
    <row r="460" spans="5:7" ht="12.75" customHeight="1">
      <c r="E460" s="4"/>
      <c r="F460" s="4"/>
      <c r="G460" s="4"/>
    </row>
    <row r="461" spans="5:7" ht="12.75" customHeight="1">
      <c r="E461" s="4"/>
      <c r="F461" s="4"/>
      <c r="G461" s="4"/>
    </row>
    <row r="462" spans="5:7" ht="12.75" customHeight="1">
      <c r="E462" s="4"/>
      <c r="F462" s="4"/>
      <c r="G462" s="4"/>
    </row>
    <row r="463" spans="5:7" ht="12.75" customHeight="1">
      <c r="E463" s="4"/>
      <c r="F463" s="4"/>
      <c r="G463" s="4"/>
    </row>
    <row r="464" spans="5:7" ht="12.75" customHeight="1">
      <c r="E464" s="4"/>
      <c r="F464" s="4"/>
      <c r="G464" s="4"/>
    </row>
    <row r="465" spans="5:7" ht="12.75" customHeight="1">
      <c r="E465" s="4"/>
      <c r="F465" s="4"/>
      <c r="G465" s="4"/>
    </row>
    <row r="466" spans="5:7" ht="12.75" customHeight="1">
      <c r="E466" s="4"/>
      <c r="F466" s="4"/>
      <c r="G466" s="4"/>
    </row>
    <row r="467" spans="5:7" ht="12.75" customHeight="1">
      <c r="E467" s="4"/>
      <c r="F467" s="4"/>
      <c r="G467" s="4"/>
    </row>
    <row r="468" spans="5:7" ht="12.75" customHeight="1">
      <c r="E468" s="4"/>
      <c r="F468" s="4"/>
      <c r="G468" s="4"/>
    </row>
    <row r="469" spans="5:7" ht="12.75" customHeight="1">
      <c r="E469" s="4"/>
      <c r="F469" s="4"/>
      <c r="G469" s="4"/>
    </row>
    <row r="470" spans="5:7" ht="12.75" customHeight="1">
      <c r="E470" s="4"/>
      <c r="F470" s="4"/>
      <c r="G470" s="4"/>
    </row>
    <row r="471" spans="5:7" ht="12.75" customHeight="1">
      <c r="E471" s="4"/>
      <c r="F471" s="4"/>
      <c r="G471" s="4"/>
    </row>
    <row r="472" spans="5:7" ht="12.75" customHeight="1">
      <c r="E472" s="4"/>
      <c r="F472" s="4"/>
      <c r="G472" s="4"/>
    </row>
    <row r="473" spans="5:7" ht="12.75" customHeight="1">
      <c r="E473" s="4"/>
      <c r="F473" s="4"/>
      <c r="G473" s="4"/>
    </row>
    <row r="474" spans="5:7" ht="12.75" customHeight="1">
      <c r="E474" s="4"/>
      <c r="F474" s="4"/>
      <c r="G474" s="4"/>
    </row>
    <row r="475" spans="5:7" ht="12.75" customHeight="1">
      <c r="E475" s="4"/>
      <c r="F475" s="4"/>
      <c r="G475" s="4"/>
    </row>
    <row r="476" spans="5:7" ht="12.75" customHeight="1">
      <c r="E476" s="4"/>
      <c r="F476" s="4"/>
      <c r="G476" s="4"/>
    </row>
    <row r="477" spans="5:7" ht="12.75" customHeight="1">
      <c r="E477" s="4"/>
      <c r="F477" s="4"/>
      <c r="G477" s="4"/>
    </row>
    <row r="478" spans="5:7" ht="12.75" customHeight="1">
      <c r="E478" s="4"/>
      <c r="F478" s="4"/>
      <c r="G478" s="4"/>
    </row>
    <row r="479" spans="5:7" ht="12.75" customHeight="1">
      <c r="E479" s="4"/>
      <c r="F479" s="4"/>
      <c r="G479" s="4"/>
    </row>
    <row r="480" spans="5:7" ht="12.75" customHeight="1">
      <c r="E480" s="4"/>
      <c r="F480" s="4"/>
      <c r="G480" s="4"/>
    </row>
    <row r="481" spans="5:7" ht="12.75" customHeight="1">
      <c r="E481" s="4"/>
      <c r="F481" s="4"/>
      <c r="G481" s="4"/>
    </row>
    <row r="482" spans="5:7" ht="12.75" customHeight="1">
      <c r="E482" s="4"/>
      <c r="F482" s="4"/>
      <c r="G482" s="4"/>
    </row>
    <row r="483" spans="5:7" ht="12.75" customHeight="1">
      <c r="E483" s="4"/>
      <c r="F483" s="4"/>
      <c r="G483" s="4"/>
    </row>
    <row r="484" spans="5:7" ht="12.75" customHeight="1">
      <c r="E484" s="4"/>
      <c r="F484" s="4"/>
      <c r="G484" s="4"/>
    </row>
    <row r="485" spans="5:7" ht="12.75" customHeight="1">
      <c r="E485" s="4"/>
      <c r="F485" s="4"/>
      <c r="G485" s="4"/>
    </row>
    <row r="486" spans="5:7" ht="12.75" customHeight="1">
      <c r="E486" s="4"/>
      <c r="F486" s="4"/>
      <c r="G486" s="4"/>
    </row>
    <row r="487" spans="5:7" ht="12.75" customHeight="1">
      <c r="E487" s="4"/>
      <c r="F487" s="4"/>
      <c r="G487" s="4"/>
    </row>
    <row r="488" spans="5:7" ht="12.75" customHeight="1">
      <c r="E488" s="4"/>
      <c r="F488" s="4"/>
      <c r="G488" s="4"/>
    </row>
    <row r="489" spans="5:7" ht="12.75" customHeight="1">
      <c r="E489" s="4"/>
      <c r="F489" s="4"/>
      <c r="G489" s="4"/>
    </row>
    <row r="490" spans="5:7" ht="12.75" customHeight="1">
      <c r="E490" s="4"/>
      <c r="F490" s="4"/>
      <c r="G490" s="4"/>
    </row>
    <row r="491" spans="5:7" ht="12.75" customHeight="1">
      <c r="E491" s="4"/>
      <c r="F491" s="4"/>
      <c r="G491" s="4"/>
    </row>
    <row r="492" spans="5:7" ht="12.75" customHeight="1">
      <c r="E492" s="4"/>
      <c r="F492" s="4"/>
      <c r="G492" s="4"/>
    </row>
    <row r="493" spans="5:7" ht="12.75" customHeight="1">
      <c r="E493" s="4"/>
      <c r="F493" s="4"/>
      <c r="G493" s="4"/>
    </row>
    <row r="494" spans="5:7" ht="12.75" customHeight="1">
      <c r="E494" s="4"/>
      <c r="F494" s="4"/>
      <c r="G494" s="4"/>
    </row>
    <row r="495" spans="5:7" ht="12.75" customHeight="1">
      <c r="E495" s="4"/>
      <c r="F495" s="4"/>
      <c r="G495" s="4"/>
    </row>
    <row r="496" spans="5:7" ht="12.75" customHeight="1">
      <c r="E496" s="4"/>
      <c r="F496" s="4"/>
      <c r="G496" s="4"/>
    </row>
    <row r="497" spans="5:7" ht="12.75" customHeight="1">
      <c r="E497" s="4"/>
      <c r="F497" s="4"/>
      <c r="G497" s="4"/>
    </row>
    <row r="498" spans="5:7" ht="12.75" customHeight="1">
      <c r="E498" s="4"/>
      <c r="F498" s="4"/>
      <c r="G498" s="4"/>
    </row>
    <row r="499" spans="5:7" ht="12.75" customHeight="1">
      <c r="E499" s="4"/>
      <c r="F499" s="4"/>
      <c r="G499" s="4"/>
    </row>
    <row r="500" spans="5:7" ht="12.75" customHeight="1">
      <c r="E500" s="4"/>
      <c r="F500" s="4"/>
      <c r="G500" s="4"/>
    </row>
    <row r="501" spans="5:7" ht="12.75" customHeight="1">
      <c r="E501" s="4"/>
      <c r="F501" s="4"/>
      <c r="G501" s="4"/>
    </row>
    <row r="502" spans="5:7" ht="12.75" customHeight="1">
      <c r="E502" s="4"/>
      <c r="F502" s="4"/>
      <c r="G502" s="4"/>
    </row>
    <row r="503" spans="5:7" ht="12.75" customHeight="1">
      <c r="E503" s="4"/>
      <c r="F503" s="4"/>
      <c r="G503" s="4"/>
    </row>
    <row r="504" spans="5:7" ht="12.75" customHeight="1">
      <c r="E504" s="4"/>
      <c r="F504" s="4"/>
      <c r="G504" s="4"/>
    </row>
    <row r="505" spans="5:7" ht="12.75" customHeight="1">
      <c r="E505" s="4"/>
      <c r="F505" s="4"/>
      <c r="G505" s="4"/>
    </row>
    <row r="506" spans="5:7" ht="12.75" customHeight="1">
      <c r="E506" s="4"/>
      <c r="F506" s="4"/>
      <c r="G506" s="4"/>
    </row>
    <row r="507" spans="5:7" ht="12.75" customHeight="1">
      <c r="E507" s="4"/>
      <c r="F507" s="4"/>
      <c r="G507" s="4"/>
    </row>
    <row r="508" spans="5:7" ht="12.75" customHeight="1">
      <c r="E508" s="4"/>
      <c r="F508" s="4"/>
      <c r="G508" s="4"/>
    </row>
    <row r="509" spans="5:7" ht="12.75" customHeight="1">
      <c r="E509" s="4"/>
      <c r="F509" s="4"/>
      <c r="G509" s="4"/>
    </row>
    <row r="510" spans="5:7" ht="12.75" customHeight="1">
      <c r="E510" s="4"/>
      <c r="F510" s="4"/>
      <c r="G510" s="4"/>
    </row>
    <row r="511" spans="5:7" ht="12.75" customHeight="1">
      <c r="E511" s="4"/>
      <c r="F511" s="4"/>
      <c r="G511" s="4"/>
    </row>
    <row r="512" spans="5:7" ht="12.75" customHeight="1">
      <c r="E512" s="4"/>
      <c r="F512" s="4"/>
      <c r="G512" s="4"/>
    </row>
    <row r="513" spans="5:7" ht="12.75" customHeight="1">
      <c r="E513" s="4"/>
      <c r="F513" s="4"/>
      <c r="G513" s="4"/>
    </row>
    <row r="514" spans="5:7" ht="12.75" customHeight="1">
      <c r="E514" s="4"/>
      <c r="F514" s="4"/>
      <c r="G514" s="4"/>
    </row>
    <row r="515" spans="5:7" ht="12.75" customHeight="1">
      <c r="E515" s="4"/>
      <c r="F515" s="4"/>
      <c r="G515" s="4"/>
    </row>
    <row r="516" spans="5:7" ht="12.75" customHeight="1">
      <c r="E516" s="4"/>
      <c r="F516" s="4"/>
      <c r="G516" s="4"/>
    </row>
    <row r="517" spans="5:7" ht="12.75" customHeight="1">
      <c r="E517" s="4"/>
      <c r="F517" s="4"/>
      <c r="G517" s="4"/>
    </row>
    <row r="518" spans="5:7" ht="12.75" customHeight="1">
      <c r="E518" s="4"/>
      <c r="F518" s="4"/>
      <c r="G518" s="4"/>
    </row>
    <row r="519" spans="5:7" ht="12.75" customHeight="1">
      <c r="E519" s="4"/>
      <c r="F519" s="4"/>
      <c r="G519" s="4"/>
    </row>
    <row r="520" spans="5:7" ht="12.75" customHeight="1">
      <c r="E520" s="4"/>
      <c r="F520" s="4"/>
      <c r="G520" s="4"/>
    </row>
    <row r="521" spans="5:7" ht="12.75" customHeight="1">
      <c r="E521" s="4"/>
      <c r="F521" s="4"/>
      <c r="G521" s="4"/>
    </row>
    <row r="522" spans="5:7" ht="12.75" customHeight="1">
      <c r="E522" s="4"/>
      <c r="F522" s="4"/>
      <c r="G522" s="4"/>
    </row>
    <row r="523" spans="5:7" ht="12.75" customHeight="1">
      <c r="E523" s="4"/>
      <c r="F523" s="4"/>
      <c r="G523" s="4"/>
    </row>
    <row r="524" spans="5:7" ht="12.75" customHeight="1">
      <c r="E524" s="4"/>
      <c r="F524" s="4"/>
      <c r="G524" s="4"/>
    </row>
    <row r="525" spans="5:7" ht="12.75" customHeight="1">
      <c r="E525" s="4"/>
      <c r="F525" s="4"/>
      <c r="G525" s="4"/>
    </row>
    <row r="526" spans="5:7" ht="12.75" customHeight="1">
      <c r="E526" s="4"/>
      <c r="F526" s="4"/>
      <c r="G526" s="4"/>
    </row>
    <row r="527" spans="5:7" ht="12.75" customHeight="1">
      <c r="E527" s="4"/>
      <c r="F527" s="4"/>
      <c r="G527" s="4"/>
    </row>
    <row r="528" spans="5:7" ht="12.75" customHeight="1">
      <c r="E528" s="4"/>
      <c r="F528" s="4"/>
      <c r="G528" s="4"/>
    </row>
    <row r="529" spans="5:7" ht="12.75" customHeight="1">
      <c r="E529" s="4"/>
      <c r="F529" s="4"/>
      <c r="G529" s="4"/>
    </row>
    <row r="530" spans="5:7" ht="12.75" customHeight="1">
      <c r="E530" s="4"/>
      <c r="F530" s="4"/>
      <c r="G530" s="4"/>
    </row>
    <row r="531" spans="5:7" ht="12.75" customHeight="1">
      <c r="E531" s="4"/>
      <c r="F531" s="4"/>
      <c r="G531" s="4"/>
    </row>
    <row r="532" spans="5:7" ht="12.75" customHeight="1">
      <c r="E532" s="4"/>
      <c r="F532" s="4"/>
      <c r="G532" s="4"/>
    </row>
    <row r="533" spans="5:7" ht="12.75" customHeight="1">
      <c r="E533" s="4"/>
      <c r="F533" s="4"/>
      <c r="G533" s="4"/>
    </row>
    <row r="534" spans="5:7" ht="12.75" customHeight="1">
      <c r="E534" s="4"/>
      <c r="F534" s="4"/>
      <c r="G534" s="4"/>
    </row>
    <row r="535" spans="5:7" ht="12.75" customHeight="1">
      <c r="E535" s="4"/>
      <c r="F535" s="4"/>
      <c r="G535" s="4"/>
    </row>
    <row r="536" spans="5:7" ht="12.75" customHeight="1">
      <c r="E536" s="4"/>
      <c r="F536" s="4"/>
      <c r="G536" s="4"/>
    </row>
    <row r="537" spans="5:7" ht="12.75" customHeight="1">
      <c r="E537" s="4"/>
      <c r="F537" s="4"/>
      <c r="G537" s="4"/>
    </row>
    <row r="538" spans="5:7" ht="12.75" customHeight="1">
      <c r="E538" s="4"/>
      <c r="F538" s="4"/>
      <c r="G538" s="4"/>
    </row>
    <row r="539" spans="5:7" ht="12.75" customHeight="1">
      <c r="E539" s="4"/>
      <c r="F539" s="4"/>
      <c r="G539" s="4"/>
    </row>
    <row r="540" spans="5:7" ht="12.75" customHeight="1">
      <c r="E540" s="4"/>
      <c r="F540" s="4"/>
      <c r="G540" s="4"/>
    </row>
    <row r="541" spans="5:7" ht="12.75" customHeight="1">
      <c r="E541" s="4"/>
      <c r="F541" s="4"/>
      <c r="G541" s="4"/>
    </row>
    <row r="542" spans="5:7" ht="12.75" customHeight="1">
      <c r="E542" s="4"/>
      <c r="F542" s="4"/>
      <c r="G542" s="4"/>
    </row>
    <row r="543" spans="5:7" ht="12.75" customHeight="1">
      <c r="E543" s="4"/>
      <c r="F543" s="4"/>
      <c r="G543" s="4"/>
    </row>
    <row r="544" spans="5:7" ht="12.75" customHeight="1">
      <c r="E544" s="4"/>
      <c r="F544" s="4"/>
      <c r="G544" s="4"/>
    </row>
    <row r="545" spans="5:7" ht="12.75" customHeight="1">
      <c r="E545" s="4"/>
      <c r="F545" s="4"/>
      <c r="G545" s="4"/>
    </row>
    <row r="546" spans="5:7" ht="12.75" customHeight="1">
      <c r="E546" s="4"/>
      <c r="F546" s="4"/>
      <c r="G546" s="4"/>
    </row>
    <row r="547" spans="5:7" ht="12.75" customHeight="1">
      <c r="E547" s="4"/>
      <c r="F547" s="4"/>
      <c r="G547" s="4"/>
    </row>
    <row r="548" spans="5:7" ht="12.75" customHeight="1">
      <c r="E548" s="4"/>
      <c r="F548" s="4"/>
      <c r="G548" s="4"/>
    </row>
    <row r="549" spans="5:7" ht="12.75" customHeight="1">
      <c r="E549" s="4"/>
      <c r="F549" s="4"/>
      <c r="G549" s="4"/>
    </row>
    <row r="550" spans="5:7" ht="12.75" customHeight="1">
      <c r="E550" s="4"/>
      <c r="F550" s="4"/>
      <c r="G550" s="4"/>
    </row>
    <row r="551" spans="5:7" ht="12.75" customHeight="1">
      <c r="E551" s="4"/>
      <c r="F551" s="4"/>
      <c r="G551" s="4"/>
    </row>
    <row r="552" spans="5:7" ht="12.75" customHeight="1">
      <c r="E552" s="4"/>
      <c r="F552" s="4"/>
      <c r="G552" s="4"/>
    </row>
    <row r="553" spans="5:7" ht="12.75" customHeight="1">
      <c r="E553" s="4"/>
      <c r="F553" s="4"/>
      <c r="G553" s="4"/>
    </row>
    <row r="554" spans="5:7" ht="12.75" customHeight="1">
      <c r="E554" s="4"/>
      <c r="F554" s="4"/>
      <c r="G554" s="4"/>
    </row>
    <row r="555" spans="5:7" ht="12.75" customHeight="1">
      <c r="E555" s="4"/>
      <c r="F555" s="4"/>
      <c r="G555" s="4"/>
    </row>
    <row r="556" spans="5:7" ht="12.75" customHeight="1">
      <c r="E556" s="4"/>
      <c r="F556" s="4"/>
      <c r="G556" s="4"/>
    </row>
    <row r="557" spans="5:7" ht="12.75" customHeight="1">
      <c r="E557" s="4"/>
      <c r="F557" s="4"/>
      <c r="G557" s="4"/>
    </row>
    <row r="558" spans="5:7" ht="12.75" customHeight="1">
      <c r="E558" s="4"/>
      <c r="F558" s="4"/>
      <c r="G558" s="4"/>
    </row>
    <row r="559" spans="5:7" ht="12.75" customHeight="1">
      <c r="E559" s="4"/>
      <c r="F559" s="4"/>
      <c r="G559" s="4"/>
    </row>
    <row r="560" spans="5:7" ht="12.75" customHeight="1">
      <c r="E560" s="4"/>
      <c r="F560" s="4"/>
      <c r="G560" s="4"/>
    </row>
    <row r="561" spans="5:7" ht="12.75" customHeight="1">
      <c r="E561" s="4"/>
      <c r="F561" s="4"/>
      <c r="G561" s="4"/>
    </row>
    <row r="562" spans="5:7" ht="12.75" customHeight="1">
      <c r="E562" s="4"/>
      <c r="F562" s="4"/>
      <c r="G562" s="4"/>
    </row>
    <row r="563" spans="5:7" ht="12.75" customHeight="1">
      <c r="E563" s="4"/>
      <c r="F563" s="4"/>
      <c r="G563" s="4"/>
    </row>
    <row r="564" spans="5:7" ht="12.75" customHeight="1">
      <c r="E564" s="4"/>
      <c r="F564" s="4"/>
      <c r="G564" s="4"/>
    </row>
    <row r="565" spans="5:7" ht="12.75" customHeight="1">
      <c r="E565" s="4"/>
      <c r="F565" s="4"/>
      <c r="G565" s="4"/>
    </row>
    <row r="566" spans="5:7" ht="12.75" customHeight="1">
      <c r="E566" s="4"/>
      <c r="F566" s="4"/>
      <c r="G566" s="4"/>
    </row>
    <row r="567" spans="5:7" ht="12.75" customHeight="1">
      <c r="E567" s="4"/>
      <c r="F567" s="4"/>
      <c r="G567" s="4"/>
    </row>
    <row r="568" spans="5:7" ht="12.75" customHeight="1">
      <c r="E568" s="4"/>
      <c r="F568" s="4"/>
      <c r="G568" s="4"/>
    </row>
    <row r="569" spans="5:7" ht="12.75" customHeight="1">
      <c r="E569" s="4"/>
      <c r="F569" s="4"/>
      <c r="G569" s="4"/>
    </row>
    <row r="570" spans="5:7" ht="12.75" customHeight="1">
      <c r="E570" s="4"/>
      <c r="F570" s="4"/>
      <c r="G570" s="4"/>
    </row>
    <row r="571" spans="5:7" ht="12.75" customHeight="1">
      <c r="E571" s="4"/>
      <c r="F571" s="4"/>
      <c r="G571" s="4"/>
    </row>
    <row r="572" spans="5:7" ht="12.75" customHeight="1">
      <c r="E572" s="4"/>
      <c r="F572" s="4"/>
      <c r="G572" s="4"/>
    </row>
    <row r="573" spans="5:7" ht="12.75" customHeight="1">
      <c r="E573" s="4"/>
      <c r="F573" s="4"/>
      <c r="G573" s="4"/>
    </row>
    <row r="574" spans="5:7" ht="12.75" customHeight="1">
      <c r="E574" s="4"/>
      <c r="F574" s="4"/>
      <c r="G574" s="4"/>
    </row>
    <row r="575" spans="5:7" ht="12.75" customHeight="1">
      <c r="E575" s="4"/>
      <c r="F575" s="4"/>
      <c r="G575" s="4"/>
    </row>
    <row r="576" spans="5:7" ht="12.75" customHeight="1">
      <c r="E576" s="4"/>
      <c r="F576" s="4"/>
      <c r="G576" s="4"/>
    </row>
    <row r="577" spans="5:7" ht="12.75" customHeight="1">
      <c r="E577" s="4"/>
      <c r="F577" s="4"/>
      <c r="G577" s="4"/>
    </row>
    <row r="578" spans="5:7" ht="12.75" customHeight="1">
      <c r="E578" s="4"/>
      <c r="F578" s="4"/>
      <c r="G578" s="4"/>
    </row>
    <row r="579" spans="5:7" ht="12.75" customHeight="1">
      <c r="E579" s="4"/>
      <c r="F579" s="4"/>
      <c r="G579" s="4"/>
    </row>
    <row r="580" spans="5:7" ht="12.75" customHeight="1">
      <c r="E580" s="4"/>
      <c r="F580" s="4"/>
      <c r="G580" s="4"/>
    </row>
    <row r="581" spans="5:7" ht="12.75" customHeight="1">
      <c r="E581" s="4"/>
      <c r="F581" s="4"/>
      <c r="G581" s="4"/>
    </row>
    <row r="582" spans="5:7" ht="12.75" customHeight="1">
      <c r="E582" s="4"/>
      <c r="F582" s="4"/>
      <c r="G582" s="4"/>
    </row>
    <row r="583" spans="5:7" ht="12.75" customHeight="1">
      <c r="E583" s="4"/>
      <c r="F583" s="4"/>
      <c r="G583" s="4"/>
    </row>
    <row r="584" spans="5:7" ht="12.75" customHeight="1">
      <c r="E584" s="4"/>
      <c r="F584" s="4"/>
      <c r="G584" s="4"/>
    </row>
    <row r="585" spans="5:7" ht="12.75" customHeight="1">
      <c r="E585" s="4"/>
      <c r="F585" s="4"/>
      <c r="G585" s="4"/>
    </row>
    <row r="586" spans="5:7" ht="12.75" customHeight="1">
      <c r="E586" s="4"/>
      <c r="F586" s="4"/>
      <c r="G586" s="4"/>
    </row>
    <row r="587" spans="5:7" ht="12.75" customHeight="1">
      <c r="E587" s="4"/>
      <c r="F587" s="4"/>
      <c r="G587" s="4"/>
    </row>
    <row r="588" spans="5:7" ht="12.75" customHeight="1">
      <c r="E588" s="4"/>
      <c r="F588" s="4"/>
      <c r="G588" s="4"/>
    </row>
    <row r="589" spans="5:7" ht="12.75" customHeight="1">
      <c r="E589" s="4"/>
      <c r="F589" s="4"/>
      <c r="G589" s="4"/>
    </row>
    <row r="590" spans="5:7" ht="12.75" customHeight="1">
      <c r="E590" s="4"/>
      <c r="F590" s="4"/>
      <c r="G590" s="4"/>
    </row>
    <row r="591" spans="5:7" ht="12.75" customHeight="1">
      <c r="E591" s="4"/>
      <c r="F591" s="4"/>
      <c r="G591" s="4"/>
    </row>
    <row r="592" spans="5:7" ht="12.75" customHeight="1">
      <c r="E592" s="4"/>
      <c r="F592" s="4"/>
      <c r="G592" s="4"/>
    </row>
    <row r="593" spans="5:7" ht="12.75" customHeight="1">
      <c r="E593" s="4"/>
      <c r="F593" s="4"/>
      <c r="G593" s="4"/>
    </row>
    <row r="594" spans="5:7" ht="12.75" customHeight="1">
      <c r="E594" s="4"/>
      <c r="F594" s="4"/>
      <c r="G594" s="4"/>
    </row>
    <row r="595" spans="5:7" ht="12.75" customHeight="1">
      <c r="E595" s="4"/>
      <c r="F595" s="4"/>
      <c r="G595" s="4"/>
    </row>
    <row r="596" spans="5:7" ht="12.75" customHeight="1">
      <c r="E596" s="4"/>
      <c r="F596" s="4"/>
      <c r="G596" s="4"/>
    </row>
    <row r="597" spans="5:7" ht="12.75" customHeight="1">
      <c r="E597" s="4"/>
      <c r="F597" s="4"/>
      <c r="G597" s="4"/>
    </row>
    <row r="598" spans="5:7" ht="12.75" customHeight="1">
      <c r="E598" s="4"/>
      <c r="F598" s="4"/>
      <c r="G598" s="4"/>
    </row>
    <row r="599" spans="5:7" ht="12.75" customHeight="1">
      <c r="E599" s="4"/>
      <c r="F599" s="4"/>
      <c r="G599" s="4"/>
    </row>
    <row r="600" spans="5:7" ht="12.75" customHeight="1">
      <c r="E600" s="4"/>
      <c r="F600" s="4"/>
      <c r="G600" s="4"/>
    </row>
    <row r="601" spans="5:7" ht="12.75" customHeight="1">
      <c r="E601" s="4"/>
      <c r="F601" s="4"/>
      <c r="G601" s="4"/>
    </row>
    <row r="602" spans="5:7" ht="12.75" customHeight="1">
      <c r="E602" s="4"/>
      <c r="F602" s="4"/>
      <c r="G602" s="4"/>
    </row>
    <row r="603" spans="5:7" ht="12.75" customHeight="1">
      <c r="E603" s="4"/>
      <c r="F603" s="4"/>
      <c r="G603" s="4"/>
    </row>
    <row r="604" spans="5:7" ht="12.75" customHeight="1">
      <c r="E604" s="4"/>
      <c r="F604" s="4"/>
      <c r="G604" s="4"/>
    </row>
    <row r="605" spans="5:7" ht="12.75" customHeight="1">
      <c r="E605" s="4"/>
      <c r="F605" s="4"/>
      <c r="G605" s="4"/>
    </row>
    <row r="606" spans="5:7" ht="12.75" customHeight="1">
      <c r="E606" s="4"/>
      <c r="F606" s="4"/>
      <c r="G606" s="4"/>
    </row>
    <row r="607" spans="5:7" ht="12.75" customHeight="1">
      <c r="E607" s="4"/>
      <c r="F607" s="4"/>
      <c r="G607" s="4"/>
    </row>
    <row r="608" spans="5:7" ht="12.75" customHeight="1">
      <c r="E608" s="4"/>
      <c r="F608" s="4"/>
      <c r="G608" s="4"/>
    </row>
    <row r="609" spans="5:7" ht="12.75" customHeight="1">
      <c r="E609" s="4"/>
      <c r="F609" s="4"/>
      <c r="G609" s="4"/>
    </row>
    <row r="610" spans="5:7" ht="12.75" customHeight="1">
      <c r="E610" s="4"/>
      <c r="F610" s="4"/>
      <c r="G610" s="4"/>
    </row>
    <row r="611" spans="5:7" ht="12.75" customHeight="1">
      <c r="E611" s="4"/>
      <c r="F611" s="4"/>
      <c r="G611" s="4"/>
    </row>
    <row r="612" spans="5:7" ht="12.75" customHeight="1">
      <c r="E612" s="4"/>
      <c r="F612" s="4"/>
      <c r="G612" s="4"/>
    </row>
    <row r="613" spans="5:7" ht="12.75" customHeight="1">
      <c r="E613" s="4"/>
      <c r="F613" s="4"/>
      <c r="G613" s="4"/>
    </row>
    <row r="614" spans="5:7" ht="12.75" customHeight="1">
      <c r="E614" s="4"/>
      <c r="F614" s="4"/>
      <c r="G614" s="4"/>
    </row>
    <row r="615" spans="5:7" ht="12.75" customHeight="1">
      <c r="E615" s="4"/>
      <c r="F615" s="4"/>
      <c r="G615" s="4"/>
    </row>
    <row r="616" spans="5:7" ht="12.75" customHeight="1">
      <c r="E616" s="4"/>
      <c r="F616" s="4"/>
      <c r="G616" s="4"/>
    </row>
    <row r="617" spans="5:7" ht="12.75" customHeight="1">
      <c r="E617" s="4"/>
      <c r="F617" s="4"/>
      <c r="G617" s="4"/>
    </row>
    <row r="618" spans="5:7" ht="12.75" customHeight="1">
      <c r="E618" s="4"/>
      <c r="F618" s="4"/>
      <c r="G618" s="4"/>
    </row>
    <row r="619" spans="5:7" ht="12.75" customHeight="1">
      <c r="E619" s="4"/>
      <c r="F619" s="4"/>
      <c r="G619" s="4"/>
    </row>
    <row r="620" spans="5:7" ht="12.75" customHeight="1">
      <c r="E620" s="4"/>
      <c r="F620" s="4"/>
      <c r="G620" s="4"/>
    </row>
    <row r="621" spans="5:7" ht="12.75" customHeight="1">
      <c r="E621" s="4"/>
      <c r="F621" s="4"/>
      <c r="G621" s="4"/>
    </row>
    <row r="622" spans="5:7" ht="12.75" customHeight="1">
      <c r="E622" s="4"/>
      <c r="F622" s="4"/>
      <c r="G622" s="4"/>
    </row>
    <row r="623" spans="5:7" ht="12.75" customHeight="1">
      <c r="E623" s="4"/>
      <c r="F623" s="4"/>
      <c r="G623" s="4"/>
    </row>
    <row r="624" spans="5:7" ht="12.75" customHeight="1">
      <c r="E624" s="4"/>
      <c r="F624" s="4"/>
      <c r="G624" s="4"/>
    </row>
    <row r="625" spans="5:7" ht="12.75" customHeight="1">
      <c r="E625" s="4"/>
      <c r="F625" s="4"/>
      <c r="G625" s="4"/>
    </row>
    <row r="626" spans="5:7" ht="12.75" customHeight="1">
      <c r="E626" s="4"/>
      <c r="F626" s="4"/>
      <c r="G626" s="4"/>
    </row>
    <row r="627" spans="5:7" ht="12.75" customHeight="1">
      <c r="E627" s="4"/>
      <c r="F627" s="4"/>
      <c r="G627" s="4"/>
    </row>
    <row r="628" spans="5:7" ht="12.75" customHeight="1">
      <c r="E628" s="4"/>
      <c r="F628" s="4"/>
      <c r="G628" s="4"/>
    </row>
    <row r="629" spans="5:7" ht="12.75" customHeight="1">
      <c r="E629" s="4"/>
      <c r="F629" s="4"/>
      <c r="G629" s="4"/>
    </row>
    <row r="630" spans="5:7" ht="12.75" customHeight="1">
      <c r="E630" s="4"/>
      <c r="F630" s="4"/>
      <c r="G630" s="4"/>
    </row>
    <row r="631" spans="5:7" ht="12.75" customHeight="1">
      <c r="E631" s="4"/>
      <c r="F631" s="4"/>
      <c r="G631" s="4"/>
    </row>
    <row r="632" spans="5:7" ht="12.75" customHeight="1">
      <c r="E632" s="4"/>
      <c r="F632" s="4"/>
      <c r="G632" s="4"/>
    </row>
    <row r="633" spans="5:7" ht="12.75" customHeight="1">
      <c r="E633" s="4"/>
      <c r="F633" s="4"/>
      <c r="G633" s="4"/>
    </row>
    <row r="634" spans="5:7" ht="12.75" customHeight="1">
      <c r="E634" s="4"/>
      <c r="F634" s="4"/>
      <c r="G634" s="4"/>
    </row>
    <row r="635" spans="5:7" ht="12.75" customHeight="1">
      <c r="E635" s="4"/>
      <c r="F635" s="4"/>
      <c r="G635" s="4"/>
    </row>
    <row r="636" spans="5:7" ht="12.75" customHeight="1">
      <c r="E636" s="4"/>
      <c r="F636" s="4"/>
      <c r="G636" s="4"/>
    </row>
    <row r="637" spans="5:7" ht="12.75" customHeight="1">
      <c r="E637" s="4"/>
      <c r="F637" s="4"/>
      <c r="G637" s="4"/>
    </row>
    <row r="638" spans="5:7" ht="12.75" customHeight="1">
      <c r="E638" s="4"/>
      <c r="F638" s="4"/>
      <c r="G638" s="4"/>
    </row>
    <row r="639" spans="5:7" ht="12.75" customHeight="1">
      <c r="E639" s="4"/>
      <c r="F639" s="4"/>
      <c r="G639" s="4"/>
    </row>
    <row r="640" spans="5:7" ht="12.75" customHeight="1">
      <c r="E640" s="4"/>
      <c r="F640" s="4"/>
      <c r="G640" s="4"/>
    </row>
    <row r="641" spans="5:7" ht="12.75" customHeight="1">
      <c r="E641" s="4"/>
      <c r="F641" s="4"/>
      <c r="G641" s="4"/>
    </row>
    <row r="642" spans="5:7" ht="12.75" customHeight="1">
      <c r="E642" s="4"/>
      <c r="F642" s="4"/>
      <c r="G642" s="4"/>
    </row>
    <row r="643" spans="5:7" ht="12.75" customHeight="1">
      <c r="E643" s="4"/>
      <c r="F643" s="4"/>
      <c r="G643" s="4"/>
    </row>
    <row r="644" spans="5:7" ht="12.75" customHeight="1">
      <c r="E644" s="4"/>
      <c r="F644" s="4"/>
      <c r="G644" s="4"/>
    </row>
    <row r="645" spans="5:7" ht="12.75" customHeight="1">
      <c r="E645" s="4"/>
      <c r="F645" s="4"/>
      <c r="G645" s="4"/>
    </row>
    <row r="646" spans="5:7" ht="12.75" customHeight="1">
      <c r="E646" s="4"/>
      <c r="F646" s="4"/>
      <c r="G646" s="4"/>
    </row>
    <row r="647" spans="5:7" ht="12.75" customHeight="1">
      <c r="E647" s="4"/>
      <c r="F647" s="4"/>
      <c r="G647" s="4"/>
    </row>
    <row r="648" spans="5:7" ht="12.75" customHeight="1">
      <c r="E648" s="4"/>
      <c r="F648" s="4"/>
      <c r="G648" s="4"/>
    </row>
    <row r="649" spans="5:7" ht="12.75" customHeight="1">
      <c r="E649" s="4"/>
      <c r="F649" s="4"/>
      <c r="G649" s="4"/>
    </row>
    <row r="650" spans="5:7" ht="12.75" customHeight="1">
      <c r="E650" s="4"/>
      <c r="F650" s="4"/>
      <c r="G650" s="4"/>
    </row>
    <row r="651" spans="5:7" ht="12.75" customHeight="1">
      <c r="E651" s="4"/>
      <c r="F651" s="4"/>
      <c r="G651" s="4"/>
    </row>
    <row r="652" spans="5:7" ht="12.75" customHeight="1">
      <c r="E652" s="4"/>
      <c r="F652" s="4"/>
      <c r="G652" s="4"/>
    </row>
    <row r="653" spans="5:7" ht="12.75" customHeight="1">
      <c r="E653" s="4"/>
      <c r="F653" s="4"/>
      <c r="G653" s="4"/>
    </row>
    <row r="654" spans="5:7" ht="12.75" customHeight="1">
      <c r="E654" s="4"/>
      <c r="F654" s="4"/>
      <c r="G654" s="4"/>
    </row>
    <row r="655" spans="5:7" ht="12.75" customHeight="1">
      <c r="E655" s="4"/>
      <c r="F655" s="4"/>
      <c r="G655" s="4"/>
    </row>
    <row r="656" spans="5:7" ht="12.75" customHeight="1">
      <c r="E656" s="4"/>
      <c r="F656" s="4"/>
      <c r="G656" s="4"/>
    </row>
    <row r="657" spans="5:7" ht="12.75" customHeight="1">
      <c r="E657" s="4"/>
      <c r="F657" s="4"/>
      <c r="G657" s="4"/>
    </row>
    <row r="658" spans="5:7" ht="12.75" customHeight="1">
      <c r="E658" s="4"/>
      <c r="F658" s="4"/>
      <c r="G658" s="4"/>
    </row>
    <row r="659" spans="5:7" ht="12.75" customHeight="1">
      <c r="E659" s="4"/>
      <c r="F659" s="4"/>
      <c r="G659" s="4"/>
    </row>
    <row r="660" spans="5:7" ht="12.75" customHeight="1">
      <c r="E660" s="4"/>
      <c r="F660" s="4"/>
      <c r="G660" s="4"/>
    </row>
    <row r="661" spans="5:7" ht="12.75" customHeight="1">
      <c r="E661" s="4"/>
      <c r="F661" s="4"/>
      <c r="G661" s="4"/>
    </row>
    <row r="662" spans="5:7" ht="12.75" customHeight="1">
      <c r="E662" s="4"/>
      <c r="F662" s="4"/>
      <c r="G662" s="4"/>
    </row>
    <row r="663" spans="5:7" ht="12.75" customHeight="1">
      <c r="E663" s="4"/>
      <c r="F663" s="4"/>
      <c r="G663" s="4"/>
    </row>
    <row r="664" spans="5:7" ht="12.75" customHeight="1">
      <c r="E664" s="4"/>
      <c r="F664" s="4"/>
      <c r="G664" s="4"/>
    </row>
    <row r="665" spans="5:7" ht="12.75" customHeight="1">
      <c r="E665" s="4"/>
      <c r="F665" s="4"/>
      <c r="G665" s="4"/>
    </row>
    <row r="666" spans="5:7" ht="12.75" customHeight="1">
      <c r="E666" s="4"/>
      <c r="F666" s="4"/>
      <c r="G666" s="4"/>
    </row>
    <row r="667" spans="5:7" ht="12.75" customHeight="1">
      <c r="E667" s="4"/>
      <c r="F667" s="4"/>
      <c r="G667" s="4"/>
    </row>
    <row r="668" spans="5:7" ht="12.75" customHeight="1">
      <c r="E668" s="4"/>
      <c r="F668" s="4"/>
      <c r="G668" s="4"/>
    </row>
    <row r="669" spans="5:7" ht="12.75" customHeight="1">
      <c r="E669" s="4"/>
      <c r="F669" s="4"/>
      <c r="G669" s="4"/>
    </row>
    <row r="670" spans="5:7" ht="12.75" customHeight="1">
      <c r="E670" s="4"/>
      <c r="F670" s="4"/>
      <c r="G670" s="4"/>
    </row>
    <row r="671" spans="5:7" ht="12.75" customHeight="1">
      <c r="E671" s="4"/>
      <c r="F671" s="4"/>
      <c r="G671" s="4"/>
    </row>
    <row r="672" spans="5:7" ht="12.75" customHeight="1">
      <c r="E672" s="4"/>
      <c r="F672" s="4"/>
      <c r="G672" s="4"/>
    </row>
    <row r="673" spans="5:7" ht="12.75" customHeight="1">
      <c r="E673" s="4"/>
      <c r="F673" s="4"/>
      <c r="G673" s="4"/>
    </row>
    <row r="674" spans="5:7" ht="12.75" customHeight="1">
      <c r="E674" s="4"/>
      <c r="F674" s="4"/>
      <c r="G674" s="4"/>
    </row>
    <row r="675" spans="5:7" ht="12.75" customHeight="1">
      <c r="E675" s="4"/>
      <c r="F675" s="4"/>
      <c r="G675" s="4"/>
    </row>
    <row r="676" spans="5:7" ht="12.75" customHeight="1">
      <c r="E676" s="4"/>
      <c r="F676" s="4"/>
      <c r="G676" s="4"/>
    </row>
    <row r="677" spans="5:7" ht="12.75" customHeight="1">
      <c r="E677" s="4"/>
      <c r="F677" s="4"/>
      <c r="G677" s="4"/>
    </row>
    <row r="678" spans="5:7" ht="12.75" customHeight="1">
      <c r="E678" s="4"/>
      <c r="F678" s="4"/>
      <c r="G678" s="4"/>
    </row>
    <row r="679" spans="5:7" ht="12.75" customHeight="1">
      <c r="E679" s="4"/>
      <c r="F679" s="4"/>
      <c r="G679" s="4"/>
    </row>
    <row r="680" spans="5:7" ht="12.75" customHeight="1">
      <c r="E680" s="4"/>
      <c r="F680" s="4"/>
      <c r="G680" s="4"/>
    </row>
    <row r="681" spans="5:7" ht="12.75" customHeight="1">
      <c r="E681" s="4"/>
      <c r="F681" s="4"/>
      <c r="G681" s="4"/>
    </row>
    <row r="682" spans="5:7" ht="12.75" customHeight="1">
      <c r="E682" s="4"/>
      <c r="F682" s="4"/>
      <c r="G682" s="4"/>
    </row>
    <row r="683" spans="5:7" ht="12.75" customHeight="1">
      <c r="E683" s="4"/>
      <c r="F683" s="4"/>
      <c r="G683" s="4"/>
    </row>
    <row r="684" spans="5:7" ht="12.75" customHeight="1">
      <c r="E684" s="4"/>
      <c r="F684" s="4"/>
      <c r="G684" s="4"/>
    </row>
    <row r="685" spans="5:7" ht="12.75" customHeight="1">
      <c r="E685" s="4"/>
      <c r="F685" s="4"/>
      <c r="G685" s="4"/>
    </row>
    <row r="686" spans="5:7" ht="12.75" customHeight="1">
      <c r="E686" s="4"/>
      <c r="F686" s="4"/>
      <c r="G686" s="4"/>
    </row>
    <row r="687" spans="5:7" ht="12.75" customHeight="1">
      <c r="E687" s="4"/>
      <c r="F687" s="4"/>
      <c r="G687" s="4"/>
    </row>
    <row r="688" spans="5:7" ht="12.75" customHeight="1">
      <c r="E688" s="4"/>
      <c r="F688" s="4"/>
      <c r="G688" s="4"/>
    </row>
    <row r="689" spans="5:7" ht="12.75" customHeight="1">
      <c r="E689" s="4"/>
      <c r="F689" s="4"/>
      <c r="G689" s="4"/>
    </row>
    <row r="690" spans="5:7" ht="12.75" customHeight="1">
      <c r="E690" s="4"/>
      <c r="F690" s="4"/>
      <c r="G690" s="4"/>
    </row>
    <row r="691" spans="5:7" ht="12.75" customHeight="1">
      <c r="E691" s="4"/>
      <c r="F691" s="4"/>
      <c r="G691" s="4"/>
    </row>
    <row r="692" spans="5:7" ht="12.75" customHeight="1">
      <c r="E692" s="4"/>
      <c r="F692" s="4"/>
      <c r="G692" s="4"/>
    </row>
    <row r="693" spans="5:7" ht="12.75" customHeight="1">
      <c r="E693" s="4"/>
      <c r="F693" s="4"/>
      <c r="G693" s="4"/>
    </row>
    <row r="694" spans="5:7" ht="12.75" customHeight="1">
      <c r="E694" s="4"/>
      <c r="F694" s="4"/>
      <c r="G694" s="4"/>
    </row>
    <row r="695" spans="5:7" ht="12.75" customHeight="1">
      <c r="E695" s="4"/>
      <c r="F695" s="4"/>
      <c r="G695" s="4"/>
    </row>
    <row r="696" spans="5:7" ht="12.75" customHeight="1">
      <c r="E696" s="4"/>
      <c r="F696" s="4"/>
      <c r="G696" s="4"/>
    </row>
    <row r="697" spans="5:7" ht="12.75" customHeight="1">
      <c r="E697" s="4"/>
      <c r="F697" s="4"/>
      <c r="G697" s="4"/>
    </row>
    <row r="698" spans="5:7" ht="12.75" customHeight="1">
      <c r="E698" s="4"/>
      <c r="F698" s="4"/>
      <c r="G698" s="4"/>
    </row>
    <row r="699" spans="5:7" ht="12.75" customHeight="1">
      <c r="E699" s="4"/>
      <c r="F699" s="4"/>
      <c r="G699" s="4"/>
    </row>
    <row r="700" spans="5:7" ht="12.75" customHeight="1">
      <c r="E700" s="4"/>
      <c r="F700" s="4"/>
      <c r="G700" s="4"/>
    </row>
    <row r="701" spans="5:7" ht="12.75" customHeight="1">
      <c r="E701" s="4"/>
      <c r="F701" s="4"/>
      <c r="G701" s="4"/>
    </row>
    <row r="702" spans="5:7" ht="12.75" customHeight="1">
      <c r="E702" s="4"/>
      <c r="F702" s="4"/>
      <c r="G702" s="4"/>
    </row>
    <row r="703" spans="5:7" ht="12.75" customHeight="1">
      <c r="E703" s="4"/>
      <c r="F703" s="4"/>
      <c r="G703" s="4"/>
    </row>
    <row r="704" spans="5:7" ht="12.75" customHeight="1">
      <c r="E704" s="4"/>
      <c r="F704" s="4"/>
      <c r="G704" s="4"/>
    </row>
    <row r="705" spans="5:7" ht="12.75" customHeight="1">
      <c r="E705" s="4"/>
      <c r="F705" s="4"/>
      <c r="G705" s="4"/>
    </row>
    <row r="706" spans="5:7" ht="12.75" customHeight="1">
      <c r="E706" s="4"/>
      <c r="F706" s="4"/>
      <c r="G706" s="4"/>
    </row>
    <row r="707" spans="5:7" ht="12.75" customHeight="1">
      <c r="E707" s="4"/>
      <c r="F707" s="4"/>
      <c r="G707" s="4"/>
    </row>
    <row r="708" spans="5:7" ht="12.75" customHeight="1">
      <c r="E708" s="4"/>
      <c r="F708" s="4"/>
      <c r="G708" s="4"/>
    </row>
    <row r="709" spans="5:7" ht="12.75" customHeight="1">
      <c r="E709" s="4"/>
      <c r="F709" s="4"/>
      <c r="G709" s="4"/>
    </row>
    <row r="710" spans="5:7" ht="12.75" customHeight="1">
      <c r="E710" s="4"/>
      <c r="F710" s="4"/>
      <c r="G710" s="4"/>
    </row>
    <row r="711" spans="5:7" ht="12.75" customHeight="1">
      <c r="E711" s="4"/>
      <c r="F711" s="4"/>
      <c r="G711" s="4"/>
    </row>
    <row r="712" spans="5:7" ht="12.75" customHeight="1">
      <c r="E712" s="4"/>
      <c r="F712" s="4"/>
      <c r="G712" s="4"/>
    </row>
    <row r="713" spans="5:7" ht="12.75" customHeight="1">
      <c r="E713" s="4"/>
      <c r="F713" s="4"/>
      <c r="G713" s="4"/>
    </row>
    <row r="714" spans="5:7" ht="12.75" customHeight="1">
      <c r="E714" s="4"/>
      <c r="F714" s="4"/>
      <c r="G714" s="4"/>
    </row>
    <row r="715" spans="5:7" ht="12.75" customHeight="1">
      <c r="E715" s="4"/>
      <c r="F715" s="4"/>
      <c r="G715" s="4"/>
    </row>
    <row r="716" spans="5:7" ht="12.75" customHeight="1">
      <c r="E716" s="4"/>
      <c r="F716" s="4"/>
      <c r="G716" s="4"/>
    </row>
    <row r="717" spans="5:7" ht="12.75" customHeight="1">
      <c r="E717" s="4"/>
      <c r="F717" s="4"/>
      <c r="G717" s="4"/>
    </row>
    <row r="718" spans="5:7" ht="12.75" customHeight="1">
      <c r="E718" s="4"/>
      <c r="F718" s="4"/>
      <c r="G718" s="4"/>
    </row>
    <row r="719" spans="5:7" ht="12.75" customHeight="1">
      <c r="E719" s="4"/>
      <c r="F719" s="4"/>
      <c r="G719" s="4"/>
    </row>
    <row r="720" spans="5:7" ht="12.75" customHeight="1">
      <c r="E720" s="4"/>
      <c r="F720" s="4"/>
      <c r="G720" s="4"/>
    </row>
    <row r="721" spans="5:7" ht="12.75" customHeight="1">
      <c r="E721" s="4"/>
      <c r="F721" s="4"/>
      <c r="G721" s="4"/>
    </row>
    <row r="722" spans="5:7" ht="12.75" customHeight="1">
      <c r="E722" s="4"/>
      <c r="F722" s="4"/>
      <c r="G722" s="4"/>
    </row>
    <row r="723" spans="5:7" ht="12.75" customHeight="1">
      <c r="E723" s="4"/>
      <c r="F723" s="4"/>
      <c r="G723" s="4"/>
    </row>
    <row r="724" spans="5:7" ht="12.75" customHeight="1">
      <c r="E724" s="4"/>
      <c r="F724" s="4"/>
      <c r="G724" s="4"/>
    </row>
    <row r="725" spans="5:7" ht="12.75" customHeight="1">
      <c r="E725" s="4"/>
      <c r="F725" s="4"/>
      <c r="G725" s="4"/>
    </row>
    <row r="726" spans="5:7" ht="12.75" customHeight="1">
      <c r="E726" s="4"/>
      <c r="F726" s="4"/>
      <c r="G726" s="4"/>
    </row>
    <row r="727" spans="5:7" ht="12.75" customHeight="1">
      <c r="E727" s="4"/>
      <c r="F727" s="4"/>
      <c r="G727" s="4"/>
    </row>
    <row r="728" spans="5:7" ht="12.75" customHeight="1">
      <c r="E728" s="4"/>
      <c r="F728" s="4"/>
      <c r="G728" s="4"/>
    </row>
    <row r="729" spans="5:7" ht="12.75" customHeight="1">
      <c r="E729" s="4"/>
      <c r="F729" s="4"/>
      <c r="G729" s="4"/>
    </row>
    <row r="730" spans="5:7" ht="12.75" customHeight="1">
      <c r="E730" s="4"/>
      <c r="F730" s="4"/>
      <c r="G730" s="4"/>
    </row>
    <row r="731" spans="5:7" ht="12.75" customHeight="1">
      <c r="E731" s="4"/>
      <c r="F731" s="4"/>
      <c r="G731" s="4"/>
    </row>
    <row r="732" spans="5:7" ht="12.75" customHeight="1">
      <c r="E732" s="4"/>
      <c r="F732" s="4"/>
      <c r="G732" s="4"/>
    </row>
    <row r="733" spans="5:7" ht="12.75" customHeight="1">
      <c r="E733" s="4"/>
      <c r="F733" s="4"/>
      <c r="G733" s="4"/>
    </row>
    <row r="734" spans="5:7" ht="12.75" customHeight="1">
      <c r="E734" s="4"/>
      <c r="F734" s="4"/>
      <c r="G734" s="4"/>
    </row>
    <row r="735" spans="5:7" ht="12.75" customHeight="1">
      <c r="E735" s="4"/>
      <c r="F735" s="4"/>
      <c r="G735" s="4"/>
    </row>
    <row r="736" spans="5:7" ht="12.75" customHeight="1">
      <c r="E736" s="4"/>
      <c r="F736" s="4"/>
      <c r="G736" s="4"/>
    </row>
    <row r="737" spans="5:7" ht="12.75" customHeight="1">
      <c r="E737" s="4"/>
      <c r="F737" s="4"/>
      <c r="G737" s="4"/>
    </row>
    <row r="738" spans="5:7" ht="12.75" customHeight="1">
      <c r="E738" s="4"/>
      <c r="F738" s="4"/>
      <c r="G738" s="4"/>
    </row>
    <row r="739" spans="5:7" ht="12.75" customHeight="1">
      <c r="E739" s="4"/>
      <c r="F739" s="4"/>
      <c r="G739" s="4"/>
    </row>
    <row r="740" spans="5:7" ht="12.75" customHeight="1">
      <c r="E740" s="4"/>
      <c r="F740" s="4"/>
      <c r="G740" s="4"/>
    </row>
    <row r="741" spans="5:7" ht="12.75" customHeight="1">
      <c r="E741" s="4"/>
      <c r="F741" s="4"/>
      <c r="G741" s="4"/>
    </row>
    <row r="742" spans="5:7" ht="12.75" customHeight="1">
      <c r="E742" s="4"/>
      <c r="F742" s="4"/>
      <c r="G742" s="4"/>
    </row>
    <row r="743" spans="5:7" ht="12.75" customHeight="1">
      <c r="E743" s="4"/>
      <c r="F743" s="4"/>
      <c r="G743" s="4"/>
    </row>
    <row r="744" spans="5:7" ht="12.75" customHeight="1">
      <c r="E744" s="4"/>
      <c r="F744" s="4"/>
      <c r="G744" s="4"/>
    </row>
    <row r="745" spans="5:7" ht="12.75" customHeight="1">
      <c r="E745" s="4"/>
      <c r="F745" s="4"/>
      <c r="G745" s="4"/>
    </row>
    <row r="746" spans="5:7" ht="12.75" customHeight="1">
      <c r="E746" s="4"/>
      <c r="F746" s="4"/>
      <c r="G746" s="4"/>
    </row>
    <row r="747" spans="5:7" ht="12.75" customHeight="1">
      <c r="E747" s="4"/>
      <c r="F747" s="4"/>
      <c r="G747" s="4"/>
    </row>
    <row r="748" spans="5:7" ht="12.75" customHeight="1">
      <c r="E748" s="4"/>
      <c r="F748" s="4"/>
      <c r="G748" s="4"/>
    </row>
    <row r="749" spans="5:7" ht="12.75" customHeight="1">
      <c r="E749" s="4"/>
      <c r="F749" s="4"/>
      <c r="G749" s="4"/>
    </row>
    <row r="750" spans="5:7" ht="12.75" customHeight="1">
      <c r="E750" s="4"/>
      <c r="F750" s="4"/>
      <c r="G750" s="4"/>
    </row>
    <row r="751" spans="5:7" ht="12.75" customHeight="1">
      <c r="E751" s="4"/>
      <c r="F751" s="4"/>
      <c r="G751" s="4"/>
    </row>
    <row r="752" spans="5:7" ht="12.75" customHeight="1">
      <c r="E752" s="4"/>
      <c r="F752" s="4"/>
      <c r="G752" s="4"/>
    </row>
    <row r="753" spans="5:7" ht="12.75" customHeight="1">
      <c r="E753" s="4"/>
      <c r="F753" s="4"/>
      <c r="G753" s="4"/>
    </row>
    <row r="754" spans="5:7" ht="12.75" customHeight="1">
      <c r="E754" s="4"/>
      <c r="F754" s="4"/>
      <c r="G754" s="4"/>
    </row>
    <row r="755" spans="5:7" ht="12.75" customHeight="1">
      <c r="E755" s="4"/>
      <c r="F755" s="4"/>
      <c r="G755" s="4"/>
    </row>
    <row r="756" spans="5:7" ht="12.75" customHeight="1">
      <c r="E756" s="4"/>
      <c r="F756" s="4"/>
      <c r="G756" s="4"/>
    </row>
    <row r="757" spans="5:7" ht="12.75" customHeight="1">
      <c r="E757" s="4"/>
      <c r="F757" s="4"/>
      <c r="G757" s="4"/>
    </row>
    <row r="758" spans="5:7" ht="12.75" customHeight="1">
      <c r="E758" s="4"/>
      <c r="F758" s="4"/>
      <c r="G758" s="4"/>
    </row>
    <row r="759" spans="5:7" ht="12.75" customHeight="1">
      <c r="E759" s="4"/>
      <c r="F759" s="4"/>
      <c r="G759" s="4"/>
    </row>
    <row r="760" spans="5:7" ht="12.75" customHeight="1">
      <c r="E760" s="4"/>
      <c r="F760" s="4"/>
      <c r="G760" s="4"/>
    </row>
    <row r="761" spans="5:7" ht="12.75" customHeight="1">
      <c r="E761" s="4"/>
      <c r="F761" s="4"/>
      <c r="G761" s="4"/>
    </row>
    <row r="762" spans="5:7" ht="12.75" customHeight="1">
      <c r="E762" s="4"/>
      <c r="F762" s="4"/>
      <c r="G762" s="4"/>
    </row>
    <row r="763" spans="5:7" ht="12.75" customHeight="1">
      <c r="E763" s="4"/>
      <c r="F763" s="4"/>
      <c r="G763" s="4"/>
    </row>
    <row r="764" spans="5:7" ht="12.75" customHeight="1">
      <c r="E764" s="4"/>
      <c r="F764" s="4"/>
      <c r="G764" s="4"/>
    </row>
    <row r="765" spans="5:7" ht="12.75" customHeight="1">
      <c r="E765" s="4"/>
      <c r="F765" s="4"/>
      <c r="G765" s="4"/>
    </row>
    <row r="766" spans="5:7" ht="12.75" customHeight="1">
      <c r="E766" s="4"/>
      <c r="F766" s="4"/>
      <c r="G766" s="4"/>
    </row>
    <row r="767" spans="5:7" ht="12.75" customHeight="1">
      <c r="E767" s="4"/>
      <c r="F767" s="4"/>
      <c r="G767" s="4"/>
    </row>
    <row r="768" spans="5:7" ht="12.75" customHeight="1">
      <c r="E768" s="4"/>
      <c r="F768" s="4"/>
      <c r="G768" s="4"/>
    </row>
    <row r="769" spans="5:7" ht="12.75" customHeight="1">
      <c r="E769" s="4"/>
      <c r="F769" s="4"/>
      <c r="G769" s="4"/>
    </row>
    <row r="770" spans="5:7" ht="12.75" customHeight="1">
      <c r="E770" s="4"/>
      <c r="F770" s="4"/>
      <c r="G770" s="4"/>
    </row>
    <row r="771" spans="5:7" ht="12.75" customHeight="1">
      <c r="E771" s="4"/>
      <c r="F771" s="4"/>
      <c r="G771" s="4"/>
    </row>
    <row r="772" spans="5:7" ht="12.75" customHeight="1">
      <c r="E772" s="4"/>
      <c r="F772" s="4"/>
      <c r="G772" s="4"/>
    </row>
    <row r="773" spans="5:7" ht="12.75" customHeight="1">
      <c r="E773" s="4"/>
      <c r="F773" s="4"/>
      <c r="G773" s="4"/>
    </row>
    <row r="774" spans="5:7" ht="12.75" customHeight="1">
      <c r="E774" s="4"/>
      <c r="F774" s="4"/>
      <c r="G774" s="4"/>
    </row>
    <row r="775" spans="5:7" ht="12.75" customHeight="1">
      <c r="E775" s="4"/>
      <c r="F775" s="4"/>
      <c r="G775" s="4"/>
    </row>
    <row r="776" spans="5:7" ht="12.75" customHeight="1">
      <c r="E776" s="4"/>
      <c r="F776" s="4"/>
      <c r="G776" s="4"/>
    </row>
    <row r="777" spans="5:7" ht="12.75" customHeight="1">
      <c r="E777" s="4"/>
      <c r="F777" s="4"/>
      <c r="G777" s="4"/>
    </row>
    <row r="778" spans="5:7" ht="12.75" customHeight="1">
      <c r="E778" s="4"/>
      <c r="F778" s="4"/>
      <c r="G778" s="4"/>
    </row>
    <row r="779" spans="5:7" ht="12.75" customHeight="1">
      <c r="E779" s="4"/>
      <c r="F779" s="4"/>
      <c r="G779" s="4"/>
    </row>
    <row r="780" spans="5:7" ht="12.75" customHeight="1">
      <c r="E780" s="4"/>
      <c r="F780" s="4"/>
      <c r="G780" s="4"/>
    </row>
    <row r="781" spans="5:7" ht="12.75" customHeight="1">
      <c r="E781" s="4"/>
      <c r="F781" s="4"/>
      <c r="G781" s="4"/>
    </row>
    <row r="782" spans="5:7" ht="12.75" customHeight="1">
      <c r="E782" s="4"/>
      <c r="F782" s="4"/>
      <c r="G782" s="4"/>
    </row>
    <row r="783" spans="5:7" ht="12.75" customHeight="1">
      <c r="E783" s="4"/>
      <c r="F783" s="4"/>
      <c r="G783" s="4"/>
    </row>
    <row r="784" spans="5:7" ht="12.75" customHeight="1">
      <c r="E784" s="4"/>
      <c r="F784" s="4"/>
      <c r="G784" s="4"/>
    </row>
    <row r="785" spans="5:7" ht="12.75" customHeight="1">
      <c r="E785" s="4"/>
      <c r="F785" s="4"/>
      <c r="G785" s="4"/>
    </row>
    <row r="786" spans="5:7" ht="12.75" customHeight="1">
      <c r="E786" s="4"/>
      <c r="F786" s="4"/>
      <c r="G786" s="4"/>
    </row>
    <row r="787" spans="5:7" ht="12.75" customHeight="1">
      <c r="E787" s="4"/>
      <c r="F787" s="4"/>
      <c r="G787" s="4"/>
    </row>
    <row r="788" spans="5:7" ht="12.75" customHeight="1">
      <c r="E788" s="4"/>
      <c r="F788" s="4"/>
      <c r="G788" s="4"/>
    </row>
    <row r="789" spans="5:7" ht="12.75" customHeight="1">
      <c r="E789" s="4"/>
      <c r="F789" s="4"/>
      <c r="G789" s="4"/>
    </row>
    <row r="790" spans="5:7" ht="12.75" customHeight="1">
      <c r="E790" s="4"/>
      <c r="F790" s="4"/>
      <c r="G790" s="4"/>
    </row>
    <row r="791" spans="5:7" ht="12.75" customHeight="1">
      <c r="E791" s="4"/>
      <c r="F791" s="4"/>
      <c r="G791" s="4"/>
    </row>
    <row r="792" spans="5:7" ht="12.75" customHeight="1">
      <c r="E792" s="4"/>
      <c r="F792" s="4"/>
      <c r="G792" s="4"/>
    </row>
    <row r="793" spans="5:7" ht="12.75" customHeight="1">
      <c r="E793" s="4"/>
      <c r="F793" s="4"/>
      <c r="G793" s="4"/>
    </row>
    <row r="794" spans="5:7" ht="12.75" customHeight="1">
      <c r="E794" s="4"/>
      <c r="F794" s="4"/>
      <c r="G794" s="4"/>
    </row>
    <row r="795" spans="5:7" ht="12.75" customHeight="1">
      <c r="E795" s="4"/>
      <c r="F795" s="4"/>
      <c r="G795" s="4"/>
    </row>
    <row r="796" spans="5:7" ht="12.75" customHeight="1">
      <c r="E796" s="4"/>
      <c r="F796" s="4"/>
      <c r="G796" s="4"/>
    </row>
    <row r="797" spans="5:7" ht="12.75" customHeight="1">
      <c r="E797" s="4"/>
      <c r="F797" s="4"/>
      <c r="G797" s="4"/>
    </row>
    <row r="798" spans="5:7" ht="12.75" customHeight="1">
      <c r="E798" s="4"/>
      <c r="F798" s="4"/>
      <c r="G798" s="4"/>
    </row>
    <row r="799" spans="5:7" ht="12.75" customHeight="1">
      <c r="E799" s="4"/>
      <c r="F799" s="4"/>
      <c r="G799" s="4"/>
    </row>
    <row r="800" spans="5:7" ht="12.75" customHeight="1">
      <c r="E800" s="4"/>
      <c r="F800" s="4"/>
      <c r="G800" s="4"/>
    </row>
    <row r="801" spans="5:7" ht="12.75" customHeight="1">
      <c r="E801" s="4"/>
      <c r="F801" s="4"/>
      <c r="G801" s="4"/>
    </row>
    <row r="802" spans="5:7" ht="12.75" customHeight="1">
      <c r="E802" s="4"/>
      <c r="F802" s="4"/>
      <c r="G802" s="4"/>
    </row>
    <row r="803" spans="5:7" ht="12.75" customHeight="1">
      <c r="E803" s="4"/>
      <c r="F803" s="4"/>
      <c r="G803" s="4"/>
    </row>
    <row r="804" spans="5:7" ht="12.75" customHeight="1">
      <c r="E804" s="4"/>
      <c r="F804" s="4"/>
      <c r="G804" s="4"/>
    </row>
    <row r="805" spans="5:7" ht="12.75" customHeight="1">
      <c r="E805" s="4"/>
      <c r="F805" s="4"/>
      <c r="G805" s="4"/>
    </row>
    <row r="806" spans="5:7" ht="12.75" customHeight="1">
      <c r="E806" s="4"/>
      <c r="F806" s="4"/>
      <c r="G806" s="4"/>
    </row>
    <row r="807" spans="5:7" ht="12.75" customHeight="1">
      <c r="E807" s="4"/>
      <c r="F807" s="4"/>
      <c r="G807" s="4"/>
    </row>
    <row r="808" spans="5:7" ht="12.75" customHeight="1">
      <c r="E808" s="4"/>
      <c r="F808" s="4"/>
      <c r="G808" s="4"/>
    </row>
    <row r="809" spans="5:7" ht="12.75" customHeight="1">
      <c r="E809" s="4"/>
      <c r="F809" s="4"/>
      <c r="G809" s="4"/>
    </row>
    <row r="810" spans="5:7" ht="12.75" customHeight="1">
      <c r="E810" s="4"/>
      <c r="F810" s="4"/>
      <c r="G810" s="4"/>
    </row>
    <row r="811" spans="5:7" ht="12.75" customHeight="1">
      <c r="E811" s="4"/>
      <c r="F811" s="4"/>
      <c r="G811" s="4"/>
    </row>
    <row r="812" spans="5:7" ht="12.75" customHeight="1">
      <c r="E812" s="4"/>
      <c r="F812" s="4"/>
      <c r="G812" s="4"/>
    </row>
    <row r="813" spans="5:7" ht="12.75" customHeight="1">
      <c r="E813" s="4"/>
      <c r="F813" s="4"/>
      <c r="G813" s="4"/>
    </row>
    <row r="814" spans="5:7" ht="12.75" customHeight="1">
      <c r="E814" s="4"/>
      <c r="F814" s="4"/>
      <c r="G814" s="4"/>
    </row>
    <row r="815" spans="5:7" ht="12.75" customHeight="1">
      <c r="E815" s="4"/>
      <c r="F815" s="4"/>
      <c r="G815" s="4"/>
    </row>
    <row r="816" spans="5:7" ht="12.75" customHeight="1">
      <c r="E816" s="4"/>
      <c r="F816" s="4"/>
      <c r="G816" s="4"/>
    </row>
    <row r="817" spans="5:7" ht="12.75" customHeight="1">
      <c r="E817" s="4"/>
      <c r="F817" s="4"/>
      <c r="G817" s="4"/>
    </row>
    <row r="818" spans="5:7" ht="12.75" customHeight="1">
      <c r="E818" s="4"/>
      <c r="F818" s="4"/>
      <c r="G818" s="4"/>
    </row>
    <row r="819" spans="5:7" ht="12.75" customHeight="1">
      <c r="E819" s="4"/>
      <c r="F819" s="4"/>
      <c r="G819" s="4"/>
    </row>
    <row r="820" spans="5:7" ht="12.75" customHeight="1">
      <c r="E820" s="4"/>
      <c r="F820" s="4"/>
      <c r="G820" s="4"/>
    </row>
    <row r="821" spans="5:7" ht="12.75" customHeight="1">
      <c r="E821" s="4"/>
      <c r="F821" s="4"/>
      <c r="G821" s="4"/>
    </row>
    <row r="822" spans="5:7" ht="12.75" customHeight="1">
      <c r="E822" s="4"/>
      <c r="F822" s="4"/>
      <c r="G822" s="4"/>
    </row>
    <row r="823" spans="5:7" ht="12.75" customHeight="1">
      <c r="E823" s="4"/>
      <c r="F823" s="4"/>
      <c r="G823" s="4"/>
    </row>
    <row r="824" spans="5:7" ht="12.75" customHeight="1">
      <c r="E824" s="4"/>
      <c r="F824" s="4"/>
      <c r="G824" s="4"/>
    </row>
    <row r="825" spans="5:7" ht="12.75" customHeight="1">
      <c r="E825" s="4"/>
      <c r="F825" s="4"/>
      <c r="G825" s="4"/>
    </row>
    <row r="826" spans="5:7" ht="12.75" customHeight="1">
      <c r="E826" s="4"/>
      <c r="F826" s="4"/>
      <c r="G826" s="4"/>
    </row>
    <row r="827" spans="5:7" ht="12.75" customHeight="1">
      <c r="E827" s="4"/>
      <c r="F827" s="4"/>
      <c r="G827" s="4"/>
    </row>
    <row r="828" spans="5:7" ht="12.75" customHeight="1">
      <c r="E828" s="4"/>
      <c r="F828" s="4"/>
      <c r="G828" s="4"/>
    </row>
    <row r="829" spans="5:7" ht="12.75" customHeight="1">
      <c r="E829" s="4"/>
      <c r="F829" s="4"/>
      <c r="G829" s="4"/>
    </row>
    <row r="830" spans="5:7" ht="12.75" customHeight="1">
      <c r="E830" s="4"/>
      <c r="F830" s="4"/>
      <c r="G830" s="4"/>
    </row>
    <row r="831" spans="5:7" ht="12.75" customHeight="1">
      <c r="E831" s="4"/>
      <c r="F831" s="4"/>
      <c r="G831" s="4"/>
    </row>
    <row r="832" spans="5:7" ht="12.75" customHeight="1">
      <c r="E832" s="4"/>
      <c r="F832" s="4"/>
      <c r="G832" s="4"/>
    </row>
    <row r="833" spans="5:7" ht="12.75" customHeight="1">
      <c r="E833" s="4"/>
      <c r="F833" s="4"/>
      <c r="G833" s="4"/>
    </row>
    <row r="834" spans="5:7" ht="12.75" customHeight="1">
      <c r="E834" s="4"/>
      <c r="F834" s="4"/>
      <c r="G834" s="4"/>
    </row>
    <row r="835" spans="5:7" ht="12.75" customHeight="1">
      <c r="E835" s="4"/>
      <c r="F835" s="4"/>
      <c r="G835" s="4"/>
    </row>
    <row r="836" spans="5:7" ht="12.75" customHeight="1">
      <c r="E836" s="4"/>
      <c r="F836" s="4"/>
      <c r="G836" s="4"/>
    </row>
    <row r="837" spans="5:7" ht="12.75" customHeight="1">
      <c r="E837" s="4"/>
      <c r="F837" s="4"/>
      <c r="G837" s="4"/>
    </row>
    <row r="838" spans="5:7" ht="12.75" customHeight="1">
      <c r="E838" s="4"/>
      <c r="F838" s="4"/>
      <c r="G838" s="4"/>
    </row>
    <row r="839" spans="5:7" ht="12.75" customHeight="1">
      <c r="E839" s="4"/>
      <c r="F839" s="4"/>
      <c r="G839" s="4"/>
    </row>
    <row r="840" spans="5:7" ht="12.75" customHeight="1">
      <c r="E840" s="4"/>
      <c r="F840" s="4"/>
      <c r="G840" s="4"/>
    </row>
  </sheetData>
  <mergeCells count="17">
    <mergeCell ref="E2:K2"/>
    <mergeCell ref="E3:K3"/>
    <mergeCell ref="E4:K4"/>
    <mergeCell ref="C38:C39"/>
    <mergeCell ref="C40:C42"/>
    <mergeCell ref="C10:C21"/>
    <mergeCell ref="C22:C24"/>
    <mergeCell ref="C25:C27"/>
    <mergeCell ref="C30:C31"/>
    <mergeCell ref="C32:C33"/>
    <mergeCell ref="K46:K66"/>
    <mergeCell ref="C70:C76"/>
    <mergeCell ref="C77:C87"/>
    <mergeCell ref="C90:C98"/>
    <mergeCell ref="C45:C66"/>
    <mergeCell ref="I46:I66"/>
    <mergeCell ref="J46:J66"/>
  </mergeCells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7"/>
  <sheetViews>
    <sheetView showGridLines="0" zoomScale="85" zoomScaleNormal="85" workbookViewId="0">
      <selection activeCell="A20" sqref="A20:XFD23"/>
    </sheetView>
  </sheetViews>
  <sheetFormatPr baseColWidth="10" defaultColWidth="14.42578125" defaultRowHeight="15" customHeight="1"/>
  <cols>
    <col min="1" max="1" width="10" customWidth="1"/>
    <col min="2" max="2" width="57.28515625" customWidth="1"/>
    <col min="3" max="7" width="10" customWidth="1"/>
    <col min="8" max="8" width="13.140625" customWidth="1"/>
    <col min="9" max="9" width="14.28515625" customWidth="1"/>
    <col min="10" max="21" width="10" customWidth="1"/>
  </cols>
  <sheetData>
    <row r="1" spans="1:16">
      <c r="A1" s="3"/>
    </row>
    <row r="2" spans="1:16" ht="19.5" customHeight="1">
      <c r="C2" s="257" t="s">
        <v>61</v>
      </c>
      <c r="D2" s="257"/>
      <c r="E2" s="257"/>
      <c r="F2" s="257"/>
      <c r="G2" s="257"/>
      <c r="H2" s="257"/>
      <c r="I2" s="257"/>
      <c r="J2" s="147"/>
      <c r="K2" s="147"/>
      <c r="L2" s="147"/>
      <c r="M2" s="147"/>
    </row>
    <row r="3" spans="1:16" ht="13.5" customHeight="1">
      <c r="C3" s="257" t="s">
        <v>62</v>
      </c>
      <c r="D3" s="257"/>
      <c r="E3" s="257"/>
      <c r="F3" s="257"/>
      <c r="G3" s="257"/>
      <c r="H3" s="257"/>
      <c r="I3" s="257"/>
      <c r="J3" s="147"/>
      <c r="K3" s="147"/>
      <c r="L3" s="147"/>
    </row>
    <row r="4" spans="1:16" ht="29.25" customHeight="1">
      <c r="C4" s="258" t="s">
        <v>291</v>
      </c>
      <c r="D4" s="258"/>
      <c r="E4" s="258"/>
      <c r="F4" s="258"/>
      <c r="G4" s="258"/>
      <c r="H4" s="258"/>
      <c r="I4" s="258"/>
      <c r="J4" s="148"/>
      <c r="K4" s="148"/>
      <c r="L4" s="148"/>
      <c r="M4" s="148"/>
    </row>
    <row r="5" spans="1:16" ht="29.25" customHeight="1">
      <c r="B5" s="4" t="s">
        <v>292</v>
      </c>
      <c r="C5" s="1"/>
      <c r="D5" s="1"/>
      <c r="E5" s="1"/>
      <c r="F5" s="1"/>
      <c r="G5" s="1"/>
      <c r="H5" s="1"/>
      <c r="L5" s="256"/>
      <c r="M5" s="256"/>
      <c r="N5" s="256"/>
      <c r="O5" s="256"/>
      <c r="P5" s="256"/>
    </row>
    <row r="6" spans="1:16" ht="17.25" customHeight="1">
      <c r="B6" s="4"/>
      <c r="C6" s="1"/>
      <c r="D6" s="1"/>
      <c r="E6" s="1"/>
      <c r="F6" s="1"/>
      <c r="G6" s="1"/>
      <c r="H6" s="1"/>
      <c r="L6" s="157"/>
      <c r="M6" s="157"/>
      <c r="N6" s="157"/>
      <c r="O6" s="157"/>
      <c r="P6" s="157"/>
    </row>
    <row r="7" spans="1:16" ht="17.25" customHeight="1">
      <c r="B7" s="184" t="s">
        <v>293</v>
      </c>
      <c r="C7" s="185">
        <v>2018</v>
      </c>
      <c r="D7" s="185">
        <v>2019</v>
      </c>
      <c r="E7" s="185">
        <v>20221</v>
      </c>
      <c r="F7" s="185">
        <v>2022</v>
      </c>
      <c r="G7" s="185">
        <v>2023</v>
      </c>
      <c r="H7" s="185">
        <v>2024</v>
      </c>
      <c r="I7" s="185" t="s">
        <v>294</v>
      </c>
      <c r="J7" s="185" t="s">
        <v>295</v>
      </c>
      <c r="L7" s="157"/>
      <c r="M7" s="157"/>
      <c r="N7" s="157"/>
      <c r="O7" s="157"/>
      <c r="P7" s="157"/>
    </row>
    <row r="8" spans="1:16" ht="17.25" customHeight="1">
      <c r="B8" s="186" t="s">
        <v>296</v>
      </c>
      <c r="C8" s="187">
        <v>172</v>
      </c>
      <c r="D8" s="188" t="s">
        <v>134</v>
      </c>
      <c r="E8" s="188" t="s">
        <v>134</v>
      </c>
      <c r="F8" s="188" t="s">
        <v>134</v>
      </c>
      <c r="G8" s="188">
        <v>6</v>
      </c>
      <c r="H8" s="188" t="s">
        <v>134</v>
      </c>
      <c r="I8" s="187">
        <v>178</v>
      </c>
      <c r="J8" s="189">
        <v>0.06</v>
      </c>
      <c r="L8" s="157"/>
      <c r="M8" s="157"/>
      <c r="N8" s="157"/>
      <c r="O8" s="157"/>
      <c r="P8" s="157"/>
    </row>
    <row r="9" spans="1:16" ht="17.25" customHeight="1">
      <c r="B9" s="186" t="s">
        <v>297</v>
      </c>
      <c r="C9" s="187">
        <v>1026</v>
      </c>
      <c r="D9" s="188" t="s">
        <v>134</v>
      </c>
      <c r="E9" s="188" t="s">
        <v>134</v>
      </c>
      <c r="F9" s="188" t="s">
        <v>134</v>
      </c>
      <c r="G9" s="188">
        <v>197</v>
      </c>
      <c r="H9" s="188">
        <v>3</v>
      </c>
      <c r="I9" s="190">
        <v>1226</v>
      </c>
      <c r="J9" s="189">
        <v>0.42</v>
      </c>
      <c r="L9" s="157"/>
      <c r="M9" s="157"/>
      <c r="N9" s="157"/>
      <c r="O9" s="157"/>
      <c r="P9" s="157"/>
    </row>
    <row r="10" spans="1:16" ht="17.25" customHeight="1">
      <c r="B10" s="270" t="s">
        <v>298</v>
      </c>
      <c r="C10" s="271">
        <v>146</v>
      </c>
      <c r="D10" s="272" t="s">
        <v>134</v>
      </c>
      <c r="E10" s="272" t="s">
        <v>134</v>
      </c>
      <c r="F10" s="272" t="s">
        <v>134</v>
      </c>
      <c r="G10" s="272">
        <v>13</v>
      </c>
      <c r="H10" s="272">
        <v>10</v>
      </c>
      <c r="I10" s="271">
        <v>169</v>
      </c>
      <c r="J10" s="189">
        <v>0.06</v>
      </c>
      <c r="L10" s="157"/>
      <c r="M10" s="157"/>
      <c r="N10" s="157"/>
      <c r="O10" s="157"/>
      <c r="P10" s="157"/>
    </row>
    <row r="11" spans="1:16" ht="17.25" customHeight="1">
      <c r="B11" s="267" t="s">
        <v>299</v>
      </c>
      <c r="C11" s="268">
        <v>800</v>
      </c>
      <c r="D11" s="269" t="s">
        <v>134</v>
      </c>
      <c r="E11" s="269" t="s">
        <v>134</v>
      </c>
      <c r="F11" s="269" t="s">
        <v>134</v>
      </c>
      <c r="G11" s="269">
        <v>48</v>
      </c>
      <c r="H11" s="269">
        <v>8</v>
      </c>
      <c r="I11" s="268">
        <v>856</v>
      </c>
      <c r="J11" s="189">
        <v>0.3</v>
      </c>
      <c r="L11" s="157"/>
      <c r="M11" s="157"/>
      <c r="N11" s="157"/>
      <c r="O11" s="157"/>
      <c r="P11" s="157"/>
    </row>
    <row r="12" spans="1:16" ht="17.25" customHeight="1">
      <c r="B12" s="186" t="s">
        <v>300</v>
      </c>
      <c r="C12" s="187">
        <v>356</v>
      </c>
      <c r="D12" s="188" t="s">
        <v>134</v>
      </c>
      <c r="E12" s="188" t="s">
        <v>134</v>
      </c>
      <c r="F12" s="188" t="s">
        <v>134</v>
      </c>
      <c r="G12" s="188">
        <v>74</v>
      </c>
      <c r="H12" s="188">
        <v>7</v>
      </c>
      <c r="I12" s="187">
        <v>437</v>
      </c>
      <c r="J12" s="189">
        <v>0.15</v>
      </c>
      <c r="L12" s="157"/>
      <c r="M12" s="157"/>
      <c r="N12" s="157"/>
      <c r="O12" s="157"/>
      <c r="P12" s="157"/>
    </row>
    <row r="13" spans="1:16" ht="17.25" customHeight="1">
      <c r="B13" s="186" t="s">
        <v>301</v>
      </c>
      <c r="C13" s="187" t="s">
        <v>134</v>
      </c>
      <c r="D13" s="188" t="s">
        <v>134</v>
      </c>
      <c r="E13" s="188" t="s">
        <v>134</v>
      </c>
      <c r="F13" s="188" t="s">
        <v>134</v>
      </c>
      <c r="G13" s="188">
        <v>23</v>
      </c>
      <c r="H13" s="188">
        <v>2</v>
      </c>
      <c r="I13" s="187">
        <v>25</v>
      </c>
      <c r="J13" s="189">
        <v>0.01</v>
      </c>
      <c r="L13" s="157"/>
      <c r="M13" s="157"/>
      <c r="N13" s="157"/>
      <c r="O13" s="157"/>
      <c r="P13" s="157"/>
    </row>
    <row r="14" spans="1:16" ht="17.25" customHeight="1">
      <c r="B14" s="186" t="s">
        <v>302</v>
      </c>
      <c r="C14" s="187" t="s">
        <v>134</v>
      </c>
      <c r="D14" s="188" t="s">
        <v>134</v>
      </c>
      <c r="E14" s="188" t="s">
        <v>134</v>
      </c>
      <c r="F14" s="188" t="s">
        <v>134</v>
      </c>
      <c r="G14" s="188" t="s">
        <v>134</v>
      </c>
      <c r="H14" s="188">
        <v>46</v>
      </c>
      <c r="I14" s="187" t="s">
        <v>134</v>
      </c>
      <c r="J14" s="191" t="s">
        <v>134</v>
      </c>
      <c r="L14" s="157"/>
      <c r="M14" s="157"/>
      <c r="N14" s="157"/>
      <c r="O14" s="157"/>
      <c r="P14" s="157"/>
    </row>
    <row r="15" spans="1:16" ht="17.25" customHeight="1">
      <c r="B15" s="192" t="s">
        <v>303</v>
      </c>
      <c r="C15" s="193">
        <v>2500</v>
      </c>
      <c r="D15" s="194" t="s">
        <v>304</v>
      </c>
      <c r="E15" s="194" t="s">
        <v>305</v>
      </c>
      <c r="F15" s="194" t="s">
        <v>306</v>
      </c>
      <c r="G15" s="194">
        <v>361</v>
      </c>
      <c r="H15" s="194">
        <v>30</v>
      </c>
      <c r="I15" s="190">
        <v>2891</v>
      </c>
      <c r="J15" s="189">
        <v>1</v>
      </c>
      <c r="L15" s="157"/>
      <c r="M15" s="157"/>
      <c r="N15" s="157"/>
      <c r="O15" s="157"/>
      <c r="P15" s="157"/>
    </row>
    <row r="16" spans="1:16" ht="29.25" customHeight="1">
      <c r="B16" s="192" t="s">
        <v>307</v>
      </c>
      <c r="C16" s="195">
        <v>0.86</v>
      </c>
      <c r="D16" s="195">
        <v>0</v>
      </c>
      <c r="E16" s="195">
        <v>0</v>
      </c>
      <c r="F16" s="195">
        <v>0</v>
      </c>
      <c r="G16" s="195">
        <v>0.12</v>
      </c>
      <c r="H16" s="195">
        <v>0.01</v>
      </c>
      <c r="I16" s="195">
        <v>1</v>
      </c>
      <c r="J16" s="196" t="s">
        <v>134</v>
      </c>
      <c r="L16" s="157"/>
      <c r="M16" s="157"/>
      <c r="N16" s="157"/>
      <c r="O16" s="157"/>
      <c r="P16" s="157"/>
    </row>
    <row r="17" spans="2:16" ht="29.25" customHeight="1">
      <c r="B17" s="4"/>
      <c r="C17" s="1"/>
      <c r="D17" s="1"/>
      <c r="E17" s="1"/>
      <c r="F17" s="1"/>
      <c r="G17" s="1"/>
      <c r="H17" s="1"/>
      <c r="L17" s="157"/>
      <c r="M17" s="157"/>
      <c r="N17" s="157"/>
      <c r="O17" s="157"/>
      <c r="P17" s="157"/>
    </row>
    <row r="18" spans="2:16">
      <c r="B18" s="4"/>
      <c r="C18" s="1"/>
      <c r="D18" s="1"/>
      <c r="E18" s="1"/>
      <c r="F18" s="1"/>
      <c r="G18" s="1"/>
      <c r="H18" s="1"/>
    </row>
    <row r="19" spans="2:16">
      <c r="B19" s="4"/>
      <c r="C19" s="1"/>
      <c r="D19" s="1"/>
      <c r="E19" s="1"/>
      <c r="F19" s="1"/>
      <c r="G19" s="1"/>
      <c r="H19" s="1"/>
    </row>
    <row r="20" spans="2:16" ht="15.75" customHeight="1"/>
    <row r="21" spans="2:16" ht="15.75" customHeight="1"/>
    <row r="22" spans="2:16" ht="15.75" customHeight="1"/>
    <row r="23" spans="2:16" ht="15.75" customHeight="1"/>
    <row r="24" spans="2:16" ht="15.75" customHeight="1"/>
    <row r="25" spans="2:16" ht="15.75" customHeight="1"/>
    <row r="26" spans="2:16" ht="15.75" customHeight="1"/>
    <row r="27" spans="2:16" ht="15.75" customHeight="1"/>
    <row r="28" spans="2:16" ht="15.75" customHeight="1"/>
    <row r="29" spans="2:16" ht="15.75" customHeight="1"/>
    <row r="30" spans="2:16" ht="15.75" customHeight="1"/>
    <row r="31" spans="2:16" ht="15.75" customHeight="1"/>
    <row r="32" spans="2:1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</sheetData>
  <mergeCells count="4">
    <mergeCell ref="L5:P5"/>
    <mergeCell ref="C2:I2"/>
    <mergeCell ref="C3:I3"/>
    <mergeCell ref="C4:I4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N7"/>
  <sheetViews>
    <sheetView showGridLines="0" topLeftCell="A3" workbookViewId="0">
      <selection activeCell="A8" sqref="A8:XFD67"/>
    </sheetView>
  </sheetViews>
  <sheetFormatPr baseColWidth="10" defaultColWidth="11.42578125" defaultRowHeight="12.75"/>
  <cols>
    <col min="1" max="1" width="11.42578125" style="1"/>
    <col min="2" max="2" width="35" style="1" customWidth="1"/>
    <col min="3" max="16384" width="11.42578125" style="1"/>
  </cols>
  <sheetData>
    <row r="1" spans="2:92">
      <c r="F1" s="257" t="s">
        <v>61</v>
      </c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2:92" ht="15">
      <c r="F2" s="257" t="s">
        <v>62</v>
      </c>
      <c r="G2" s="257"/>
      <c r="H2" s="257"/>
      <c r="I2" s="257"/>
      <c r="J2" s="257"/>
      <c r="K2" s="257"/>
      <c r="L2" s="257"/>
      <c r="M2" s="257"/>
      <c r="N2" s="257"/>
      <c r="O2" s="257"/>
      <c r="P2" s="257"/>
      <c r="Q2"/>
    </row>
    <row r="3" spans="2:92">
      <c r="F3" s="258" t="s">
        <v>308</v>
      </c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</row>
    <row r="7" spans="2:92" ht="120">
      <c r="B7" s="204" t="s">
        <v>309</v>
      </c>
      <c r="C7" s="205" t="s">
        <v>310</v>
      </c>
      <c r="D7" s="206" t="s">
        <v>311</v>
      </c>
      <c r="E7" s="205" t="s">
        <v>312</v>
      </c>
      <c r="F7" s="205" t="s">
        <v>313</v>
      </c>
      <c r="G7" s="205" t="s">
        <v>314</v>
      </c>
      <c r="H7" s="206" t="s">
        <v>315</v>
      </c>
      <c r="I7" s="206" t="s">
        <v>316</v>
      </c>
      <c r="J7" s="206" t="s">
        <v>317</v>
      </c>
      <c r="K7" s="206" t="s">
        <v>318</v>
      </c>
      <c r="L7" s="205" t="s">
        <v>319</v>
      </c>
      <c r="M7" s="205" t="s">
        <v>320</v>
      </c>
      <c r="N7" s="205" t="s">
        <v>321</v>
      </c>
      <c r="O7" s="206" t="s">
        <v>322</v>
      </c>
      <c r="P7" s="206" t="s">
        <v>323</v>
      </c>
      <c r="Q7" s="206" t="s">
        <v>324</v>
      </c>
      <c r="R7" s="206" t="s">
        <v>325</v>
      </c>
      <c r="S7" s="205" t="s">
        <v>326</v>
      </c>
      <c r="T7" s="205" t="s">
        <v>327</v>
      </c>
      <c r="U7" s="206" t="s">
        <v>328</v>
      </c>
      <c r="V7" s="205" t="s">
        <v>329</v>
      </c>
      <c r="W7" s="205" t="s">
        <v>330</v>
      </c>
      <c r="X7" s="206" t="s">
        <v>331</v>
      </c>
      <c r="Y7" s="205" t="s">
        <v>332</v>
      </c>
      <c r="Z7" s="205" t="s">
        <v>333</v>
      </c>
      <c r="AA7" s="206" t="s">
        <v>334</v>
      </c>
      <c r="AB7" s="206" t="s">
        <v>335</v>
      </c>
      <c r="AC7" s="206" t="s">
        <v>336</v>
      </c>
      <c r="AD7" s="205" t="s">
        <v>337</v>
      </c>
      <c r="AE7" s="206" t="s">
        <v>338</v>
      </c>
      <c r="AF7" s="206" t="s">
        <v>339</v>
      </c>
      <c r="AG7" s="205" t="s">
        <v>340</v>
      </c>
      <c r="AH7" s="206" t="s">
        <v>341</v>
      </c>
      <c r="AI7" s="206" t="s">
        <v>342</v>
      </c>
      <c r="AJ7" s="206" t="s">
        <v>343</v>
      </c>
      <c r="AK7" s="205" t="s">
        <v>344</v>
      </c>
      <c r="AL7" s="205" t="s">
        <v>345</v>
      </c>
      <c r="AM7" s="206" t="s">
        <v>346</v>
      </c>
      <c r="AN7" s="206" t="s">
        <v>347</v>
      </c>
      <c r="AO7" s="205" t="s">
        <v>348</v>
      </c>
      <c r="AP7" s="205" t="s">
        <v>230</v>
      </c>
      <c r="AQ7" s="205" t="s">
        <v>349</v>
      </c>
      <c r="AR7" s="205" t="s">
        <v>350</v>
      </c>
      <c r="AS7" s="206" t="s">
        <v>351</v>
      </c>
      <c r="AT7" s="205" t="s">
        <v>352</v>
      </c>
      <c r="AU7" s="206" t="s">
        <v>353</v>
      </c>
      <c r="AV7" s="205" t="s">
        <v>354</v>
      </c>
      <c r="AW7" s="205" t="s">
        <v>355</v>
      </c>
      <c r="AX7" s="205" t="s">
        <v>356</v>
      </c>
      <c r="AY7" s="205" t="s">
        <v>357</v>
      </c>
      <c r="AZ7" s="206" t="s">
        <v>358</v>
      </c>
      <c r="BA7" s="206" t="s">
        <v>359</v>
      </c>
      <c r="BB7" s="205" t="s">
        <v>360</v>
      </c>
      <c r="BC7" s="205" t="s">
        <v>361</v>
      </c>
      <c r="BD7" s="205" t="s">
        <v>198</v>
      </c>
      <c r="BE7" s="205" t="s">
        <v>199</v>
      </c>
      <c r="BF7" s="205" t="s">
        <v>362</v>
      </c>
      <c r="BG7" s="205" t="s">
        <v>363</v>
      </c>
      <c r="BH7" s="206" t="s">
        <v>364</v>
      </c>
      <c r="BI7" s="205" t="s">
        <v>365</v>
      </c>
      <c r="BJ7" s="205" t="s">
        <v>366</v>
      </c>
      <c r="BK7" s="206" t="s">
        <v>367</v>
      </c>
      <c r="BL7" s="206" t="s">
        <v>368</v>
      </c>
      <c r="BM7" s="206" t="s">
        <v>369</v>
      </c>
      <c r="BN7" s="206" t="s">
        <v>370</v>
      </c>
      <c r="BO7" s="205" t="s">
        <v>371</v>
      </c>
      <c r="BP7" s="206" t="s">
        <v>372</v>
      </c>
      <c r="BQ7" s="206" t="s">
        <v>373</v>
      </c>
      <c r="BR7" s="205" t="s">
        <v>374</v>
      </c>
      <c r="BS7" s="206" t="s">
        <v>375</v>
      </c>
      <c r="BT7" s="206" t="s">
        <v>376</v>
      </c>
      <c r="BU7" s="205" t="s">
        <v>377</v>
      </c>
      <c r="BV7" s="205" t="s">
        <v>378</v>
      </c>
      <c r="BW7" s="206" t="s">
        <v>379</v>
      </c>
      <c r="BX7" s="205" t="s">
        <v>380</v>
      </c>
      <c r="BY7" s="206" t="s">
        <v>381</v>
      </c>
      <c r="BZ7" s="205" t="s">
        <v>382</v>
      </c>
      <c r="CA7" s="206" t="s">
        <v>383</v>
      </c>
      <c r="CB7" s="206" t="s">
        <v>384</v>
      </c>
      <c r="CC7" s="205" t="s">
        <v>385</v>
      </c>
      <c r="CD7" s="205" t="s">
        <v>386</v>
      </c>
      <c r="CE7" s="205" t="s">
        <v>387</v>
      </c>
      <c r="CF7" s="205" t="s">
        <v>388</v>
      </c>
      <c r="CG7" s="206" t="s">
        <v>389</v>
      </c>
      <c r="CH7" s="205" t="s">
        <v>390</v>
      </c>
      <c r="CI7" s="205" t="s">
        <v>391</v>
      </c>
      <c r="CJ7" s="206" t="s">
        <v>279</v>
      </c>
      <c r="CK7" s="206" t="s">
        <v>392</v>
      </c>
      <c r="CL7" s="207"/>
      <c r="CM7" s="207"/>
      <c r="CN7" s="207"/>
    </row>
  </sheetData>
  <mergeCells count="3">
    <mergeCell ref="F1:Q1"/>
    <mergeCell ref="F2:P2"/>
    <mergeCell ref="F3:Q3"/>
  </mergeCells>
  <hyperlinks>
    <hyperlink ref="BG7" r:id="rId1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D87BC49A8D414BAC6142E4534BA87F" ma:contentTypeVersion="20" ma:contentTypeDescription="Crear nuevo documento." ma:contentTypeScope="" ma:versionID="c7103d42332befea46c634ebe26990d4">
  <xsd:schema xmlns:xsd="http://www.w3.org/2001/XMLSchema" xmlns:xs="http://www.w3.org/2001/XMLSchema" xmlns:p="http://schemas.microsoft.com/office/2006/metadata/properties" xmlns:ns2="10bd4b2b-7502-4871-ac31-8a669464ba77" xmlns:ns3="bba6e0d8-8986-46a8-840a-25cbd90f1e26" targetNamespace="http://schemas.microsoft.com/office/2006/metadata/properties" ma:root="true" ma:fieldsID="fb2b328da598ba9418d6886ca731b5bf" ns2:_="" ns3:_="">
    <xsd:import namespace="10bd4b2b-7502-4871-ac31-8a669464ba77"/>
    <xsd:import namespace="bba6e0d8-8986-46a8-840a-25cbd90f1e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Nivel" minOccurs="0"/>
                <xsd:element ref="ns2:Seleccionado" minOccurs="0"/>
                <xsd:element ref="ns2:Verificado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d4b2b-7502-4871-ac31-8a669464b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18e90610-0864-4e8d-b551-8166776cb7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Nivel" ma:index="18" nillable="true" ma:displayName="Nivel" ma:format="Dropdown" ma:internalName="Nivel">
      <xsd:simpleType>
        <xsd:restriction base="dms:Choice">
          <xsd:enumeration value="Técnico"/>
          <xsd:enumeration value="Tecnólogo"/>
          <xsd:enumeration value="Profesional"/>
          <xsd:enumeration value="Estudiante"/>
          <xsd:enumeration value="Especialización"/>
          <xsd:enumeration value="Maestría"/>
          <xsd:enumeration value="Doctorado"/>
          <xsd:enumeration value="Opción 8"/>
        </xsd:restriction>
      </xsd:simpleType>
    </xsd:element>
    <xsd:element name="Seleccionado" ma:index="19" nillable="true" ma:displayName="Selección" ma:format="Dropdown" ma:internalName="Seleccionado">
      <xsd:simpleType>
        <xsd:union memberTypes="dms:Text">
          <xsd:simpleType>
            <xsd:restriction base="dms:Choice">
              <xsd:enumeration value="NO"/>
              <xsd:enumeration value="SÍ"/>
              <xsd:enumeration value="Opcionado"/>
            </xsd:restriction>
          </xsd:simpleType>
        </xsd:union>
      </xsd:simpleType>
    </xsd:element>
    <xsd:element name="Verificado" ma:index="20" nillable="true" ma:displayName="Verificado" ma:default="0" ma:description="Si ya fue revisada por el Jefe Sección Biblioteca" ma:format="Dropdown" ma:internalName="Verificado">
      <xsd:simpleType>
        <xsd:restriction base="dms:Boolea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6e0d8-8986-46a8-840a-25cbd90f1e2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59d1b6b-0763-4334-a2db-bbf626dbe100}" ma:internalName="TaxCatchAll" ma:showField="CatchAllData" ma:web="bba6e0d8-8986-46a8-840a-25cbd90f1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ivel xmlns="10bd4b2b-7502-4871-ac31-8a669464ba77" xsi:nil="true"/>
    <lcf76f155ced4ddcb4097134ff3c332f xmlns="10bd4b2b-7502-4871-ac31-8a669464ba77">
      <Terms xmlns="http://schemas.microsoft.com/office/infopath/2007/PartnerControls"/>
    </lcf76f155ced4ddcb4097134ff3c332f>
    <TaxCatchAll xmlns="bba6e0d8-8986-46a8-840a-25cbd90f1e26" xsi:nil="true"/>
    <Seleccionado xmlns="10bd4b2b-7502-4871-ac31-8a669464ba77" xsi:nil="true"/>
    <Verificado xmlns="10bd4b2b-7502-4871-ac31-8a669464ba77">false</Verificado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8BD715-CE07-451A-8830-B80CF87FA6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bd4b2b-7502-4871-ac31-8a669464ba77"/>
    <ds:schemaRef ds:uri="bba6e0d8-8986-46a8-840a-25cbd90f1e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50A21D-8C08-4D14-B797-9EBB2353857C}">
  <ds:schemaRefs>
    <ds:schemaRef ds:uri="http://schemas.microsoft.com/office/2006/metadata/properties"/>
    <ds:schemaRef ds:uri="http://www.w3.org/XML/1998/namespace"/>
    <ds:schemaRef ds:uri="10bd4b2b-7502-4871-ac31-8a669464ba77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bba6e0d8-8986-46a8-840a-25cbd90f1e26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66B493A-913D-4D3A-8AB5-E4BB6873D4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Contenido</vt:lpstr>
      <vt:lpstr>A. Inversion </vt:lpstr>
      <vt:lpstr>B. Proyección_inversión</vt:lpstr>
      <vt:lpstr>C. Adquisición_biblioteca</vt:lpstr>
      <vt:lpstr>D. Adquisición_suscripción BD</vt:lpstr>
      <vt:lpstr>E. Adquisición_Impresa</vt:lpstr>
      <vt:lpstr>F.Adquisión_suscripción_Proyect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</dc:creator>
  <cp:keywords/>
  <dc:description/>
  <cp:lastModifiedBy>norclebe@hotmail.com</cp:lastModifiedBy>
  <cp:revision/>
  <dcterms:created xsi:type="dcterms:W3CDTF">2018-07-18T20:21:30Z</dcterms:created>
  <dcterms:modified xsi:type="dcterms:W3CDTF">2025-09-18T16:23:21Z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0x010100C0D87BC49A8D414BAC6142E4534BA87F</vt:lpwstr>
  </property>
  <property fmtid="{D5CDD505-2E9C-101B-9397-08002B2CF9AE}" pid="3" name="MediaServiceImageTags">
    <vt:lpwstr/>
  </property>
</Properties>
</file>