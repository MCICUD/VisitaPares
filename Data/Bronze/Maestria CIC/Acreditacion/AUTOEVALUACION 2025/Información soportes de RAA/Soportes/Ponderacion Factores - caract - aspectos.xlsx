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66925"/>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Docu Autoevaluacion RAA/"/>
    </mc:Choice>
  </mc:AlternateContent>
  <xr:revisionPtr revIDLastSave="0" documentId="8_{887299D9-4A6D-475D-950C-B8568CC9E472}" xr6:coauthVersionLast="47" xr6:coauthVersionMax="47" xr10:uidLastSave="{00000000-0000-0000-0000-000000000000}"/>
  <bookViews>
    <workbookView xWindow="0" yWindow="0" windowWidth="28800" windowHeight="12105" xr2:uid="{C50F8ED5-8CA8-4BAD-8A0F-B07882F478EB}"/>
  </bookViews>
  <sheets>
    <sheet name="Hoja5"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 i="1" l="1"/>
  <c r="I98" i="1"/>
  <c r="H98" i="1"/>
  <c r="H96" i="1"/>
  <c r="H94" i="1"/>
  <c r="H92" i="1"/>
  <c r="H87" i="1"/>
  <c r="I85" i="1"/>
  <c r="H85" i="1"/>
  <c r="H83" i="1"/>
  <c r="H80" i="1"/>
  <c r="I77" i="1"/>
  <c r="H77" i="1"/>
  <c r="H75" i="1"/>
  <c r="I73" i="1"/>
  <c r="H73" i="1"/>
  <c r="H71" i="1"/>
  <c r="I69" i="1"/>
  <c r="H69" i="1"/>
  <c r="H68" i="1"/>
  <c r="I65" i="1"/>
  <c r="H65" i="1"/>
  <c r="H63" i="1"/>
  <c r="H62" i="1"/>
  <c r="H59" i="1"/>
  <c r="I58" i="1"/>
  <c r="H58" i="1"/>
  <c r="H56" i="1"/>
  <c r="H54" i="1"/>
  <c r="H53" i="1"/>
  <c r="H51" i="1"/>
  <c r="H48" i="1"/>
  <c r="H45" i="1"/>
  <c r="H43" i="1"/>
  <c r="H41" i="1"/>
  <c r="I39" i="1"/>
  <c r="H39" i="1"/>
  <c r="H37" i="1"/>
  <c r="I35" i="1"/>
  <c r="H35" i="1"/>
  <c r="H33" i="1"/>
  <c r="H32" i="1"/>
  <c r="H30" i="1"/>
  <c r="H28" i="1"/>
  <c r="H25" i="1"/>
  <c r="H22" i="1"/>
  <c r="H19" i="1"/>
  <c r="I17" i="1"/>
  <c r="H17" i="1"/>
  <c r="H15" i="1"/>
  <c r="H13" i="1"/>
  <c r="H12" i="1"/>
  <c r="H11" i="1"/>
  <c r="I7" i="1"/>
  <c r="H7" i="1"/>
  <c r="H4" i="1"/>
  <c r="I3" i="1"/>
  <c r="H3" i="1"/>
  <c r="J98" i="1" l="1"/>
  <c r="J85" i="1"/>
  <c r="J77" i="1"/>
  <c r="J73" i="1"/>
  <c r="J69" i="1"/>
  <c r="J65" i="1"/>
  <c r="J58" i="1"/>
  <c r="J39" i="1"/>
  <c r="J35" i="1"/>
  <c r="J17" i="1"/>
  <c r="J7" i="1"/>
  <c r="J3" i="1"/>
</calcChain>
</file>

<file path=xl/sharedStrings.xml><?xml version="1.0" encoding="utf-8"?>
<sst xmlns="http://schemas.openxmlformats.org/spreadsheetml/2006/main" count="366" uniqueCount="243">
  <si>
    <t>°</t>
  </si>
  <si>
    <t>FACTOR</t>
  </si>
  <si>
    <t>POONDERACIÓN</t>
  </si>
  <si>
    <t>CARCATERISTICA</t>
  </si>
  <si>
    <t>ASPECTO</t>
  </si>
  <si>
    <t>Grado de cumplimiento   (1-5)</t>
  </si>
  <si>
    <t>PROMEDIO CALIFICACIÓN</t>
  </si>
  <si>
    <t>FACTOR 1. PROYECTO EDUCATIVO DEL PROGRAMA E IDENTIDAD INSTITUCIONAL</t>
  </si>
  <si>
    <t>Proyecto educativo del programa</t>
  </si>
  <si>
    <t>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t>
  </si>
  <si>
    <t>Falta aprobación para socializar</t>
  </si>
  <si>
    <t>Gradación no numérica</t>
  </si>
  <si>
    <t>Gradación numérica</t>
  </si>
  <si>
    <t>Grado de cumplimiento</t>
  </si>
  <si>
    <t>Relevancia académica y pertinencia social del programa académico.</t>
  </si>
  <si>
    <t>Análisis sobre las tendencias, necesidades y líneas de desarrollo de la disciplina o profesión, en el contexto regional, nacional e internacional.</t>
  </si>
  <si>
    <t>PEP</t>
  </si>
  <si>
    <t xml:space="preserve">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 </t>
  </si>
  <si>
    <t>No se cumple</t>
  </si>
  <si>
    <t>Evidencia de las transformaciones sociales pertinentes para el contexto y el territorio en el que se ofrece el programa académico, y del entorno tanto nacional como internacional.</t>
  </si>
  <si>
    <t>PEP/convenio doble titulación</t>
  </si>
  <si>
    <t>2.5</t>
  </si>
  <si>
    <t>Se cumple insatisfactoriamente</t>
  </si>
  <si>
    <t>FACTOR 2. ESTUDIANTES</t>
  </si>
  <si>
    <t>Participación en actividades de formación integral</t>
  </si>
  <si>
    <t>Apreciación de los estudiantes en relación con su participación en las actividades de investigación, desarrollo tecnológico, creación artística, culturales, deportivas y de extensión, que contribuyen a su formación integral, junto con las acciones emprendidas como resultado de dichas apreciaciones.</t>
  </si>
  <si>
    <t>Encuesta</t>
  </si>
  <si>
    <t>Docentes 12</t>
  </si>
  <si>
    <t>Egresados 1</t>
  </si>
  <si>
    <t>Egresados 2</t>
  </si>
  <si>
    <t>Estudiantes 3</t>
  </si>
  <si>
    <t>Estudiantes 8</t>
  </si>
  <si>
    <t>Estudiantes 9</t>
  </si>
  <si>
    <t>3.5</t>
  </si>
  <si>
    <t>Se cumple aceptablemente</t>
  </si>
  <si>
    <t>Resultados del análisis de la participación y principales logros de los estudiantes en actividades de investigación, desarrollo tecnológico, innovación, creación artística, culturales y deportivas.</t>
  </si>
  <si>
    <t>Se cumple en alto grado</t>
  </si>
  <si>
    <t>Resultados del análisis de la participación y principales logros de los estudiantes en proyectos de desarrollo empresarial, relacionamiento nacional e internacional.</t>
  </si>
  <si>
    <t>4.5</t>
  </si>
  <si>
    <t>Se cumple plenamente</t>
  </si>
  <si>
    <t>Resultados del análisis de la participación y principales logros de los estudiantes en otras acciones de formación complementaria, que promuevan la comprensión de la realidad social, la empatía, la ética, habilidades blandas, así como el relacionamiento con otras culturas y lenguas, de acuerdo con el nivel de formación y la modalidad del programa.</t>
  </si>
  <si>
    <t>Orientación y seguimiento a estudiantes</t>
  </si>
  <si>
    <t>Evidencia de los efectos en la formación de los estudiantes, a partir de los procesos de orientación y seguimiento de los estudiantes, teniendo como referencia sus características de ingreso.</t>
  </si>
  <si>
    <t>Listas se asistencia a reuniones e inducciones, investigación</t>
  </si>
  <si>
    <t>Capacidad de trabajo autónomo</t>
  </si>
  <si>
    <t>Evidencia de los resultados de las estrategias de seguimiento y evaluación de los resultados de aprendizaje en el desarrollo de capacidades para el del trabajo autónomo del estudiante.</t>
  </si>
  <si>
    <t>Reglamento estudiantil y política académica</t>
  </si>
  <si>
    <t>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</si>
  <si>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Docentes 1</t>
  </si>
  <si>
    <t>Docentes 9</t>
  </si>
  <si>
    <t>Estudiantes 4</t>
  </si>
  <si>
    <t>Evidencia de los mecanismos para la aplicación, actualización y divulgación del reglamento estudiantil.</t>
  </si>
  <si>
    <t>Estímulos y apoyos para estudiantes</t>
  </si>
  <si>
    <t>Evidencia de los beneficios generados por el otorgamiento de estímulos académicos y apoyos socioeconómicos a los estudiantes.</t>
  </si>
  <si>
    <t>Docentes 2</t>
  </si>
  <si>
    <t>Apreciación de los estudiantes del programa frente a la aplicación de los estímulos académicos y apoyos socioeconómicos, y el cumplimiento institucional de estas medidas, junto con las acciones emprendidas como resultado de dichas apreciaciones.</t>
  </si>
  <si>
    <t>Estudiantes 5</t>
  </si>
  <si>
    <t>FACTOR 3. PROFESORES</t>
  </si>
  <si>
    <t>Selección, vinculación y permanencia</t>
  </si>
  <si>
    <t>Evidencia de la aplicación de los procesos de selección, vinculación y permanencia de los profesores, en coherencia con el nivel de formación, modalidad del programa académico y lugar de desarrollo.</t>
  </si>
  <si>
    <t>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</si>
  <si>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Estatuto profesoral</t>
  </si>
  <si>
    <t>Evidencia que demuestren los resultados de la aplicación del estatuto profesoral, o el que haga sus veces, sobre la trayectoria profesoral, la inclusión, el reconocimiento de méritos y el ascenso en el escalafón, de acuerdo con el nivel de formación y la modalidad del programa.</t>
  </si>
  <si>
    <t>Docentes 4</t>
  </si>
  <si>
    <t>Docentes 5</t>
  </si>
  <si>
    <t>Resultados en el mejoramiento de la calidad del programa, a partir de la aplicación de un estatuto que promueve la trayectoria profesoral, la inclusión, el reconocimiento de los méritos y el ascenso en el escalafón.</t>
  </si>
  <si>
    <t>Docentes 3</t>
  </si>
  <si>
    <t>Apreciación de los profesores sobre la aplicación y pertinencia del estatuto profesoral y de las políticas que establecen distinciones, estímulos que promueven la trayectoria profesoral, junto con las acciones emprendidas como resultado de dichas apreciaciones.</t>
  </si>
  <si>
    <t>Docentes 6</t>
  </si>
  <si>
    <t>Número, dedicación, nivel de formación y experiencia</t>
  </si>
  <si>
    <t>Evidencia de la coherencia entre el número, dedicación, nivel de formación y experiencia de los profesores de tiempo completo, con el número de estudiantes, nivel de formación y modalidad del programa académico.</t>
  </si>
  <si>
    <t>Evidencia de la existencia de un núcleo básico de profesores de tiempo completo, preferiblemente con contratación a término indefinido, y su relación con la formación de la comunidad académica del programa y el cumplimiento con alta calidad de las funciones esenciales del programa.</t>
  </si>
  <si>
    <t>Evidencia de la vinculación de una planta profesoral pertinente con el área disciplinar del programa con título de maestría y/o doctorado con experiencia o formación pedagógica, investigativa y profesional certificada y experiencia en investigación, que garantice el logro de los resultados de aprendizaje de los estudiantes y el cumplimiento de las funciones asignadas en condiciones de calidad, atendiendo a estándares internacionales, en coherencia con el nivel de formación y modalidad del programa.</t>
  </si>
  <si>
    <t>Desarrollo profesoral</t>
  </si>
  <si>
    <t>Análisis de los resultados de la aplicación de políticas y estrategias institucionales en materia de desarrollo integral del profesorado, que incluya la capacitación y la actualización en los aspectos académicos, profesionales y pedagógicos relacionados con la naturaleza, nivel de formación y modalidad del programa.</t>
  </si>
  <si>
    <t>Evidencia de cómo el desarrollo profesoral atiende a la diversidad de los estudiantes, a las modalidades de la docencia y a los requerimientos de internacionalización y de inter y multiculturalidad de profesores y estudiantes.</t>
  </si>
  <si>
    <t>Movilidad docente entrante y de estudiantes</t>
  </si>
  <si>
    <t>Apreciación de directivos y profesores del programa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</si>
  <si>
    <t>Estímulos a la trayectoria profesoral</t>
  </si>
  <si>
    <t>Evidencia de los efectos generados en el desempeño de las labores de docencia, investigación y extensión con el otorgamiento de estímulos a los profesores.</t>
  </si>
  <si>
    <t>Reglamento, excelencia académica</t>
  </si>
  <si>
    <t>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</si>
  <si>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t>CvLac</t>
  </si>
  <si>
    <t>Docentes 10</t>
  </si>
  <si>
    <t>Producción, pertinencia, utilización e impacto de material docente</t>
  </si>
  <si>
    <t>Evidencia de la efectividad de los criterios de evaluación del material producido por los profesores en la calidad de los aprendizajes de los estudiantes, de acuerdo con el nivel de formación y modalidad del programa académico.</t>
  </si>
  <si>
    <t>Hay material, pero no evaluacion del material</t>
  </si>
  <si>
    <t>Presentación de los resultados de evaluación de los materiales académicos producidos por los profesores para el desarrollo de las diversas actividades académicas, que soportan los ambientes de aprendizaje, de acuerdo con el nivel de formación y modalidad.</t>
  </si>
  <si>
    <t>Remuneración por méritos</t>
  </si>
  <si>
    <t>La remuneración que reciben los profesores está de acuerdo con sus méritos académicos y profesionales, el aporte en el desarrollo de los componentes formativos, pedagógicos y de evaluación, la interacción y relevancia social, el nivel de formación y la modalidad del programa académico.</t>
  </si>
  <si>
    <t>Evaluación de profesores</t>
  </si>
  <si>
    <t>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</si>
  <si>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Demostración del mejoramiento continuo del programa, a partir de las evaluaciones permanentes realizadas a los profesores, en coherencia con el nivel de formación y modalidad.</t>
  </si>
  <si>
    <t>FACTOR 4. EGRESADOS</t>
  </si>
  <si>
    <t>Seguimiento de los egresados</t>
  </si>
  <si>
    <t>Resultado de los estudios sistémicos aplicados sobre el desarrollo profesional y laboral de los egresados, el alcance de las competencias adquiridas, la correspondencia entre el desempeño de los egresados y el perfil de egreso o resultados de aprendizaje del programa.</t>
  </si>
  <si>
    <t>Apreciación de los egresados en relación con el perfil de formación, las competencias adquiridas y las posibilidades que les ha ofrecido su formación para su desarrollo profesional y laboral, junto con las acciones emprendidas como resultado de dichas apreciaciones.</t>
  </si>
  <si>
    <t>Docentes 8</t>
  </si>
  <si>
    <t>Impacto de los egresados en el medio social y académico</t>
  </si>
  <si>
    <t>Evidencia del impacto de los egresados en el medio social y académico, científico y cultural, como un mecanismo para establecer los aportes del programa a la solución de problemas de la sociedad y/o la creación e innovación de conocimiento.</t>
  </si>
  <si>
    <t>Apreciación de empleadores sobre el desempeño destacado de los egresados y su aporte en la solución de los problemas académicos, ambientales, tecnológicos, sociales y culturales, junto con las acciones emprendidas como resultado de dichas apreciaciones.</t>
  </si>
  <si>
    <t>FACTOR 5. ASPECTOS ACADÉMICOS Y RESULTADOS DE APRENDIZAJE</t>
  </si>
  <si>
    <t>Integralidad de los aspectos curriculares</t>
  </si>
  <si>
    <t>Resultados de la aplicación de ejercicios continuos de evaluación de la integralidad del currículo que conduzcan a la realización de ajustes y mejoras que impactan a la formación en valores, actitudes, aptitudes, conocimientos, métodos, capacidades y habilidades, de acuerdo con el estado del arte y con el ejercicio de la disciplina, profesión, ocupación u oficio, y que busca la formación integral del estudiante en coherencia con la misión institucional y los objetivos propios del programa académico.</t>
  </si>
  <si>
    <t>Actualizacion de syllabus</t>
  </si>
  <si>
    <t>Evaluación de las estrategias y acciones del programa para el mejoramiento de las competencias definidas por el programa.</t>
  </si>
  <si>
    <t>Consejo curricular, reuniones de profesores</t>
  </si>
  <si>
    <t>Flexibilidad de los aspectos curriculares</t>
  </si>
  <si>
    <t>Evidencia de procesos de flexibilización como, doble titulación; articulación pregrado-posgrado; reconocimiento de créditos, homologación y oferta de cursos electivos en distintas modalidades y lugares de desarrollo entre otros, que permiten al estudiante interactuar con otros programas a nivel institucional, nacional e internacional.</t>
  </si>
  <si>
    <t>Reglamento postgrados, doble titulación</t>
  </si>
  <si>
    <t>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</si>
  <si>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t>movilidad curricular, pasantias</t>
  </si>
  <si>
    <t>Docentes 7</t>
  </si>
  <si>
    <t>Estudiantes 6</t>
  </si>
  <si>
    <t>Estudiantes 7</t>
  </si>
  <si>
    <t>Interdisciplinariedad</t>
  </si>
  <si>
    <t>Evidencia de la implementación de las estrategias que promueven y estimulan la interdisciplinariedad curricular del programa, y el resultado de su aplicación en las diferentes rutas formativas seguidas por los estudiantes.</t>
  </si>
  <si>
    <t>movilidad curricular</t>
  </si>
  <si>
    <t>Apreciación de los estudiantes y profesores frente a los mecanismos y criterios dispuestos por la institución para la interdisciplinariedad curricular del programa, los resultados de su análisis y la evidencia de los logros en el mejoramiento en la calidad del programa.</t>
  </si>
  <si>
    <t>Estrategias pedagógicas</t>
  </si>
  <si>
    <t>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</si>
  <si>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Transición a RA</t>
  </si>
  <si>
    <t>Evidencia de la evaluación y el mejoramiento de las estrategias y prácticas pedagógicas, a partir de los aportes de la investigación pedagógica y de los procesos de actualización de los profesores.</t>
  </si>
  <si>
    <t>Capacitaciones / encuestas</t>
  </si>
  <si>
    <t>En el caso de programas académicos del área de la salud, presentar análisis de la incidencia de las actividades desarrolladas en el marco de los convenios de docencia servicio con los distintos escenarios de práctica (con énfasis en el escenario principal, cuando aplique) en los procesos de formación. Los análisis se deben realizar entre las partes que participan en el convenio.</t>
  </si>
  <si>
    <t>-</t>
  </si>
  <si>
    <t>No aplica</t>
  </si>
  <si>
    <t>Sistema de evaluación de estudiantes</t>
  </si>
  <si>
    <t>Apreciación de profesores y estudiantes sobre los sistemas de evaluación de los resultados de aprendizaje que desarrolla o implementa el programa, junto con las acciones emprendidas como resultado de dichas apreciaciones.</t>
  </si>
  <si>
    <t>Evidencia de los resultados obtenidos a partir de la implementación de los sistemas de evaluación de estudiantes basado en políticas y normas claras, universales y transparentes.</t>
  </si>
  <si>
    <t>Evidencia de sistemas de evaluación que integran la innovación para generar transformaciones profundas en el aprendizaje, y que acogen dinámicas en referencia a cambios en el conocimiento.</t>
  </si>
  <si>
    <t>alcance de la evaluación a estudiantes</t>
  </si>
  <si>
    <t>Resultados de aprendizaje</t>
  </si>
  <si>
    <t>Evidencia de la aplicación de una política institucional que establezca parámetros para la formulación, evaluación y mejora continua de los resultados de aprendizaje establecidos en el programa, en alineación con el perfil de formación y acorde con el nivel y la modalidad de formación.</t>
  </si>
  <si>
    <t>Evidencia del proceso de mejoramiento continuo relacionado con la evaluación entre los resultados de aprendizaje esperados y los alcanzados por los estudiantes, el sistema de evaluación de estudiantes y las acciones de ajuste de los aspectos curriculares y las metodologías de enseñanza - aprendizaje derivadas de dicha evaluación.</t>
  </si>
  <si>
    <t>Competencias</t>
  </si>
  <si>
    <t>Evidencia del resultado de la aplicación de estrategias para el desarrollo de las competencias previstas acordes con el perfil de formación del programa.</t>
  </si>
  <si>
    <t>Syllabus / estructura de la maestría</t>
  </si>
  <si>
    <t>Evaluación y autorregulación del programa académico</t>
  </si>
  <si>
    <t>Evidencia del cumplimiento de planes de mejoramiento y de innovación producto del proceso de autoevaluación del programa.</t>
  </si>
  <si>
    <t>Apreciación de los profesores y estudiantes sobre la calidad y pertinencia del proceso de evaluación y autorregulación del programa, junto con las acciones emprendidas como resultado de dichas apreciaciones.</t>
  </si>
  <si>
    <t>Vinculación e interacción social</t>
  </si>
  <si>
    <t>Evidencia de la participación de los profesores y estudiantes en la proyección social del programa.</t>
  </si>
  <si>
    <t>Investigación, estensión, pasantías, trabajos de grado</t>
  </si>
  <si>
    <t>Evidencia del efecto de las estrategias y acciones de proyección social como un mecanismo para establecer los aportes del programa a la solución de problemas de la sociedad y a las mejoras de los aspectos curriculares.</t>
  </si>
  <si>
    <t>Investigación, estensión, pasantías, trabajos de grado, publicaciones</t>
  </si>
  <si>
    <t>FACTOR 6. PERMANENCIA Y GRADUACIÓN</t>
  </si>
  <si>
    <t>Políticas, estrategias y estructura para la permanencia y la graduación</t>
  </si>
  <si>
    <t>Análisis del efecto de las políticas, estrategias y acciones orientadas al mejoramiento de la permanencia y la graduación en el programa, que incluyan el comportamiento en los últimos seis años o en la vigencia de la acreditación si se trata de una renovación, de la tasa de deserción interanual, tasa de deserción por cohorte y la tasa de graduación acumulada del programa.</t>
  </si>
  <si>
    <t>ruta investigación</t>
  </si>
  <si>
    <t>Caracterización de estudiantes y sistema de alertas tempranas</t>
  </si>
  <si>
    <t>Evidencia de la existencia e implementación de un sistema de alertas tempranas que permita reconocer las particularidades de los estudiantes según su contexto sociocultural y la puesta en marcha de acciones que faciliten su proceso formativo, de acuerdo, al menos, con las normas nacionales vigentes en materia de inclusión y diversidad.</t>
  </si>
  <si>
    <t>informes académicos semestrales</t>
  </si>
  <si>
    <t>Apreciación de estudiantes y profesores sobre la contribución de las estrategias del sistema de alertas tempranas en su permanencia y graduación, junto con las acciones emprendidas como resultado de dichas apreciaciones.</t>
  </si>
  <si>
    <t>Presentación del análisis de los resultados derivados del sistema de alertas tempranas y su impacto en el currículo, para mejorar el desempeño académico de los estudiantes, su permanencia y graduación.</t>
  </si>
  <si>
    <t>Cuadro de tasa de graduacióin</t>
  </si>
  <si>
    <t xml:space="preserve"> Ajustes a los aspectos curriculares</t>
  </si>
  <si>
    <t>Evidencia de la evaluación y el mejoramiento de los aspectos curriculares derivados de los análisis del desempeño académico de los estudiantes, la permanencia y la graduación.</t>
  </si>
  <si>
    <t>Inclusión de énfasis y nuevo plan de estudios</t>
  </si>
  <si>
    <t>Mecanismos de selección</t>
  </si>
  <si>
    <t>Evidencia y análisis de la evolución de la matrícula total de estudiantes del programa y de la relación entre aspirantes inscritos, admitidos y matriculados en cada periodo, a fin de establecer la tasa de selectividad y/o absorción del programa.</t>
  </si>
  <si>
    <t>Cuadro maestro</t>
  </si>
  <si>
    <t>Análisis de la correlación entre los mecanismos de selección, de desempeño académico, permanencia y graduación que resulte en ajustes a los procesos de selección del programa.</t>
  </si>
  <si>
    <t>proceso de selección</t>
  </si>
  <si>
    <t xml:space="preserve">FACTOR 7. INTERACCIÓN CON EL ENTORNO NACIONAL E INTERNACIONAL </t>
  </si>
  <si>
    <t>Inserción del programa en contextos académicos nacionales e internacionales</t>
  </si>
  <si>
    <t>Evidencia del efecto de la aplicación de políticas y estrategias de cooperación con comunidades, nacionales e internacionales, en el desarrollo de labores formativas, académicas, docentes, científicas, culturales, deportivas y de extensión, así como en aspectos curriculares y en la revisión de tendencias y referentes nacionales e internacionales que contribuyan al mejoramiento continuo del programa.</t>
  </si>
  <si>
    <t>Urelinter</t>
  </si>
  <si>
    <t>Egresados 3</t>
  </si>
  <si>
    <t>Relaciones externas de profesores y estudiantes</t>
  </si>
  <si>
    <t>Evidencia y análisis de los resultados de la cooperación académica y científica del programa, mediante convenios, proyectos conjuntos, intercambios de profesores, estudiantes y la participación en redes científicas, culturales y de extensión.</t>
  </si>
  <si>
    <t>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</si>
  <si>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Habilidades comunicativas en una segunda lengua</t>
  </si>
  <si>
    <t>Evidencia de la incidencia de las estrategias empleadas para el desarrollo de las competencias comunicativas en una segunda lengua y las interacciones de profesores y estudiantes con otras comunidades no hispanohablantes de acuerdo con el nivel de formación y modalidad del programa.</t>
  </si>
  <si>
    <t>ILUD, publicaciones</t>
  </si>
  <si>
    <t>FACTOR 8. APORTES DE LA INVESTIGACIÓN, LA INNOVACIÓN, EL DESARROLLO TECNOLÓGICO Y LA CREACIÓN, ASOCIADOS AL PROGRAMA ACADÉMICO</t>
  </si>
  <si>
    <t>Formación para la investigación, desarrollo tecnológico, la innovación y la creación</t>
  </si>
  <si>
    <t>Evidencia de las estrategias implementadas para el desarrollo de las competencias investigativas, de innovación o creación artística y cultural de los estudiantes, en coherencia con la naturaleza, nivel de formación y la modalidad de oferta del programa.</t>
  </si>
  <si>
    <t>Seminario de investigación, tutorías, asignaturas de tesis</t>
  </si>
  <si>
    <t>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</si>
  <si>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Compromiso con la investigación, desarrollo tecnológico, la innovación y la creación</t>
  </si>
  <si>
    <t>Evidencia de la existencia de un reglamento de propiedad intelectual, de grupos de investigación categorizados y de profesores investigadores reconocidos en las convocatorias de medición de Minciencias, acorde con el Proyecto Educativo del Programa, el nivel de formación y la modalidad del programa.</t>
  </si>
  <si>
    <t>OTRI</t>
  </si>
  <si>
    <t>Evidencia de resultados de investigación, desarrollo tecnológico, innovación o creación de los profesores del programa, que contribuyan al fortalecimiento de los aspectos curriculares, la formación de los estudiantes y a la generación de nuevo conocimiento o a la solución de problemas de la sociedad, en coherencia con el Proyecto Educativo del Programa, el nivel de formación y la modalidad del programa.</t>
  </si>
  <si>
    <t>Grupos investigación</t>
  </si>
  <si>
    <t>FACTOR 9. BIENESTAR DE LA COMUNIDAD ACADÉMICA DEL PROGRAMA</t>
  </si>
  <si>
    <t xml:space="preserve"> Programas y servicios</t>
  </si>
  <si>
    <t>Análisis sistemáticos de la participación de estudiantes y profesores en las actividades de bienestar en cada uno de los escenarios de práctica.</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</si>
  <si>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</si>
  <si>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t>Participación y seguimiento</t>
  </si>
  <si>
    <t>Análisis sistemáticos de la participación de la comunidad del programa en los planes y las actividades de bienestar, de acuerdo con las particularidades de la población estudiantil, académica y administrativa.</t>
  </si>
  <si>
    <t>Evaluación de la calidad y pertinencia de la infraestructura, espacios y servicios de bienestar por parte de la comunidad del programa, junto con las acciones emprendidas como resultado de dicha evaluación.</t>
  </si>
  <si>
    <t>FACTOR 10. MEDIOS EDUCATIVOS Y AMBIENTES DE APRENDIZAJE</t>
  </si>
  <si>
    <t>Estrategias y recursos de apoyo a profesores</t>
  </si>
  <si>
    <t>Demostración de los resultados y la incidencia de la implementación de las estrategias y recursos de apoyo (pedagógico-didáctico) en los contextos de actuación de los profesores para el mejoramiento de sus prácticas de enseñanza-aprendizaje teniendo en cuenta la diversidad y la inclusión.</t>
  </si>
  <si>
    <t>Moodle, Classroom, ambientes virtuales</t>
  </si>
  <si>
    <t>Apreciación de los profesores y los estudiantes en relación con las estrategias pedagógicas, tecnológicas y de acompañamiento dispuestas por el programa para el desarrollo de las habilidades comunicativas y de interacción de los profesores con los estudiantes, junto con las acciones emprendidas como resultado de dichas apreciaciones.</t>
  </si>
  <si>
    <t>PlanesTIC</t>
  </si>
  <si>
    <t>Docentes 11</t>
  </si>
  <si>
    <t>En el caso de programas académicos del área de la salud, análisis de las acciones que realizan conjuntamente el programa con los escenarios de práctica, en sus procesos de certificación, acreditación, reconocimiento como hospital universitario y acciones de mejora.</t>
  </si>
  <si>
    <t>Estrategias y recursos de apoyo a estudiantes</t>
  </si>
  <si>
    <t>Evidencia de la disponibilidad y capacidad de talleres, laboratorios, equipos, medios audiovisuales, sitios de práctica, estaciones y granjas experimentales, escenarios de simulación virtual, entre otros, para el adecuado desarrollo de la actividad docente, investigativa y de extensión, según requerimientos del programa.</t>
  </si>
  <si>
    <t>Laboratorios</t>
  </si>
  <si>
    <t>Apreciación de los estudiantes sobre la utilidad y pertinencia de las estrategias y recursos de apoyo brindados por la institución para el desarrollo de su proceso formativo en diferentes contextos, junto con las acciones emprendidas como resultado de dichas apreciaciones.</t>
  </si>
  <si>
    <t>En el caso de los programas académicos del área de la salud, evidencia de la disponibilidad de laboratorios especializados y/o de simulación en los distintos lugares de desarrollo y los escenarios de práctica, y análisis del nivel de uso por parte de profesores y estudiantes.</t>
  </si>
  <si>
    <t>Recursos bibliográficos y de información</t>
  </si>
  <si>
    <t>Análisis de la correspondencia entre la inversión en recursos bibliográficos y de información, su utilización por parte de la comunidad del programa, demostrando la suficiencia y pertinencia para el desarrollo de actividades de docencia, investigación y extensión, de acuerdo con el nivel de formación y modalidad del programa.</t>
  </si>
  <si>
    <t>bases de datos</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</si>
  <si>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</si>
  <si>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t>FACTOR 11. ORGANIZACIÓN, ADMINISTRACIÓN Y FINANCIACIÓN DEL PROGRAMA ACADÉMICO</t>
  </si>
  <si>
    <t xml:space="preserve"> Organización y administración</t>
  </si>
  <si>
    <t>Evidencia de la participación de representantes de la comunidad académica, a través de estructuras organizacionales definidas por la institución, y de su contribución, en el desarrollo y mejoramiento del programa.</t>
  </si>
  <si>
    <t>Estatuto Academico</t>
  </si>
  <si>
    <t>Apreciación de estudiantes, profesores y egresados sobre su participación en cuerpos colegiados, y en decisiones orientadas al mejoramiento del programa, junto con las acciones emprendidas como resultado de dichas apreciaciones.</t>
  </si>
  <si>
    <t>Dirección y gestión</t>
  </si>
  <si>
    <t>Evidencia de los mecanismos existentes para la dirección y gestión del programa que contribuyen al mejoramiento de las dinámicas administrativas y académicas y al relacionamiento con los grupos de interés.</t>
  </si>
  <si>
    <t>Apreciación de profesores y estudiantes sobre la eficiencia, eficacia y orientación de los procesos administrativos hacia el desarrollo de las labores formativas, académicas, docentes, científicas, culturales y de extensión, junto con las acciones emprendidas como resultado de dichas apreciaciones.</t>
  </si>
  <si>
    <t>Encuestas</t>
  </si>
  <si>
    <t>Sistemas de comunicación e información</t>
  </si>
  <si>
    <t>Presentación de estudios de satisfacción de profesores y estudiantes del programa acerca de la suficiencia y calidad de los recursos y sistemas de comunicación e información.</t>
  </si>
  <si>
    <t>Presentación de estadísticas y análisis del uso de los sistemas de comunicación e información, y de la implementación de estrategias que garanticen la conectividad a los miembros de la comunidad académica del programa.</t>
  </si>
  <si>
    <t>Sistemas información</t>
  </si>
  <si>
    <t>Evidencia de la aplicación de mecanismos de gestión documental, organización, actualización y seguridad de los registros y archivos académicos de estudiantes, profesores, personal directivo y administrativo.</t>
  </si>
  <si>
    <t>Estudiantes y capacidad institucional</t>
  </si>
  <si>
    <t>Presentación de estadísticas y análisis de las capacidades institucionales en materia de recursos humanos (planta docente y personal administrativo), técnicos, tecnológicos y financieros, que favorecen la permanencia, el desarrollo académico y la graduación de los estudiantes.</t>
  </si>
  <si>
    <t>cumplimiento del Proyecto Educativo del Programa, junto con las acciones emprendidas como resultado de dichas apreciaciones.</t>
  </si>
  <si>
    <t>pep y registro calificado</t>
  </si>
  <si>
    <t>Financiación del programa académico</t>
  </si>
  <si>
    <t>Demostración de la consistencia entre la asignación y distribución presupuestal del programa, y el desarrollo de las actividades de docencia, investigación, creación artística y cultural, deportiva, proyección social, bienestar institucional e internacionalización, y la implementación de los planes de mejoramiento.</t>
  </si>
  <si>
    <t>Alison</t>
  </si>
  <si>
    <t>Presentación de la proyección y la ejecución del presupuesto de inversión y de funcionamiento del programa y los mecanismos de seguimiento y control.</t>
  </si>
  <si>
    <t>Decanatura</t>
  </si>
  <si>
    <t>Aseguramiento de la alta calidad y mejora continua</t>
  </si>
  <si>
    <t>Evidencia de la consolidación de un Sistema Interno de Aseguramiento de la Calidad que permita verificar, mediante unos procesos periódicos y participativos de autoevaluación, la alta calidad en cada uno de los factores y características del modelo del Consejo Nacional de Acreditación, en el programa.</t>
  </si>
  <si>
    <t>Autoevación y estructura interna</t>
  </si>
  <si>
    <t>En el caso de los programas académicos del área de la salud, evidencia de los procesos de autoevaluación sobre el funcionamiento del convenio docencia servicio en cada uno de los escenarios de práctica y su incidencia en los procesos de mejoramiento.</t>
  </si>
  <si>
    <t>FACTOR 12. RECURSOS FÍSICOS Y TECNOLÓGICOS</t>
  </si>
  <si>
    <t>Recursos de infraestructura física y tecnológica</t>
  </si>
  <si>
    <t>Demostración de la existencia de aulas, laboratorios, talleres, centros de simulación, plataformas tecnológicas, biblioteca y salas de estudio, para el cumplimiento de las labores formativas, académicas, docentes, científicas, culturales y de extensión, en coherencia con el nivel de formación y la modalidad de oferta del programa.</t>
  </si>
  <si>
    <t>Evidencia de planes y proyectos realizados o en ejecución, para la conservación, expansión, mejoras y mantenimiento de la planta física para el programa, de acuerdo con las normas técnicas respectivas y con el nivel de formación y la modalidad de oferta del programa.</t>
  </si>
  <si>
    <t>Recursos informáticos y de comunicación</t>
  </si>
  <si>
    <t>Evidencia de la coherencia entre los recursos informáticos y de comunicación con las necesidades para el desarrollo y cumplimiento de las labores formativas, académicas, docentes, científicas, culturales del programa en el lugar de desarrollo y en los escenarios de práctica.</t>
  </si>
  <si>
    <t>Apreciación de directivos, profesores y estudiantes del programa sobre la pertinencia, correspondencia y suficiencia de los recursos informáticos y de comunicación con que cuenta 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</si>
</sst>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theme="1"/>
      <name val="Calibri"/>
      <family val="2"/>
      <scheme val="minor"/>
    </font>
    <font>
      <b/>
      <sz val="11"/>
      <color theme="1"/>
      <name val="Calibri"/>
      <family val="2"/>
      <scheme val="minor"/>
    </font>
    <font>
      <i/>
      <sz val="11"/>
      <color theme="1"/>
      <name val="Calibri"/>
      <family val="2"/>
      <scheme val="minor"/>
    </font>
    <font>
      <b/>
      <sz val="11"/>
      <color theme="1"/>
      <name val="Times New Roman"/>
      <family val="1"/>
    </font>
    <font>
      <sz val="11"/>
      <color theme="1"/>
      <name val="Times New Roman"/>
      <family val="1"/>
    </font>
    <font>
      <sz val="11"/>
      <color rgb="FF000000"/>
      <name val="Calibri"/>
      <charset val="1"/>
    </font>
  </fonts>
  <fills count="4">
    <fill>
      <patternFill patternType="none"/>
    </fill>
    <fill>
      <patternFill patternType="gray125"/>
    </fill>
    <fill>
      <patternFill patternType="solid">
        <fgColor theme="0" tint="-0.249977111117893"/>
        <bgColor indexed="64"/>
      </patternFill>
    </fill>
    <fill>
      <patternFill patternType="solid">
        <fgColor rgb="FFDEEAF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7">
    <xf numFmtId="0" fontId="0" fillId="0" borderId="0" xfId="0"/>
    <xf numFmtId="0" fontId="2" fillId="0" borderId="0" xfId="0" applyFont="1"/>
    <xf numFmtId="0" fontId="0" fillId="0" borderId="0" xfId="0" applyAlignment="1">
      <alignment horizontal="center" vertical="center"/>
    </xf>
    <xf numFmtId="0" fontId="0" fillId="0" borderId="0" xfId="0" applyAlignment="1">
      <alignment wrapText="1"/>
    </xf>
    <xf numFmtId="164" fontId="0" fillId="0" borderId="0" xfId="0" applyNumberFormat="1"/>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1" xfId="0" applyBorder="1" applyAlignment="1">
      <alignment horizontal="center" vertical="center" wrapText="1"/>
    </xf>
    <xf numFmtId="10" fontId="0" fillId="0" borderId="1" xfId="0" applyNumberForma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4" xfId="0" applyFont="1" applyBorder="1" applyAlignment="1">
      <alignment horizontal="justify"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0" borderId="0" xfId="0" applyFont="1"/>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0"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E24C-27F2-4641-962F-4655081AB5B0}">
  <sheetPr>
    <pageSetUpPr fitToPage="1"/>
  </sheetPr>
  <dimension ref="A1:V101"/>
  <sheetViews>
    <sheetView tabSelected="1" topLeftCell="A95" zoomScale="115" zoomScaleNormal="115" workbookViewId="0">
      <selection activeCell="F97" sqref="F97"/>
    </sheetView>
  </sheetViews>
  <sheetFormatPr defaultColWidth="62.28515625" defaultRowHeight="15"/>
  <cols>
    <col min="1" max="1" width="3" bestFit="1" customWidth="1"/>
    <col min="2" max="2" width="27.85546875" customWidth="1"/>
    <col min="3" max="3" width="20.7109375" bestFit="1" customWidth="1"/>
    <col min="4" max="4" width="41.28515625" customWidth="1"/>
    <col min="5" max="5" width="20.7109375" style="2" bestFit="1" customWidth="1"/>
    <col min="6" max="6" width="79.85546875" style="3" customWidth="1"/>
    <col min="7" max="7" width="26.140625" customWidth="1"/>
    <col min="8" max="8" width="26.140625" style="4" customWidth="1"/>
    <col min="9" max="11" width="24" customWidth="1"/>
    <col min="12" max="19" width="14" bestFit="1" customWidth="1"/>
    <col min="20" max="20" width="22.7109375" bestFit="1" customWidth="1"/>
    <col min="21" max="21" width="19.7109375" bestFit="1" customWidth="1"/>
    <col min="22" max="22" width="27.42578125" bestFit="1" customWidth="1"/>
  </cols>
  <sheetData>
    <row r="1" spans="1:22">
      <c r="A1" s="1"/>
    </row>
    <row r="2" spans="1:22" ht="30.75" thickBot="1">
      <c r="A2" t="s">
        <v>0</v>
      </c>
      <c r="B2" s="5" t="s">
        <v>1</v>
      </c>
      <c r="C2" s="5" t="s">
        <v>2</v>
      </c>
      <c r="D2" s="5" t="s">
        <v>3</v>
      </c>
      <c r="E2" s="5" t="s">
        <v>2</v>
      </c>
      <c r="F2" s="5" t="s">
        <v>4</v>
      </c>
      <c r="G2" s="5" t="s">
        <v>5</v>
      </c>
      <c r="H2" s="6" t="s">
        <v>2</v>
      </c>
      <c r="I2" s="5" t="s">
        <v>6</v>
      </c>
      <c r="J2" s="5" t="s">
        <v>6</v>
      </c>
      <c r="K2" s="7"/>
    </row>
    <row r="3" spans="1:22" ht="90.75" thickBot="1">
      <c r="A3" s="24">
        <v>1</v>
      </c>
      <c r="B3" s="22" t="s">
        <v>7</v>
      </c>
      <c r="C3" s="23">
        <v>0.120782726045884</v>
      </c>
      <c r="D3" s="8" t="s">
        <v>8</v>
      </c>
      <c r="E3" s="9">
        <v>0.53846153846153844</v>
      </c>
      <c r="F3" s="8" t="s">
        <v>9</v>
      </c>
      <c r="G3" s="10">
        <v>4</v>
      </c>
      <c r="H3" s="11">
        <f>+AVERAGE(G3)</f>
        <v>4</v>
      </c>
      <c r="I3" s="24">
        <f>AVERAGE(G3:G6)</f>
        <v>4</v>
      </c>
      <c r="J3" s="21" t="str">
        <f>IF(I3&gt;=4.5,"Se cumple plenamente",IF(I3&gt;=4,"Se cumple en alto grado",IF(I3&gt;=3.5,"Se cumple aceptablemente",IF(I3&gt;=2.5,"Se cumple insatisfactoriamente",IF(I3&gt;=1,"No se cumple","")))))</f>
        <v>Se cumple en alto grado</v>
      </c>
      <c r="K3" t="s">
        <v>10</v>
      </c>
      <c r="T3" s="25" t="s">
        <v>11</v>
      </c>
      <c r="U3" s="12" t="s">
        <v>12</v>
      </c>
      <c r="V3" s="25" t="s">
        <v>13</v>
      </c>
    </row>
    <row r="4" spans="1:22" ht="30.75" thickBot="1">
      <c r="A4" s="24"/>
      <c r="B4" s="22"/>
      <c r="C4" s="23"/>
      <c r="D4" s="22" t="s">
        <v>14</v>
      </c>
      <c r="E4" s="23">
        <v>0.46153846153846156</v>
      </c>
      <c r="F4" s="8" t="s">
        <v>15</v>
      </c>
      <c r="G4" s="10">
        <v>4</v>
      </c>
      <c r="H4" s="20">
        <f>AVERAGE(G4:G6)</f>
        <v>4</v>
      </c>
      <c r="I4" s="24"/>
      <c r="J4" s="21"/>
      <c r="K4" t="s">
        <v>16</v>
      </c>
      <c r="T4" s="26"/>
      <c r="U4" s="13"/>
      <c r="V4" s="26"/>
    </row>
    <row r="5" spans="1:22" ht="75" customHeight="1" thickBot="1">
      <c r="A5" s="24"/>
      <c r="B5" s="22"/>
      <c r="C5" s="23"/>
      <c r="D5" s="22"/>
      <c r="E5" s="23"/>
      <c r="F5" s="8" t="s">
        <v>17</v>
      </c>
      <c r="G5" s="10">
        <v>5</v>
      </c>
      <c r="H5" s="20"/>
      <c r="I5" s="24"/>
      <c r="J5" s="21"/>
      <c r="K5" t="s">
        <v>16</v>
      </c>
      <c r="T5" s="14">
        <v>1</v>
      </c>
      <c r="U5" s="15">
        <v>1</v>
      </c>
      <c r="V5" s="16" t="s">
        <v>18</v>
      </c>
    </row>
    <row r="6" spans="1:22" ht="45.75" thickBot="1">
      <c r="A6" s="24"/>
      <c r="B6" s="22"/>
      <c r="C6" s="23"/>
      <c r="D6" s="22"/>
      <c r="E6" s="23"/>
      <c r="F6" s="8" t="s">
        <v>19</v>
      </c>
      <c r="G6" s="10">
        <v>3</v>
      </c>
      <c r="H6" s="20"/>
      <c r="I6" s="24"/>
      <c r="J6" s="21"/>
      <c r="K6" t="s">
        <v>20</v>
      </c>
      <c r="T6" s="17" t="s">
        <v>21</v>
      </c>
      <c r="U6" s="18">
        <v>2</v>
      </c>
      <c r="V6" s="16" t="s">
        <v>22</v>
      </c>
    </row>
    <row r="7" spans="1:22" ht="75" customHeight="1" thickBot="1">
      <c r="A7" s="24">
        <v>2</v>
      </c>
      <c r="B7" s="22" t="s">
        <v>23</v>
      </c>
      <c r="C7" s="23">
        <v>0.12415654520917679</v>
      </c>
      <c r="D7" s="22" t="s">
        <v>24</v>
      </c>
      <c r="E7" s="23">
        <v>0.33139534883720928</v>
      </c>
      <c r="F7" s="8" t="s">
        <v>25</v>
      </c>
      <c r="G7" s="10">
        <v>4</v>
      </c>
      <c r="H7" s="20">
        <f>AVERAGE(G7:G10)</f>
        <v>4</v>
      </c>
      <c r="I7" s="20">
        <f>+AVERAGE(G7:G16)</f>
        <v>4.5999999999999996</v>
      </c>
      <c r="J7" s="21" t="str">
        <f>IF(I3&gt;=4.5,"Se cumple plenamente",IF(I3&gt;=4,"Se cumple en alto grado",IF(I3&gt;=3.5,"Se cumple aceptablemente",IF(I3&gt;=2.5,"Se cumple insatisfactoriamente",IF(I3&gt;=1,"No se cumple","")))))</f>
        <v>Se cumple en alto grado</v>
      </c>
      <c r="K7" t="s">
        <v>26</v>
      </c>
      <c r="L7" s="2" t="s">
        <v>27</v>
      </c>
      <c r="M7" s="2" t="s">
        <v>28</v>
      </c>
      <c r="N7" s="2" t="s">
        <v>29</v>
      </c>
      <c r="O7" s="2" t="s">
        <v>30</v>
      </c>
      <c r="P7" s="2" t="s">
        <v>31</v>
      </c>
      <c r="Q7" s="2" t="s">
        <v>32</v>
      </c>
      <c r="T7" s="17" t="s">
        <v>33</v>
      </c>
      <c r="U7" s="18">
        <v>3</v>
      </c>
      <c r="V7" s="16" t="s">
        <v>34</v>
      </c>
    </row>
    <row r="8" spans="1:22" ht="45.75" thickBot="1">
      <c r="A8" s="24"/>
      <c r="B8" s="22"/>
      <c r="C8" s="23"/>
      <c r="D8" s="22"/>
      <c r="E8" s="23"/>
      <c r="F8" s="8" t="s">
        <v>35</v>
      </c>
      <c r="G8" s="10">
        <v>4</v>
      </c>
      <c r="H8" s="20"/>
      <c r="I8" s="20"/>
      <c r="J8" s="21"/>
      <c r="K8" t="s">
        <v>26</v>
      </c>
      <c r="L8" s="2" t="s">
        <v>32</v>
      </c>
      <c r="T8" s="17">
        <v>4</v>
      </c>
      <c r="U8" s="18">
        <v>4</v>
      </c>
      <c r="V8" s="16" t="s">
        <v>36</v>
      </c>
    </row>
    <row r="9" spans="1:22" ht="45" customHeight="1" thickBot="1">
      <c r="A9" s="24"/>
      <c r="B9" s="22"/>
      <c r="C9" s="23"/>
      <c r="D9" s="22"/>
      <c r="E9" s="23"/>
      <c r="F9" s="8" t="s">
        <v>37</v>
      </c>
      <c r="G9" s="10">
        <v>4</v>
      </c>
      <c r="H9" s="20"/>
      <c r="I9" s="20"/>
      <c r="J9" s="21"/>
      <c r="K9" t="s">
        <v>26</v>
      </c>
      <c r="L9" s="2" t="s">
        <v>32</v>
      </c>
      <c r="T9" s="17" t="s">
        <v>38</v>
      </c>
      <c r="U9" s="18">
        <v>5</v>
      </c>
      <c r="V9" s="16" t="s">
        <v>39</v>
      </c>
    </row>
    <row r="10" spans="1:22" ht="90" customHeight="1">
      <c r="A10" s="24"/>
      <c r="B10" s="22"/>
      <c r="C10" s="23"/>
      <c r="D10" s="22"/>
      <c r="E10" s="23"/>
      <c r="F10" s="8" t="s">
        <v>40</v>
      </c>
      <c r="G10" s="10">
        <v>4</v>
      </c>
      <c r="H10" s="20"/>
      <c r="I10" s="20"/>
      <c r="J10" s="21"/>
      <c r="K10" t="s">
        <v>26</v>
      </c>
      <c r="L10" s="2" t="s">
        <v>32</v>
      </c>
    </row>
    <row r="11" spans="1:22" ht="45">
      <c r="A11" s="24"/>
      <c r="B11" s="22"/>
      <c r="C11" s="23"/>
      <c r="D11" s="8" t="s">
        <v>41</v>
      </c>
      <c r="E11" s="9">
        <v>0.18023255813953487</v>
      </c>
      <c r="F11" s="8" t="s">
        <v>42</v>
      </c>
      <c r="G11" s="10">
        <v>5</v>
      </c>
      <c r="H11" s="11">
        <f>+AVERAGE(G3)</f>
        <v>4</v>
      </c>
      <c r="I11" s="20"/>
      <c r="J11" s="21"/>
      <c r="K11" t="s">
        <v>43</v>
      </c>
    </row>
    <row r="12" spans="1:22" ht="45">
      <c r="A12" s="24"/>
      <c r="B12" s="22"/>
      <c r="C12" s="23"/>
      <c r="D12" s="8" t="s">
        <v>44</v>
      </c>
      <c r="E12" s="9">
        <v>0.19186046511627908</v>
      </c>
      <c r="F12" s="8" t="s">
        <v>45</v>
      </c>
      <c r="G12" s="10">
        <v>5</v>
      </c>
      <c r="H12" s="11">
        <f>+AVERAGE(G3)</f>
        <v>4</v>
      </c>
      <c r="I12" s="20"/>
      <c r="J12" s="21"/>
      <c r="K12" t="s">
        <v>43</v>
      </c>
      <c r="L12" s="2" t="s">
        <v>29</v>
      </c>
      <c r="M12" s="2" t="s">
        <v>30</v>
      </c>
    </row>
    <row r="13" spans="1:22" ht="75" customHeight="1">
      <c r="A13" s="24"/>
      <c r="B13" s="22"/>
      <c r="C13" s="23"/>
      <c r="D13" s="22" t="s">
        <v>46</v>
      </c>
      <c r="E13" s="23">
        <v>0.13372093023255813</v>
      </c>
      <c r="F13" s="8" t="s">
        <v>47</v>
      </c>
      <c r="G13" s="10">
        <v>5</v>
      </c>
      <c r="H13" s="20">
        <f>+AVERAGE(G13:G14)</f>
        <v>5</v>
      </c>
      <c r="I13" s="20"/>
      <c r="J13" s="21"/>
      <c r="L13" s="2" t="s">
        <v>48</v>
      </c>
      <c r="M13" s="2" t="s">
        <v>49</v>
      </c>
      <c r="N13" s="2" t="s">
        <v>29</v>
      </c>
      <c r="O13" s="2" t="s">
        <v>50</v>
      </c>
    </row>
    <row r="14" spans="1:22" ht="30">
      <c r="A14" s="24"/>
      <c r="B14" s="22"/>
      <c r="C14" s="23"/>
      <c r="D14" s="22"/>
      <c r="E14" s="23"/>
      <c r="F14" s="8" t="s">
        <v>51</v>
      </c>
      <c r="G14" s="10">
        <v>5</v>
      </c>
      <c r="H14" s="20"/>
      <c r="I14" s="20"/>
      <c r="J14" s="21"/>
      <c r="L14" s="2" t="s">
        <v>48</v>
      </c>
      <c r="M14" s="2" t="s">
        <v>50</v>
      </c>
    </row>
    <row r="15" spans="1:22" ht="30">
      <c r="A15" s="24"/>
      <c r="B15" s="22"/>
      <c r="C15" s="23"/>
      <c r="D15" s="22" t="s">
        <v>52</v>
      </c>
      <c r="E15" s="23">
        <v>0.16279069767441862</v>
      </c>
      <c r="F15" s="8" t="s">
        <v>53</v>
      </c>
      <c r="G15" s="10">
        <v>5</v>
      </c>
      <c r="H15" s="20">
        <f>+AVERAGE(G15:G16)</f>
        <v>5</v>
      </c>
      <c r="I15" s="20"/>
      <c r="J15" s="21"/>
      <c r="L15" s="2" t="s">
        <v>54</v>
      </c>
      <c r="M15" s="2" t="s">
        <v>30</v>
      </c>
    </row>
    <row r="16" spans="1:22" ht="60" customHeight="1">
      <c r="A16" s="24"/>
      <c r="B16" s="22"/>
      <c r="C16" s="23"/>
      <c r="D16" s="22"/>
      <c r="E16" s="23"/>
      <c r="F16" s="8" t="s">
        <v>55</v>
      </c>
      <c r="G16" s="10">
        <v>5</v>
      </c>
      <c r="H16" s="20"/>
      <c r="I16" s="20"/>
      <c r="J16" s="21"/>
      <c r="L16" s="2" t="s">
        <v>30</v>
      </c>
      <c r="M16" s="2" t="s">
        <v>56</v>
      </c>
    </row>
    <row r="17" spans="1:15" ht="45">
      <c r="A17" s="24">
        <v>3</v>
      </c>
      <c r="B17" s="22" t="s">
        <v>57</v>
      </c>
      <c r="C17" s="23">
        <v>0.11673414304993253</v>
      </c>
      <c r="D17" s="22" t="s">
        <v>58</v>
      </c>
      <c r="E17" s="23">
        <v>0.17129629629629631</v>
      </c>
      <c r="F17" s="8" t="s">
        <v>59</v>
      </c>
      <c r="G17" s="10">
        <v>5</v>
      </c>
      <c r="H17" s="20">
        <f>+AVERAGE(G17:G18)</f>
        <v>5</v>
      </c>
      <c r="I17" s="20">
        <f>+AVERAGE(G17:G34)</f>
        <v>4.666666666666667</v>
      </c>
      <c r="J17" s="21" t="str">
        <f>IF(I3&gt;=4.5,"Se cumple plenamente",IF(I3&gt;=4,"Se cumple en alto grado",IF(I3&gt;=3.5,"Se cumple aceptablemente",IF(I3&gt;=2.5,"Se cumple insatisfactoriamente",IF(I3&gt;=1,"No se cumple","")))))</f>
        <v>Se cumple en alto grado</v>
      </c>
    </row>
    <row r="18" spans="1:15" ht="60">
      <c r="A18" s="24"/>
      <c r="B18" s="22"/>
      <c r="C18" s="23"/>
      <c r="D18" s="22"/>
      <c r="E18" s="23"/>
      <c r="F18" s="8" t="s">
        <v>60</v>
      </c>
      <c r="G18" s="10">
        <v>5</v>
      </c>
      <c r="H18" s="20"/>
      <c r="I18" s="20"/>
      <c r="J18" s="21"/>
    </row>
    <row r="19" spans="1:15" ht="60">
      <c r="A19" s="24"/>
      <c r="B19" s="22"/>
      <c r="C19" s="23"/>
      <c r="D19" s="22" t="s">
        <v>61</v>
      </c>
      <c r="E19" s="23">
        <v>0.13734567901234568</v>
      </c>
      <c r="F19" s="8" t="s">
        <v>62</v>
      </c>
      <c r="G19" s="10">
        <v>5</v>
      </c>
      <c r="H19" s="20">
        <f>+AVERAGE(G19:G21)</f>
        <v>5</v>
      </c>
      <c r="I19" s="20"/>
      <c r="J19" s="21"/>
      <c r="L19" s="2" t="s">
        <v>63</v>
      </c>
      <c r="M19" s="2" t="s">
        <v>64</v>
      </c>
    </row>
    <row r="20" spans="1:15" ht="45">
      <c r="A20" s="24"/>
      <c r="B20" s="22"/>
      <c r="C20" s="23"/>
      <c r="D20" s="22"/>
      <c r="E20" s="23"/>
      <c r="F20" s="8" t="s">
        <v>65</v>
      </c>
      <c r="G20" s="10">
        <v>5</v>
      </c>
      <c r="H20" s="20"/>
      <c r="I20" s="20"/>
      <c r="J20" s="21"/>
      <c r="L20" s="2" t="s">
        <v>66</v>
      </c>
      <c r="M20" s="2" t="s">
        <v>63</v>
      </c>
    </row>
    <row r="21" spans="1:15" ht="60">
      <c r="A21" s="24"/>
      <c r="B21" s="22"/>
      <c r="C21" s="23"/>
      <c r="D21" s="22"/>
      <c r="E21" s="23"/>
      <c r="F21" s="8" t="s">
        <v>67</v>
      </c>
      <c r="G21" s="10">
        <v>5</v>
      </c>
      <c r="H21" s="20"/>
      <c r="I21" s="20"/>
      <c r="J21" s="21"/>
      <c r="L21" s="2" t="s">
        <v>66</v>
      </c>
      <c r="M21" s="2" t="s">
        <v>64</v>
      </c>
      <c r="N21" s="2" t="s">
        <v>68</v>
      </c>
    </row>
    <row r="22" spans="1:15" ht="60" customHeight="1">
      <c r="A22" s="24"/>
      <c r="B22" s="22"/>
      <c r="C22" s="23"/>
      <c r="D22" s="22" t="s">
        <v>69</v>
      </c>
      <c r="E22" s="23">
        <v>0.15740740740740741</v>
      </c>
      <c r="F22" s="8" t="s">
        <v>70</v>
      </c>
      <c r="G22" s="10">
        <v>5</v>
      </c>
      <c r="H22" s="20">
        <f>+AVERAGE(G22:G24)</f>
        <v>5</v>
      </c>
      <c r="I22" s="20"/>
      <c r="J22" s="21"/>
    </row>
    <row r="23" spans="1:15" ht="60">
      <c r="A23" s="24"/>
      <c r="B23" s="22"/>
      <c r="C23" s="23"/>
      <c r="D23" s="22"/>
      <c r="E23" s="23"/>
      <c r="F23" s="8" t="s">
        <v>71</v>
      </c>
      <c r="G23" s="10">
        <v>5</v>
      </c>
      <c r="H23" s="20"/>
      <c r="I23" s="20"/>
      <c r="J23" s="21"/>
    </row>
    <row r="24" spans="1:15" ht="120" customHeight="1">
      <c r="A24" s="24"/>
      <c r="B24" s="22"/>
      <c r="C24" s="23"/>
      <c r="D24" s="22"/>
      <c r="E24" s="23"/>
      <c r="F24" s="8" t="s">
        <v>72</v>
      </c>
      <c r="G24" s="10">
        <v>5</v>
      </c>
      <c r="H24" s="20"/>
      <c r="I24" s="20"/>
      <c r="J24" s="21"/>
    </row>
    <row r="25" spans="1:15" ht="75" customHeight="1">
      <c r="A25" s="24"/>
      <c r="B25" s="22"/>
      <c r="C25" s="23"/>
      <c r="D25" s="22" t="s">
        <v>73</v>
      </c>
      <c r="E25" s="23">
        <v>0.15277777777777779</v>
      </c>
      <c r="F25" s="8" t="s">
        <v>74</v>
      </c>
      <c r="G25" s="10">
        <v>5</v>
      </c>
      <c r="H25" s="20">
        <f>+AVERAGE(G25:G27)</f>
        <v>4.333333333333333</v>
      </c>
      <c r="I25" s="20"/>
      <c r="J25" s="21"/>
      <c r="L25" s="2" t="s">
        <v>63</v>
      </c>
      <c r="M25" s="2" t="s">
        <v>64</v>
      </c>
    </row>
    <row r="26" spans="1:15" ht="60" customHeight="1">
      <c r="A26" s="24"/>
      <c r="B26" s="22"/>
      <c r="C26" s="23"/>
      <c r="D26" s="22"/>
      <c r="E26" s="23"/>
      <c r="F26" s="8" t="s">
        <v>75</v>
      </c>
      <c r="G26" s="10">
        <v>4</v>
      </c>
      <c r="H26" s="20"/>
      <c r="I26" s="20"/>
      <c r="J26" s="21"/>
      <c r="K26" t="s">
        <v>76</v>
      </c>
      <c r="L26" s="2" t="s">
        <v>63</v>
      </c>
    </row>
    <row r="27" spans="1:15" ht="90" customHeight="1">
      <c r="A27" s="24"/>
      <c r="B27" s="22"/>
      <c r="C27" s="23"/>
      <c r="D27" s="22"/>
      <c r="E27" s="23"/>
      <c r="F27" s="8" t="s">
        <v>77</v>
      </c>
      <c r="G27" s="10">
        <v>4</v>
      </c>
      <c r="H27" s="20"/>
      <c r="I27" s="20"/>
      <c r="J27" s="21"/>
      <c r="L27" s="2" t="s">
        <v>66</v>
      </c>
      <c r="M27" s="2" t="s">
        <v>64</v>
      </c>
    </row>
    <row r="28" spans="1:15" ht="45" customHeight="1">
      <c r="A28" s="24"/>
      <c r="B28" s="22"/>
      <c r="C28" s="23"/>
      <c r="D28" s="22" t="s">
        <v>78</v>
      </c>
      <c r="E28" s="23">
        <v>0.10339506172839506</v>
      </c>
      <c r="F28" s="8" t="s">
        <v>79</v>
      </c>
      <c r="G28" s="10">
        <v>5</v>
      </c>
      <c r="H28" s="20">
        <f>+AVERAGE(G28:G29)</f>
        <v>5</v>
      </c>
      <c r="I28" s="20"/>
      <c r="J28" s="21"/>
      <c r="K28" t="s">
        <v>80</v>
      </c>
      <c r="L28" s="2" t="s">
        <v>63</v>
      </c>
      <c r="M28" s="2" t="s">
        <v>64</v>
      </c>
    </row>
    <row r="29" spans="1:15" ht="90" customHeight="1">
      <c r="A29" s="24"/>
      <c r="B29" s="22"/>
      <c r="C29" s="23"/>
      <c r="D29" s="22"/>
      <c r="E29" s="23"/>
      <c r="F29" s="8" t="s">
        <v>81</v>
      </c>
      <c r="G29" s="10">
        <v>5</v>
      </c>
      <c r="H29" s="20"/>
      <c r="I29" s="20"/>
      <c r="J29" s="21"/>
      <c r="K29" t="s">
        <v>82</v>
      </c>
      <c r="L29" s="2" t="s">
        <v>66</v>
      </c>
      <c r="M29" s="2" t="s">
        <v>64</v>
      </c>
      <c r="N29" s="2" t="s">
        <v>68</v>
      </c>
      <c r="O29" s="2" t="s">
        <v>83</v>
      </c>
    </row>
    <row r="30" spans="1:15" ht="60" customHeight="1">
      <c r="A30" s="24"/>
      <c r="B30" s="22"/>
      <c r="C30" s="23"/>
      <c r="D30" s="22" t="s">
        <v>84</v>
      </c>
      <c r="E30" s="23">
        <v>0.11728395061728394</v>
      </c>
      <c r="F30" s="8" t="s">
        <v>85</v>
      </c>
      <c r="G30" s="10">
        <v>3</v>
      </c>
      <c r="H30" s="20">
        <f>+AVERAGE(G30:G31)</f>
        <v>3</v>
      </c>
      <c r="I30" s="20"/>
      <c r="J30" s="21"/>
      <c r="K30" t="s">
        <v>86</v>
      </c>
      <c r="L30" s="2" t="s">
        <v>63</v>
      </c>
      <c r="M30" s="2" t="s">
        <v>64</v>
      </c>
    </row>
    <row r="31" spans="1:15" ht="60">
      <c r="A31" s="24"/>
      <c r="B31" s="22"/>
      <c r="C31" s="23"/>
      <c r="D31" s="22"/>
      <c r="E31" s="23"/>
      <c r="F31" s="8" t="s">
        <v>87</v>
      </c>
      <c r="G31" s="10">
        <v>3</v>
      </c>
      <c r="H31" s="20"/>
      <c r="I31" s="20"/>
      <c r="J31" s="21"/>
      <c r="K31" t="s">
        <v>86</v>
      </c>
      <c r="L31" s="2" t="s">
        <v>63</v>
      </c>
    </row>
    <row r="32" spans="1:15" ht="75" customHeight="1">
      <c r="A32" s="24"/>
      <c r="B32" s="22"/>
      <c r="C32" s="23"/>
      <c r="D32" s="8" t="s">
        <v>88</v>
      </c>
      <c r="E32" s="9">
        <v>9.4135802469135804E-2</v>
      </c>
      <c r="F32" s="8" t="s">
        <v>89</v>
      </c>
      <c r="G32" s="10">
        <v>5</v>
      </c>
      <c r="H32" s="11">
        <f>+AVERAGE(G32)</f>
        <v>5</v>
      </c>
      <c r="I32" s="20"/>
      <c r="J32" s="21"/>
      <c r="L32" s="2" t="s">
        <v>66</v>
      </c>
      <c r="M32" s="2" t="s">
        <v>64</v>
      </c>
    </row>
    <row r="33" spans="1:18" ht="75">
      <c r="A33" s="24"/>
      <c r="B33" s="22"/>
      <c r="C33" s="23"/>
      <c r="D33" s="22" t="s">
        <v>90</v>
      </c>
      <c r="E33" s="23">
        <v>6.6358024691358028E-2</v>
      </c>
      <c r="F33" s="8" t="s">
        <v>91</v>
      </c>
      <c r="G33" s="10">
        <v>5</v>
      </c>
      <c r="H33" s="20">
        <f>+AVERAGE(G33:G34)</f>
        <v>5</v>
      </c>
      <c r="I33" s="20"/>
      <c r="J33" s="21"/>
      <c r="L33" s="2" t="s">
        <v>49</v>
      </c>
    </row>
    <row r="34" spans="1:18" ht="45">
      <c r="A34" s="24"/>
      <c r="B34" s="22"/>
      <c r="C34" s="23"/>
      <c r="D34" s="22"/>
      <c r="E34" s="23"/>
      <c r="F34" s="8" t="s">
        <v>92</v>
      </c>
      <c r="G34" s="10">
        <v>5</v>
      </c>
      <c r="H34" s="20"/>
      <c r="I34" s="20"/>
      <c r="J34" s="21"/>
      <c r="L34" s="2" t="s">
        <v>63</v>
      </c>
    </row>
    <row r="35" spans="1:18" ht="60">
      <c r="A35" s="24">
        <v>4</v>
      </c>
      <c r="B35" s="22" t="s">
        <v>93</v>
      </c>
      <c r="C35" s="23">
        <v>0.10796221322537113</v>
      </c>
      <c r="D35" s="22" t="s">
        <v>94</v>
      </c>
      <c r="E35" s="23">
        <v>0.54761904761904767</v>
      </c>
      <c r="F35" s="8" t="s">
        <v>95</v>
      </c>
      <c r="G35" s="10">
        <v>5</v>
      </c>
      <c r="H35" s="20">
        <f>+AVERAGE(G35:G36)</f>
        <v>5</v>
      </c>
      <c r="I35" s="20">
        <f>+AVERAGE(G35:G38)</f>
        <v>4.75</v>
      </c>
      <c r="J35" s="21" t="str">
        <f>IF(I3&gt;=4.5,"Se cumple plenamente",IF(I3&gt;=4,"Se cumple en alto grado",IF(I3&gt;=3.5,"Se cumple aceptablemente",IF(I3&gt;=2.5,"Se cumple insatisfactoriamente",IF(I3&gt;=1,"No se cumple","")))))</f>
        <v>Se cumple en alto grado</v>
      </c>
      <c r="L35" s="2" t="s">
        <v>29</v>
      </c>
    </row>
    <row r="36" spans="1:18" ht="60">
      <c r="A36" s="24"/>
      <c r="B36" s="22"/>
      <c r="C36" s="23"/>
      <c r="D36" s="22"/>
      <c r="E36" s="23"/>
      <c r="F36" s="8" t="s">
        <v>96</v>
      </c>
      <c r="G36" s="10">
        <v>5</v>
      </c>
      <c r="H36" s="20"/>
      <c r="I36" s="20"/>
      <c r="J36" s="21"/>
      <c r="L36" s="2" t="s">
        <v>97</v>
      </c>
      <c r="M36" s="2" t="s">
        <v>49</v>
      </c>
      <c r="N36" s="2" t="s">
        <v>28</v>
      </c>
      <c r="O36" s="2" t="s">
        <v>29</v>
      </c>
    </row>
    <row r="37" spans="1:18" ht="60" customHeight="1">
      <c r="A37" s="24"/>
      <c r="B37" s="22"/>
      <c r="C37" s="23"/>
      <c r="D37" s="22" t="s">
        <v>98</v>
      </c>
      <c r="E37" s="23">
        <v>0.45238095238095238</v>
      </c>
      <c r="F37" s="8" t="s">
        <v>99</v>
      </c>
      <c r="G37" s="10">
        <v>5</v>
      </c>
      <c r="H37" s="20">
        <f>+AVERAGE(G37:G38)</f>
        <v>4.5</v>
      </c>
      <c r="I37" s="20"/>
      <c r="J37" s="21"/>
      <c r="L37" s="2" t="s">
        <v>29</v>
      </c>
    </row>
    <row r="38" spans="1:18" ht="60">
      <c r="A38" s="24"/>
      <c r="B38" s="22"/>
      <c r="C38" s="23"/>
      <c r="D38" s="22"/>
      <c r="E38" s="23"/>
      <c r="F38" s="8" t="s">
        <v>100</v>
      </c>
      <c r="G38" s="10">
        <v>4</v>
      </c>
      <c r="H38" s="20"/>
      <c r="I38" s="20"/>
      <c r="J38" s="21"/>
      <c r="L38" s="2" t="s">
        <v>97</v>
      </c>
      <c r="M38" s="2" t="s">
        <v>49</v>
      </c>
    </row>
    <row r="39" spans="1:18" ht="105" customHeight="1">
      <c r="A39" s="24">
        <v>5</v>
      </c>
      <c r="B39" s="22" t="s">
        <v>101</v>
      </c>
      <c r="C39" s="23">
        <v>6.7476383265856948E-2</v>
      </c>
      <c r="D39" s="22" t="s">
        <v>102</v>
      </c>
      <c r="E39" s="23">
        <v>0.17160493827160495</v>
      </c>
      <c r="F39" s="8" t="s">
        <v>103</v>
      </c>
      <c r="G39" s="10">
        <v>5</v>
      </c>
      <c r="H39" s="20">
        <f>+AVERAGE(G39:G40)</f>
        <v>5</v>
      </c>
      <c r="I39" s="20">
        <f>+AVERAGE(G39:G57)</f>
        <v>4.333333333333333</v>
      </c>
      <c r="J39" s="21" t="str">
        <f>IF(I3&gt;=4.5,"Se cumple plenamente",IF(I3&gt;=4,"Se cumple en alto grado",IF(I3&gt;=3.5,"Se cumple aceptablemente",IF(I3&gt;=2.5,"Se cumple insatisfactoriamente",IF(I3&gt;=1,"No se cumple","")))))</f>
        <v>Se cumple en alto grado</v>
      </c>
      <c r="K39" t="s">
        <v>104</v>
      </c>
    </row>
    <row r="40" spans="1:18" ht="30">
      <c r="A40" s="24"/>
      <c r="B40" s="22"/>
      <c r="C40" s="23"/>
      <c r="D40" s="22"/>
      <c r="E40" s="23"/>
      <c r="F40" s="8" t="s">
        <v>105</v>
      </c>
      <c r="G40" s="10">
        <v>5</v>
      </c>
      <c r="H40" s="20"/>
      <c r="I40" s="20"/>
      <c r="J40" s="21"/>
      <c r="K40" t="s">
        <v>106</v>
      </c>
    </row>
    <row r="41" spans="1:18" ht="75" customHeight="1">
      <c r="A41" s="24"/>
      <c r="B41" s="22"/>
      <c r="C41" s="23"/>
      <c r="D41" s="22" t="s">
        <v>107</v>
      </c>
      <c r="E41" s="23">
        <v>0.14691358024691359</v>
      </c>
      <c r="F41" s="8" t="s">
        <v>108</v>
      </c>
      <c r="G41" s="10">
        <v>4</v>
      </c>
      <c r="H41" s="20">
        <f>+AVERAGE(G41:G42)</f>
        <v>4</v>
      </c>
      <c r="I41" s="20"/>
      <c r="J41" s="21"/>
      <c r="K41" t="s">
        <v>109</v>
      </c>
      <c r="L41" s="2" t="s">
        <v>83</v>
      </c>
      <c r="M41" s="2" t="s">
        <v>29</v>
      </c>
    </row>
    <row r="42" spans="1:18" ht="75" customHeight="1">
      <c r="A42" s="24"/>
      <c r="B42" s="22"/>
      <c r="C42" s="23"/>
      <c r="D42" s="22"/>
      <c r="E42" s="23"/>
      <c r="F42" s="8" t="s">
        <v>110</v>
      </c>
      <c r="G42" s="10">
        <v>4</v>
      </c>
      <c r="H42" s="20"/>
      <c r="I42" s="20"/>
      <c r="J42" s="21"/>
      <c r="K42" t="s">
        <v>111</v>
      </c>
      <c r="L42" s="2" t="s">
        <v>54</v>
      </c>
      <c r="M42" s="2" t="s">
        <v>112</v>
      </c>
      <c r="N42" s="2" t="s">
        <v>83</v>
      </c>
      <c r="O42" s="2" t="s">
        <v>28</v>
      </c>
      <c r="P42" s="2" t="s">
        <v>29</v>
      </c>
      <c r="Q42" s="2" t="s">
        <v>113</v>
      </c>
      <c r="R42" s="2" t="s">
        <v>114</v>
      </c>
    </row>
    <row r="43" spans="1:18" ht="60" customHeight="1">
      <c r="A43" s="24"/>
      <c r="B43" s="22"/>
      <c r="C43" s="23"/>
      <c r="D43" s="22" t="s">
        <v>115</v>
      </c>
      <c r="E43" s="23">
        <v>0.12839506172839507</v>
      </c>
      <c r="F43" s="8" t="s">
        <v>116</v>
      </c>
      <c r="G43" s="10">
        <v>5</v>
      </c>
      <c r="H43" s="20">
        <f>+AVERAGE(G43:G44)</f>
        <v>5</v>
      </c>
      <c r="I43" s="20"/>
      <c r="J43" s="21"/>
      <c r="K43" s="19" t="s">
        <v>117</v>
      </c>
      <c r="L43" s="2" t="s">
        <v>29</v>
      </c>
      <c r="M43" s="2" t="s">
        <v>30</v>
      </c>
    </row>
    <row r="44" spans="1:18" ht="60">
      <c r="A44" s="24"/>
      <c r="B44" s="22"/>
      <c r="C44" s="23"/>
      <c r="D44" s="22"/>
      <c r="E44" s="23"/>
      <c r="F44" s="8" t="s">
        <v>118</v>
      </c>
      <c r="G44" s="10">
        <v>5</v>
      </c>
      <c r="H44" s="20"/>
      <c r="I44" s="20"/>
      <c r="J44" s="21"/>
      <c r="K44" t="s">
        <v>26</v>
      </c>
      <c r="L44" s="2" t="s">
        <v>54</v>
      </c>
      <c r="M44" s="2" t="s">
        <v>97</v>
      </c>
      <c r="N44" s="2" t="s">
        <v>29</v>
      </c>
      <c r="O44" s="2" t="s">
        <v>113</v>
      </c>
      <c r="P44" s="2" t="s">
        <v>114</v>
      </c>
    </row>
    <row r="45" spans="1:18" ht="105" customHeight="1">
      <c r="A45" s="24"/>
      <c r="B45" s="22"/>
      <c r="C45" s="23"/>
      <c r="D45" s="22" t="s">
        <v>119</v>
      </c>
      <c r="E45" s="23">
        <v>0.11358024691358025</v>
      </c>
      <c r="F45" s="8" t="s">
        <v>120</v>
      </c>
      <c r="G45" s="10">
        <v>3</v>
      </c>
      <c r="H45" s="20">
        <f>+AVERAGE(G45:G47)</f>
        <v>3.5</v>
      </c>
      <c r="I45" s="20"/>
      <c r="J45" s="21"/>
      <c r="K45" t="s">
        <v>121</v>
      </c>
      <c r="L45" s="2" t="s">
        <v>28</v>
      </c>
      <c r="M45" s="2" t="s">
        <v>29</v>
      </c>
    </row>
    <row r="46" spans="1:18" ht="45">
      <c r="A46" s="24"/>
      <c r="B46" s="22"/>
      <c r="C46" s="23"/>
      <c r="D46" s="22"/>
      <c r="E46" s="23"/>
      <c r="F46" s="8" t="s">
        <v>122</v>
      </c>
      <c r="G46" s="10">
        <v>4</v>
      </c>
      <c r="H46" s="20"/>
      <c r="I46" s="20"/>
      <c r="J46" s="21"/>
      <c r="K46" t="s">
        <v>123</v>
      </c>
      <c r="L46" s="2" t="s">
        <v>29</v>
      </c>
      <c r="M46" s="2" t="s">
        <v>30</v>
      </c>
    </row>
    <row r="47" spans="1:18" ht="90" customHeight="1">
      <c r="A47" s="24"/>
      <c r="B47" s="22"/>
      <c r="C47" s="23"/>
      <c r="D47" s="22"/>
      <c r="E47" s="23"/>
      <c r="F47" s="8" t="s">
        <v>124</v>
      </c>
      <c r="G47" s="10" t="s">
        <v>125</v>
      </c>
      <c r="H47" s="20"/>
      <c r="I47" s="20"/>
      <c r="J47" s="21"/>
      <c r="K47" t="s">
        <v>126</v>
      </c>
    </row>
    <row r="48" spans="1:18" ht="60" customHeight="1">
      <c r="A48" s="24"/>
      <c r="B48" s="22"/>
      <c r="C48" s="23"/>
      <c r="D48" s="22" t="s">
        <v>127</v>
      </c>
      <c r="E48" s="23">
        <v>7.5308641975308649E-2</v>
      </c>
      <c r="F48" s="8" t="s">
        <v>128</v>
      </c>
      <c r="G48" s="10">
        <v>3</v>
      </c>
      <c r="H48" s="20">
        <f>+AVERAGE(G48:G50)</f>
        <v>3.6666666666666665</v>
      </c>
      <c r="I48" s="20"/>
      <c r="J48" s="21"/>
      <c r="K48" t="s">
        <v>121</v>
      </c>
      <c r="L48" s="2" t="s">
        <v>49</v>
      </c>
    </row>
    <row r="49" spans="1:13" ht="45">
      <c r="A49" s="24"/>
      <c r="B49" s="22"/>
      <c r="C49" s="23"/>
      <c r="D49" s="22"/>
      <c r="E49" s="23"/>
      <c r="F49" s="8" t="s">
        <v>129</v>
      </c>
      <c r="G49" s="10">
        <v>5</v>
      </c>
      <c r="H49" s="20"/>
      <c r="I49" s="20"/>
      <c r="J49" s="21"/>
    </row>
    <row r="50" spans="1:13" ht="45">
      <c r="A50" s="24"/>
      <c r="B50" s="22"/>
      <c r="C50" s="23"/>
      <c r="D50" s="22"/>
      <c r="E50" s="23"/>
      <c r="F50" s="8" t="s">
        <v>130</v>
      </c>
      <c r="G50" s="10">
        <v>3</v>
      </c>
      <c r="H50" s="20"/>
      <c r="I50" s="20"/>
      <c r="J50" s="21"/>
      <c r="K50" t="s">
        <v>131</v>
      </c>
    </row>
    <row r="51" spans="1:13" ht="60">
      <c r="A51" s="24"/>
      <c r="B51" s="22"/>
      <c r="C51" s="23"/>
      <c r="D51" s="22" t="s">
        <v>132</v>
      </c>
      <c r="E51" s="23">
        <v>0.12839506172839507</v>
      </c>
      <c r="F51" s="8" t="s">
        <v>133</v>
      </c>
      <c r="G51" s="10">
        <v>5</v>
      </c>
      <c r="H51" s="20">
        <f>+AVERAGE(G51:G52)</f>
        <v>4</v>
      </c>
      <c r="I51" s="20"/>
      <c r="J51" s="21"/>
    </row>
    <row r="52" spans="1:13" ht="75">
      <c r="A52" s="24"/>
      <c r="B52" s="22"/>
      <c r="C52" s="23"/>
      <c r="D52" s="22"/>
      <c r="E52" s="23"/>
      <c r="F52" s="8" t="s">
        <v>134</v>
      </c>
      <c r="G52" s="10">
        <v>3</v>
      </c>
      <c r="H52" s="20"/>
      <c r="I52" s="20"/>
      <c r="J52" s="21"/>
      <c r="K52" t="s">
        <v>121</v>
      </c>
    </row>
    <row r="53" spans="1:13" ht="45" customHeight="1">
      <c r="A53" s="24"/>
      <c r="B53" s="22"/>
      <c r="C53" s="23"/>
      <c r="D53" s="8" t="s">
        <v>135</v>
      </c>
      <c r="E53" s="9">
        <v>0.10987654320987654</v>
      </c>
      <c r="F53" s="8" t="s">
        <v>136</v>
      </c>
      <c r="G53" s="10">
        <v>5</v>
      </c>
      <c r="H53" s="11">
        <f>+AVERAGE(G53)</f>
        <v>5</v>
      </c>
      <c r="I53" s="20"/>
      <c r="J53" s="21"/>
      <c r="K53" t="s">
        <v>137</v>
      </c>
      <c r="L53" s="2" t="s">
        <v>29</v>
      </c>
      <c r="M53" s="2" t="s">
        <v>30</v>
      </c>
    </row>
    <row r="54" spans="1:13" ht="30">
      <c r="A54" s="24"/>
      <c r="B54" s="22"/>
      <c r="C54" s="23"/>
      <c r="D54" s="22" t="s">
        <v>138</v>
      </c>
      <c r="E54" s="23">
        <v>6.7901234567901231E-2</v>
      </c>
      <c r="F54" s="8" t="s">
        <v>139</v>
      </c>
      <c r="G54" s="10">
        <v>5</v>
      </c>
      <c r="H54" s="20">
        <f>+AVERAGE(G54:G55)</f>
        <v>4.5</v>
      </c>
      <c r="I54" s="20"/>
      <c r="J54" s="21"/>
    </row>
    <row r="55" spans="1:13" ht="45">
      <c r="A55" s="24"/>
      <c r="B55" s="22"/>
      <c r="C55" s="23"/>
      <c r="D55" s="22"/>
      <c r="E55" s="23"/>
      <c r="F55" s="8" t="s">
        <v>140</v>
      </c>
      <c r="G55" s="10">
        <v>4</v>
      </c>
      <c r="H55" s="20"/>
      <c r="I55" s="20"/>
      <c r="J55" s="21"/>
      <c r="L55" s="2" t="s">
        <v>49</v>
      </c>
    </row>
    <row r="56" spans="1:13" ht="30">
      <c r="A56" s="24"/>
      <c r="B56" s="22"/>
      <c r="C56" s="23"/>
      <c r="D56" s="22" t="s">
        <v>141</v>
      </c>
      <c r="E56" s="23">
        <v>5.802469135802469E-2</v>
      </c>
      <c r="F56" s="8" t="s">
        <v>142</v>
      </c>
      <c r="G56" s="10">
        <v>5</v>
      </c>
      <c r="H56" s="20">
        <f>+AVERAGE(G56:G57)</f>
        <v>5</v>
      </c>
      <c r="I56" s="20"/>
      <c r="J56" s="21"/>
      <c r="K56" t="s">
        <v>143</v>
      </c>
    </row>
    <row r="57" spans="1:13" ht="60" customHeight="1">
      <c r="A57" s="24"/>
      <c r="B57" s="22"/>
      <c r="C57" s="23"/>
      <c r="D57" s="22"/>
      <c r="E57" s="23"/>
      <c r="F57" s="8" t="s">
        <v>144</v>
      </c>
      <c r="G57" s="10">
        <v>5</v>
      </c>
      <c r="H57" s="20"/>
      <c r="I57" s="20"/>
      <c r="J57" s="21"/>
      <c r="K57" t="s">
        <v>145</v>
      </c>
    </row>
    <row r="58" spans="1:13" ht="90" customHeight="1">
      <c r="A58" s="24">
        <v>6</v>
      </c>
      <c r="B58" s="22" t="s">
        <v>146</v>
      </c>
      <c r="C58" s="23">
        <v>7.28744939271255E-2</v>
      </c>
      <c r="D58" s="8" t="s">
        <v>147</v>
      </c>
      <c r="E58" s="9">
        <v>0.26111111111111113</v>
      </c>
      <c r="F58" s="8" t="s">
        <v>148</v>
      </c>
      <c r="G58" s="10">
        <v>5</v>
      </c>
      <c r="H58" s="11">
        <f>+AVERAGE(G58)</f>
        <v>5</v>
      </c>
      <c r="I58" s="20">
        <f>+AVERAGE(G58:G64)</f>
        <v>5</v>
      </c>
      <c r="J58" s="21" t="str">
        <f>IF(I3&gt;=4.5,"Se cumple plenamente",IF(I3&gt;=4,"Se cumple en alto grado",IF(I3&gt;=3.5,"Se cumple aceptablemente",IF(I3&gt;=2.5,"Se cumple insatisfactoriamente",IF(I3&gt;=1,"No se cumple","")))))</f>
        <v>Se cumple en alto grado</v>
      </c>
      <c r="K58" t="s">
        <v>149</v>
      </c>
    </row>
    <row r="59" spans="1:13" ht="75">
      <c r="A59" s="24"/>
      <c r="B59" s="22"/>
      <c r="C59" s="23"/>
      <c r="D59" s="22" t="s">
        <v>150</v>
      </c>
      <c r="E59" s="23">
        <v>0.27777777777777779</v>
      </c>
      <c r="F59" s="8" t="s">
        <v>151</v>
      </c>
      <c r="G59" s="10">
        <v>5</v>
      </c>
      <c r="H59" s="20">
        <f>+AVERAGE(G59:G61)</f>
        <v>5</v>
      </c>
      <c r="I59" s="20"/>
      <c r="J59" s="21"/>
      <c r="K59" t="s">
        <v>152</v>
      </c>
    </row>
    <row r="60" spans="1:13" ht="60" customHeight="1">
      <c r="A60" s="24"/>
      <c r="B60" s="22"/>
      <c r="C60" s="23"/>
      <c r="D60" s="22"/>
      <c r="E60" s="23"/>
      <c r="F60" s="8" t="s">
        <v>153</v>
      </c>
      <c r="G60" s="10">
        <v>5</v>
      </c>
      <c r="H60" s="20"/>
      <c r="I60" s="20"/>
      <c r="J60" s="21"/>
      <c r="K60" t="s">
        <v>152</v>
      </c>
      <c r="L60" s="2" t="s">
        <v>28</v>
      </c>
      <c r="M60" s="2" t="s">
        <v>56</v>
      </c>
    </row>
    <row r="61" spans="1:13" ht="45">
      <c r="A61" s="24"/>
      <c r="B61" s="22"/>
      <c r="C61" s="23"/>
      <c r="D61" s="22"/>
      <c r="E61" s="23"/>
      <c r="F61" s="8" t="s">
        <v>154</v>
      </c>
      <c r="G61" s="10">
        <v>5</v>
      </c>
      <c r="H61" s="20"/>
      <c r="I61" s="20"/>
      <c r="J61" s="21"/>
      <c r="K61" t="s">
        <v>155</v>
      </c>
    </row>
    <row r="62" spans="1:13" ht="45">
      <c r="A62" s="24"/>
      <c r="B62" s="22"/>
      <c r="C62" s="23"/>
      <c r="D62" s="8" t="s">
        <v>156</v>
      </c>
      <c r="E62" s="9">
        <v>0.21111111111111111</v>
      </c>
      <c r="F62" s="8" t="s">
        <v>157</v>
      </c>
      <c r="G62" s="10">
        <v>5</v>
      </c>
      <c r="H62" s="11">
        <f>+AVERAGE(G62)</f>
        <v>5</v>
      </c>
      <c r="I62" s="20"/>
      <c r="J62" s="21"/>
      <c r="K62" t="s">
        <v>158</v>
      </c>
      <c r="L62" s="2" t="s">
        <v>29</v>
      </c>
    </row>
    <row r="63" spans="1:13" ht="60" customHeight="1">
      <c r="A63" s="24"/>
      <c r="B63" s="22"/>
      <c r="C63" s="23"/>
      <c r="D63" s="22" t="s">
        <v>159</v>
      </c>
      <c r="E63" s="23">
        <v>0.25</v>
      </c>
      <c r="F63" s="8" t="s">
        <v>160</v>
      </c>
      <c r="G63" s="10">
        <v>5</v>
      </c>
      <c r="H63" s="20">
        <f>+AVERAGE(G63:G64)</f>
        <v>5</v>
      </c>
      <c r="I63" s="20"/>
      <c r="J63" s="21"/>
      <c r="K63" t="s">
        <v>161</v>
      </c>
    </row>
    <row r="64" spans="1:13" ht="45">
      <c r="A64" s="24"/>
      <c r="B64" s="22"/>
      <c r="C64" s="23"/>
      <c r="D64" s="22"/>
      <c r="E64" s="23"/>
      <c r="F64" s="8" t="s">
        <v>162</v>
      </c>
      <c r="G64" s="10">
        <v>5</v>
      </c>
      <c r="H64" s="20"/>
      <c r="I64" s="20"/>
      <c r="J64" s="21"/>
      <c r="K64" t="s">
        <v>163</v>
      </c>
    </row>
    <row r="65" spans="1:19" ht="90" customHeight="1">
      <c r="A65" s="24">
        <v>7</v>
      </c>
      <c r="B65" s="22" t="s">
        <v>164</v>
      </c>
      <c r="C65" s="23">
        <v>0.10593792172739541</v>
      </c>
      <c r="D65" s="8" t="s">
        <v>165</v>
      </c>
      <c r="E65" s="9">
        <v>0.34782608695652173</v>
      </c>
      <c r="F65" s="8" t="s">
        <v>166</v>
      </c>
      <c r="G65" s="10">
        <v>4</v>
      </c>
      <c r="H65" s="11">
        <f>+AVERAGE(G65)</f>
        <v>4</v>
      </c>
      <c r="I65" s="20">
        <f>+AVERAGE(G65:G68)</f>
        <v>4.5</v>
      </c>
      <c r="J65" s="21" t="str">
        <f>IF(I3&gt;=4.5,"Se cumple plenamente",IF(I3&gt;=4,"Se cumple en alto grado",IF(I3&gt;=3.5,"Se cumple aceptablemente",IF(I3&gt;=2.5,"Se cumple insatisfactoriamente",IF(I3&gt;=1,"No se cumple","")))))</f>
        <v>Se cumple en alto grado</v>
      </c>
      <c r="K65" t="s">
        <v>167</v>
      </c>
      <c r="L65" s="2" t="s">
        <v>48</v>
      </c>
      <c r="M65" s="2" t="s">
        <v>168</v>
      </c>
      <c r="N65" s="2" t="s">
        <v>30</v>
      </c>
    </row>
    <row r="66" spans="1:19" ht="60" customHeight="1">
      <c r="A66" s="24"/>
      <c r="B66" s="22"/>
      <c r="C66" s="23"/>
      <c r="D66" s="22" t="s">
        <v>169</v>
      </c>
      <c r="E66" s="23">
        <v>0.40579710144927539</v>
      </c>
      <c r="F66" s="8" t="s">
        <v>170</v>
      </c>
      <c r="G66" s="10">
        <v>4</v>
      </c>
      <c r="I66" s="20"/>
      <c r="J66" s="21"/>
      <c r="L66" s="2" t="s">
        <v>83</v>
      </c>
      <c r="M66" s="2" t="s">
        <v>168</v>
      </c>
      <c r="N66" s="2" t="s">
        <v>30</v>
      </c>
    </row>
    <row r="67" spans="1:19" ht="75">
      <c r="A67" s="24"/>
      <c r="B67" s="22"/>
      <c r="C67" s="23"/>
      <c r="D67" s="22"/>
      <c r="E67" s="23"/>
      <c r="F67" s="8" t="s">
        <v>171</v>
      </c>
      <c r="G67" s="10">
        <v>5</v>
      </c>
      <c r="I67" s="20"/>
      <c r="J67" s="21"/>
      <c r="L67" s="2" t="s">
        <v>112</v>
      </c>
      <c r="M67" s="2" t="s">
        <v>97</v>
      </c>
      <c r="N67" s="2" t="s">
        <v>49</v>
      </c>
      <c r="O67" s="2" t="s">
        <v>83</v>
      </c>
      <c r="P67" s="2" t="s">
        <v>28</v>
      </c>
      <c r="Q67" s="2" t="s">
        <v>29</v>
      </c>
      <c r="R67" s="2" t="s">
        <v>168</v>
      </c>
      <c r="S67" s="2" t="s">
        <v>30</v>
      </c>
    </row>
    <row r="68" spans="1:19" ht="75" customHeight="1">
      <c r="A68" s="24"/>
      <c r="B68" s="22"/>
      <c r="C68" s="23"/>
      <c r="D68" s="8" t="s">
        <v>172</v>
      </c>
      <c r="E68" s="9">
        <v>0.24637681159420291</v>
      </c>
      <c r="F68" s="8" t="s">
        <v>173</v>
      </c>
      <c r="G68" s="10">
        <v>5</v>
      </c>
      <c r="H68" s="11">
        <f>+AVERAGE(G68)</f>
        <v>5</v>
      </c>
      <c r="I68" s="20"/>
      <c r="J68" s="21"/>
      <c r="K68" t="s">
        <v>174</v>
      </c>
      <c r="L68" s="2" t="s">
        <v>83</v>
      </c>
    </row>
    <row r="69" spans="1:19" ht="60">
      <c r="A69" s="24">
        <v>8</v>
      </c>
      <c r="B69" s="22" t="s">
        <v>175</v>
      </c>
      <c r="C69" s="23">
        <v>4.7908232118758436E-2</v>
      </c>
      <c r="D69" s="22" t="s">
        <v>176</v>
      </c>
      <c r="E69" s="23">
        <v>0.53333333333333333</v>
      </c>
      <c r="F69" s="8" t="s">
        <v>177</v>
      </c>
      <c r="G69" s="10">
        <v>5</v>
      </c>
      <c r="H69" s="20">
        <f>+AVERAGE(G66:G67)</f>
        <v>4.5</v>
      </c>
      <c r="I69" s="20">
        <f>+AVERAGE(G69:G72)</f>
        <v>5</v>
      </c>
      <c r="J69" s="21" t="str">
        <f>IF(I3&gt;=4.5,"Se cumple plenamente",IF(I3&gt;=4,"Se cumple en alto grado",IF(I3&gt;=3.5,"Se cumple aceptablemente",IF(I3&gt;=2.5,"Se cumple insatisfactoriamente",IF(I3&gt;=1,"No se cumple","")))))</f>
        <v>Se cumple en alto grado</v>
      </c>
      <c r="K69" t="s">
        <v>178</v>
      </c>
      <c r="L69" s="2" t="s">
        <v>63</v>
      </c>
      <c r="M69" s="2" t="s">
        <v>168</v>
      </c>
      <c r="N69" s="2" t="s">
        <v>30</v>
      </c>
      <c r="O69" s="2" t="s">
        <v>31</v>
      </c>
    </row>
    <row r="70" spans="1:19" ht="75" customHeight="1">
      <c r="A70" s="24"/>
      <c r="B70" s="22"/>
      <c r="C70" s="23"/>
      <c r="D70" s="22"/>
      <c r="E70" s="23"/>
      <c r="F70" s="8" t="s">
        <v>179</v>
      </c>
      <c r="G70" s="10">
        <v>5</v>
      </c>
      <c r="H70" s="20"/>
      <c r="I70" s="20"/>
      <c r="J70" s="21"/>
      <c r="L70" s="2" t="s">
        <v>97</v>
      </c>
      <c r="M70" s="2" t="s">
        <v>49</v>
      </c>
      <c r="N70" s="2" t="s">
        <v>28</v>
      </c>
      <c r="O70" s="2" t="s">
        <v>168</v>
      </c>
      <c r="P70" s="2" t="s">
        <v>30</v>
      </c>
      <c r="Q70" s="2" t="s">
        <v>31</v>
      </c>
      <c r="R70" s="2" t="s">
        <v>32</v>
      </c>
    </row>
    <row r="71" spans="1:19" ht="75" customHeight="1">
      <c r="A71" s="24"/>
      <c r="B71" s="22"/>
      <c r="C71" s="23"/>
      <c r="D71" s="22" t="s">
        <v>180</v>
      </c>
      <c r="E71" s="23">
        <v>0.46666666666666667</v>
      </c>
      <c r="F71" s="8" t="s">
        <v>181</v>
      </c>
      <c r="G71" s="10">
        <v>5</v>
      </c>
      <c r="H71" s="20">
        <f>+AVERAGE(G68:G69)</f>
        <v>5</v>
      </c>
      <c r="I71" s="20"/>
      <c r="J71" s="21"/>
      <c r="K71" t="s">
        <v>182</v>
      </c>
      <c r="L71" s="2" t="s">
        <v>63</v>
      </c>
    </row>
    <row r="72" spans="1:19" ht="90" customHeight="1">
      <c r="A72" s="24"/>
      <c r="B72" s="22"/>
      <c r="C72" s="23"/>
      <c r="D72" s="22"/>
      <c r="E72" s="23"/>
      <c r="F72" s="8" t="s">
        <v>183</v>
      </c>
      <c r="G72" s="10">
        <v>5</v>
      </c>
      <c r="H72" s="20"/>
      <c r="I72" s="20"/>
      <c r="J72" s="21"/>
      <c r="K72" t="s">
        <v>184</v>
      </c>
      <c r="L72" s="2" t="s">
        <v>64</v>
      </c>
      <c r="M72" s="2" t="s">
        <v>30</v>
      </c>
      <c r="N72" s="2" t="s">
        <v>31</v>
      </c>
      <c r="O72" s="2" t="s">
        <v>32</v>
      </c>
    </row>
    <row r="73" spans="1:19" ht="30">
      <c r="A73" s="24">
        <v>9</v>
      </c>
      <c r="B73" s="22" t="s">
        <v>185</v>
      </c>
      <c r="C73" s="23">
        <v>6.4102564102564097E-2</v>
      </c>
      <c r="D73" s="22" t="s">
        <v>186</v>
      </c>
      <c r="E73" s="23">
        <v>0.54761904761904767</v>
      </c>
      <c r="F73" s="8" t="s">
        <v>187</v>
      </c>
      <c r="G73" s="10">
        <v>5</v>
      </c>
      <c r="H73" s="20">
        <f>+AVERAGE(G70:G71)</f>
        <v>5</v>
      </c>
      <c r="I73" s="20">
        <f>+AVERAGE(G73:G76)</f>
        <v>4.75</v>
      </c>
      <c r="J73" s="21" t="str">
        <f>IF(I3&gt;=4.5,"Se cumple plenamente",IF(I3&gt;=4,"Se cumple en alto grado",IF(I3&gt;=3.5,"Se cumple aceptablemente",IF(I3&gt;=2.5,"Se cumple insatisfactoriamente",IF(I3&gt;=1,"No se cumple","")))))</f>
        <v>Se cumple en alto grado</v>
      </c>
    </row>
    <row r="74" spans="1:19" ht="105" customHeight="1">
      <c r="A74" s="24"/>
      <c r="B74" s="22"/>
      <c r="C74" s="23"/>
      <c r="D74" s="22"/>
      <c r="E74" s="23"/>
      <c r="F74" s="8" t="s">
        <v>188</v>
      </c>
      <c r="G74" s="10">
        <v>5</v>
      </c>
      <c r="H74" s="20"/>
      <c r="I74" s="20"/>
      <c r="J74" s="21"/>
      <c r="L74" s="2" t="s">
        <v>56</v>
      </c>
    </row>
    <row r="75" spans="1:19" ht="45">
      <c r="A75" s="24"/>
      <c r="B75" s="22"/>
      <c r="C75" s="23"/>
      <c r="D75" s="22" t="s">
        <v>189</v>
      </c>
      <c r="E75" s="23">
        <v>0.45238095238095238</v>
      </c>
      <c r="F75" s="8" t="s">
        <v>190</v>
      </c>
      <c r="G75" s="10">
        <v>5</v>
      </c>
      <c r="H75" s="20">
        <f>+AVERAGE(G72:G73)</f>
        <v>5</v>
      </c>
      <c r="I75" s="20"/>
      <c r="J75" s="21"/>
    </row>
    <row r="76" spans="1:19" ht="45">
      <c r="A76" s="24"/>
      <c r="B76" s="22"/>
      <c r="C76" s="23"/>
      <c r="D76" s="22"/>
      <c r="E76" s="23"/>
      <c r="F76" s="8" t="s">
        <v>191</v>
      </c>
      <c r="G76" s="10">
        <v>4</v>
      </c>
      <c r="H76" s="20"/>
      <c r="I76" s="20"/>
      <c r="J76" s="21"/>
    </row>
    <row r="77" spans="1:19" ht="75" customHeight="1">
      <c r="A77" s="24">
        <v>10</v>
      </c>
      <c r="B77" s="22" t="s">
        <v>192</v>
      </c>
      <c r="C77" s="23">
        <v>6.8825910931174086E-2</v>
      </c>
      <c r="D77" s="22" t="s">
        <v>193</v>
      </c>
      <c r="E77" s="23">
        <v>0.39855072463768115</v>
      </c>
      <c r="F77" s="8" t="s">
        <v>194</v>
      </c>
      <c r="G77" s="10">
        <v>5</v>
      </c>
      <c r="H77" s="20">
        <f>+AVERAGE(G77:G79)</f>
        <v>5</v>
      </c>
      <c r="I77" s="20">
        <f>+AVERAGE(G77:G84)</f>
        <v>5</v>
      </c>
      <c r="J77" s="21" t="str">
        <f>IF(I3&gt;=4.5,"Se cumple plenamente",IF(I3&gt;=4,"Se cumple en alto grado",IF(I3&gt;=3.5,"Se cumple aceptablemente",IF(I3&gt;=2.5,"Se cumple insatisfactoriamente",IF(I3&gt;=1,"No se cumple","")))))</f>
        <v>Se cumple en alto grado</v>
      </c>
      <c r="K77" t="s">
        <v>195</v>
      </c>
    </row>
    <row r="78" spans="1:19" ht="75">
      <c r="A78" s="24"/>
      <c r="B78" s="22"/>
      <c r="C78" s="23"/>
      <c r="D78" s="22"/>
      <c r="E78" s="23"/>
      <c r="F78" s="8" t="s">
        <v>196</v>
      </c>
      <c r="G78" s="10">
        <v>5</v>
      </c>
      <c r="H78" s="20"/>
      <c r="I78" s="20"/>
      <c r="J78" s="21"/>
      <c r="K78" t="s">
        <v>197</v>
      </c>
      <c r="L78" s="2" t="s">
        <v>198</v>
      </c>
    </row>
    <row r="79" spans="1:19" ht="60">
      <c r="A79" s="24"/>
      <c r="B79" s="22"/>
      <c r="C79" s="23"/>
      <c r="D79" s="22"/>
      <c r="E79" s="23"/>
      <c r="F79" s="8" t="s">
        <v>199</v>
      </c>
      <c r="G79" s="10"/>
      <c r="H79" s="20"/>
      <c r="I79" s="20"/>
      <c r="J79" s="21"/>
      <c r="K79" t="s">
        <v>126</v>
      </c>
    </row>
    <row r="80" spans="1:19" ht="75" customHeight="1">
      <c r="A80" s="24"/>
      <c r="B80" s="22"/>
      <c r="C80" s="23"/>
      <c r="D80" s="22" t="s">
        <v>200</v>
      </c>
      <c r="E80" s="23">
        <v>0.35507246376811596</v>
      </c>
      <c r="F80" s="8" t="s">
        <v>201</v>
      </c>
      <c r="G80" s="10">
        <v>5</v>
      </c>
      <c r="H80" s="20">
        <f>+AVERAGE(G80:G82)</f>
        <v>5</v>
      </c>
      <c r="I80" s="20"/>
      <c r="J80" s="21"/>
      <c r="K80" t="s">
        <v>202</v>
      </c>
      <c r="L80" s="2" t="s">
        <v>30</v>
      </c>
    </row>
    <row r="81" spans="1:14" ht="60">
      <c r="A81" s="24"/>
      <c r="B81" s="22"/>
      <c r="C81" s="23"/>
      <c r="D81" s="22"/>
      <c r="E81" s="23"/>
      <c r="F81" s="8" t="s">
        <v>203</v>
      </c>
      <c r="G81" s="10">
        <v>5</v>
      </c>
      <c r="H81" s="20"/>
      <c r="I81" s="20"/>
      <c r="J81" s="21"/>
      <c r="L81" s="2" t="s">
        <v>28</v>
      </c>
      <c r="M81" s="2" t="s">
        <v>168</v>
      </c>
      <c r="N81" s="2" t="s">
        <v>30</v>
      </c>
    </row>
    <row r="82" spans="1:14" ht="60">
      <c r="A82" s="24"/>
      <c r="B82" s="22"/>
      <c r="C82" s="23"/>
      <c r="D82" s="22"/>
      <c r="E82" s="23"/>
      <c r="F82" s="8" t="s">
        <v>204</v>
      </c>
      <c r="G82" s="10"/>
      <c r="H82" s="20"/>
      <c r="I82" s="20"/>
      <c r="J82" s="21"/>
      <c r="K82" t="s">
        <v>126</v>
      </c>
    </row>
    <row r="83" spans="1:14" ht="75" customHeight="1">
      <c r="A83" s="24"/>
      <c r="B83" s="22"/>
      <c r="C83" s="23"/>
      <c r="D83" s="22" t="s">
        <v>205</v>
      </c>
      <c r="E83" s="23">
        <v>0.24637681159420291</v>
      </c>
      <c r="F83" s="8" t="s">
        <v>206</v>
      </c>
      <c r="G83" s="10">
        <v>5</v>
      </c>
      <c r="H83" s="20">
        <f>+AVERAGE(G80:G81)</f>
        <v>5</v>
      </c>
      <c r="I83" s="20"/>
      <c r="J83" s="21"/>
      <c r="K83" t="s">
        <v>207</v>
      </c>
    </row>
    <row r="84" spans="1:14" ht="75">
      <c r="A84" s="24"/>
      <c r="B84" s="22"/>
      <c r="C84" s="23"/>
      <c r="D84" s="22"/>
      <c r="E84" s="23"/>
      <c r="F84" s="8" t="s">
        <v>208</v>
      </c>
      <c r="G84" s="10">
        <v>5</v>
      </c>
      <c r="H84" s="20"/>
      <c r="I84" s="20"/>
      <c r="J84" s="21"/>
      <c r="K84" t="s">
        <v>207</v>
      </c>
      <c r="L84" s="2" t="s">
        <v>198</v>
      </c>
    </row>
    <row r="85" spans="1:14" ht="60" customHeight="1">
      <c r="A85" s="24">
        <v>11</v>
      </c>
      <c r="B85" s="22" t="s">
        <v>209</v>
      </c>
      <c r="C85" s="23">
        <v>6.6801619433198386E-2</v>
      </c>
      <c r="D85" s="22" t="s">
        <v>210</v>
      </c>
      <c r="E85" s="23">
        <v>0.23015873015873015</v>
      </c>
      <c r="F85" s="8" t="s">
        <v>211</v>
      </c>
      <c r="G85" s="10">
        <v>5</v>
      </c>
      <c r="H85" s="20">
        <f>+AVERAGE(G82:G83)</f>
        <v>5</v>
      </c>
      <c r="I85" s="20">
        <f>+AVERAGE(G85:G97)</f>
        <v>5</v>
      </c>
      <c r="J85" s="21" t="str">
        <f>IF(I3&gt;=4.5,"Se cumple plenamente",IF(I3&gt;=4,"Se cumple en alto grado",IF(I3&gt;=3.5,"Se cumple aceptablemente",IF(I3&gt;=2.5,"Se cumple insatisfactoriamente",IF(I3&gt;=1,"No se cumple","")))))</f>
        <v>Se cumple en alto grado</v>
      </c>
      <c r="K85" t="s">
        <v>212</v>
      </c>
    </row>
    <row r="86" spans="1:14" ht="60" customHeight="1">
      <c r="A86" s="24"/>
      <c r="B86" s="22"/>
      <c r="C86" s="23"/>
      <c r="D86" s="22"/>
      <c r="E86" s="23"/>
      <c r="F86" s="8" t="s">
        <v>213</v>
      </c>
      <c r="G86" s="10">
        <v>5</v>
      </c>
      <c r="H86" s="20"/>
      <c r="I86" s="20"/>
      <c r="J86" s="21"/>
      <c r="K86" t="s">
        <v>212</v>
      </c>
      <c r="L86" s="2" t="s">
        <v>27</v>
      </c>
      <c r="M86" s="2"/>
    </row>
    <row r="87" spans="1:14" ht="60" customHeight="1">
      <c r="A87" s="24"/>
      <c r="B87" s="22"/>
      <c r="C87" s="23"/>
      <c r="D87" s="22" t="s">
        <v>214</v>
      </c>
      <c r="E87" s="23">
        <v>0.21164021164021163</v>
      </c>
      <c r="F87" s="8" t="s">
        <v>215</v>
      </c>
      <c r="G87" s="10">
        <v>5</v>
      </c>
      <c r="H87" s="20">
        <f>+AVERAGE(G84:G85)</f>
        <v>5</v>
      </c>
      <c r="I87" s="20"/>
      <c r="J87" s="21"/>
      <c r="K87" t="s">
        <v>212</v>
      </c>
    </row>
    <row r="88" spans="1:14" ht="75" customHeight="1">
      <c r="A88" s="24"/>
      <c r="B88" s="22"/>
      <c r="C88" s="23"/>
      <c r="D88" s="22"/>
      <c r="E88" s="23"/>
      <c r="F88" s="8" t="s">
        <v>216</v>
      </c>
      <c r="G88" s="10">
        <v>5</v>
      </c>
      <c r="H88" s="20"/>
      <c r="I88" s="20"/>
      <c r="J88" s="21"/>
      <c r="K88" t="s">
        <v>217</v>
      </c>
      <c r="L88" s="2" t="s">
        <v>28</v>
      </c>
    </row>
    <row r="89" spans="1:14" ht="45">
      <c r="A89" s="24"/>
      <c r="B89" s="22"/>
      <c r="C89" s="23"/>
      <c r="D89" s="22" t="s">
        <v>218</v>
      </c>
      <c r="E89" s="23">
        <v>0.13227513227513227</v>
      </c>
      <c r="F89" s="8" t="s">
        <v>219</v>
      </c>
      <c r="G89" s="10">
        <v>5</v>
      </c>
      <c r="H89" s="20">
        <v>5</v>
      </c>
      <c r="I89" s="20"/>
      <c r="J89" s="21"/>
      <c r="K89" t="s">
        <v>217</v>
      </c>
    </row>
    <row r="90" spans="1:14" ht="60" customHeight="1">
      <c r="A90" s="24"/>
      <c r="B90" s="22"/>
      <c r="C90" s="23"/>
      <c r="D90" s="22"/>
      <c r="E90" s="23"/>
      <c r="F90" s="8" t="s">
        <v>220</v>
      </c>
      <c r="G90" s="10">
        <v>5</v>
      </c>
      <c r="H90" s="20"/>
      <c r="I90" s="20"/>
      <c r="J90" s="21"/>
      <c r="K90" t="s">
        <v>221</v>
      </c>
    </row>
    <row r="91" spans="1:14" ht="60" customHeight="1">
      <c r="A91" s="24"/>
      <c r="B91" s="22"/>
      <c r="C91" s="23"/>
      <c r="D91" s="22"/>
      <c r="E91" s="23"/>
      <c r="F91" s="8" t="s">
        <v>222</v>
      </c>
      <c r="G91" s="10">
        <v>5</v>
      </c>
      <c r="H91" s="20"/>
      <c r="I91" s="20"/>
      <c r="J91" s="21"/>
      <c r="K91" t="s">
        <v>221</v>
      </c>
    </row>
    <row r="92" spans="1:14" ht="60">
      <c r="A92" s="24"/>
      <c r="B92" s="22"/>
      <c r="C92" s="23"/>
      <c r="D92" s="22" t="s">
        <v>223</v>
      </c>
      <c r="E92" s="23">
        <v>0.11904761904761904</v>
      </c>
      <c r="F92" s="8" t="s">
        <v>224</v>
      </c>
      <c r="G92" s="10">
        <v>5</v>
      </c>
      <c r="H92" s="20">
        <f>+AVERAGE(G89:G90)</f>
        <v>5</v>
      </c>
      <c r="I92" s="20"/>
      <c r="J92" s="21"/>
    </row>
    <row r="93" spans="1:14" ht="30">
      <c r="A93" s="24"/>
      <c r="B93" s="22"/>
      <c r="C93" s="23"/>
      <c r="D93" s="22"/>
      <c r="E93" s="23"/>
      <c r="F93" s="8" t="s">
        <v>225</v>
      </c>
      <c r="G93" s="10">
        <v>5</v>
      </c>
      <c r="H93" s="20"/>
      <c r="I93" s="20"/>
      <c r="J93" s="21"/>
      <c r="K93" t="s">
        <v>226</v>
      </c>
    </row>
    <row r="94" spans="1:14" ht="75" customHeight="1">
      <c r="A94" s="24"/>
      <c r="B94" s="22"/>
      <c r="C94" s="23"/>
      <c r="D94" s="22" t="s">
        <v>227</v>
      </c>
      <c r="E94" s="23">
        <v>0.12962962962962962</v>
      </c>
      <c r="F94" s="8" t="s">
        <v>228</v>
      </c>
      <c r="G94" s="10">
        <v>5</v>
      </c>
      <c r="H94" s="20">
        <f>+AVERAGE(G91:G92)</f>
        <v>5</v>
      </c>
      <c r="I94" s="20"/>
      <c r="J94" s="21"/>
      <c r="K94" t="s">
        <v>229</v>
      </c>
    </row>
    <row r="95" spans="1:14" ht="45" customHeight="1">
      <c r="A95" s="24"/>
      <c r="B95" s="22"/>
      <c r="C95" s="23"/>
      <c r="D95" s="22"/>
      <c r="E95" s="23"/>
      <c r="F95" s="8" t="s">
        <v>230</v>
      </c>
      <c r="G95" s="10">
        <v>5</v>
      </c>
      <c r="H95" s="20"/>
      <c r="I95" s="20"/>
      <c r="J95" s="21"/>
      <c r="K95" t="s">
        <v>231</v>
      </c>
    </row>
    <row r="96" spans="1:14" ht="75" customHeight="1">
      <c r="A96" s="24"/>
      <c r="B96" s="22"/>
      <c r="C96" s="23"/>
      <c r="D96" s="22" t="s">
        <v>232</v>
      </c>
      <c r="E96" s="23">
        <v>0.17724867724867724</v>
      </c>
      <c r="F96" s="8" t="s">
        <v>233</v>
      </c>
      <c r="G96" s="10">
        <v>5</v>
      </c>
      <c r="H96" s="20">
        <f>+AVERAGE(G93:G94)</f>
        <v>5</v>
      </c>
      <c r="I96" s="20"/>
      <c r="J96" s="21"/>
      <c r="K96" t="s">
        <v>234</v>
      </c>
    </row>
    <row r="97" spans="1:12" ht="60" customHeight="1">
      <c r="A97" s="24"/>
      <c r="B97" s="22"/>
      <c r="C97" s="23"/>
      <c r="D97" s="22"/>
      <c r="E97" s="23"/>
      <c r="F97" s="8" t="s">
        <v>235</v>
      </c>
      <c r="G97" s="10"/>
      <c r="H97" s="20"/>
      <c r="I97" s="20"/>
      <c r="J97" s="21"/>
      <c r="K97" t="s">
        <v>126</v>
      </c>
    </row>
    <row r="98" spans="1:12" ht="75" customHeight="1">
      <c r="A98" s="24">
        <v>12</v>
      </c>
      <c r="B98" s="22" t="s">
        <v>236</v>
      </c>
      <c r="C98" s="23">
        <v>3.643724696356275E-2</v>
      </c>
      <c r="D98" s="22" t="s">
        <v>237</v>
      </c>
      <c r="E98" s="23">
        <v>0.52380952380952384</v>
      </c>
      <c r="F98" s="8" t="s">
        <v>238</v>
      </c>
      <c r="G98" s="10">
        <v>5</v>
      </c>
      <c r="H98" s="20">
        <f>+AVERAGE(G95:G96)</f>
        <v>5</v>
      </c>
      <c r="I98" s="20">
        <f>+AVERAGE(G98:G101)</f>
        <v>5</v>
      </c>
      <c r="J98" s="21" t="str">
        <f>IF(I3&gt;=4.5,"Se cumple plenamente",IF(I3&gt;=4,"Se cumple en alto grado",IF(I3&gt;=3.5,"Se cumple aceptablemente",IF(I3&gt;=2.5,"Se cumple insatisfactoriamente",IF(I3&gt;=1,"No se cumple","")))))</f>
        <v>Se cumple en alto grado</v>
      </c>
      <c r="L98" s="2" t="s">
        <v>54</v>
      </c>
    </row>
    <row r="99" spans="1:12" ht="60">
      <c r="A99" s="24"/>
      <c r="B99" s="22"/>
      <c r="C99" s="23"/>
      <c r="D99" s="22"/>
      <c r="E99" s="23"/>
      <c r="F99" s="8" t="s">
        <v>239</v>
      </c>
      <c r="G99" s="10">
        <v>5</v>
      </c>
      <c r="H99" s="20"/>
      <c r="I99" s="20"/>
      <c r="J99" s="21"/>
    </row>
    <row r="100" spans="1:12" ht="60">
      <c r="A100" s="24"/>
      <c r="B100" s="22"/>
      <c r="C100" s="23"/>
      <c r="D100" s="22" t="s">
        <v>240</v>
      </c>
      <c r="E100" s="23">
        <v>0.47619047619047616</v>
      </c>
      <c r="F100" s="8" t="s">
        <v>241</v>
      </c>
      <c r="G100" s="10">
        <v>5</v>
      </c>
      <c r="H100" s="20">
        <f>+AVERAGE(G97:G98)</f>
        <v>5</v>
      </c>
      <c r="I100" s="20"/>
      <c r="J100" s="21"/>
      <c r="K100" t="s">
        <v>202</v>
      </c>
    </row>
    <row r="101" spans="1:12" ht="45">
      <c r="A101" s="24"/>
      <c r="B101" s="22"/>
      <c r="C101" s="23"/>
      <c r="D101" s="22"/>
      <c r="E101" s="23"/>
      <c r="F101" s="8" t="s">
        <v>242</v>
      </c>
      <c r="G101" s="10">
        <v>5</v>
      </c>
      <c r="H101" s="20"/>
      <c r="I101" s="20"/>
      <c r="J101" s="21"/>
      <c r="K101" t="s">
        <v>217</v>
      </c>
    </row>
  </sheetData>
  <mergeCells count="178">
    <mergeCell ref="A7:A16"/>
    <mergeCell ref="B7:B16"/>
    <mergeCell ref="C7:C16"/>
    <mergeCell ref="D7:D10"/>
    <mergeCell ref="E7:E10"/>
    <mergeCell ref="H7:H10"/>
    <mergeCell ref="A3:A6"/>
    <mergeCell ref="B3:B6"/>
    <mergeCell ref="C3:C6"/>
    <mergeCell ref="I7:I16"/>
    <mergeCell ref="J7:J16"/>
    <mergeCell ref="D13:D14"/>
    <mergeCell ref="E13:E14"/>
    <mergeCell ref="H13:H14"/>
    <mergeCell ref="D15:D16"/>
    <mergeCell ref="E15:E16"/>
    <mergeCell ref="H15:H16"/>
    <mergeCell ref="V3:V4"/>
    <mergeCell ref="D4:D6"/>
    <mergeCell ref="E4:E6"/>
    <mergeCell ref="H4:H6"/>
    <mergeCell ref="I3:I6"/>
    <mergeCell ref="J3:J6"/>
    <mergeCell ref="T3:T4"/>
    <mergeCell ref="A17:A34"/>
    <mergeCell ref="B17:B34"/>
    <mergeCell ref="C17:C34"/>
    <mergeCell ref="D17:D18"/>
    <mergeCell ref="E17:E18"/>
    <mergeCell ref="H17:H18"/>
    <mergeCell ref="H25:H27"/>
    <mergeCell ref="D28:D29"/>
    <mergeCell ref="E28:E29"/>
    <mergeCell ref="H28:H29"/>
    <mergeCell ref="D30:D31"/>
    <mergeCell ref="E30:E31"/>
    <mergeCell ref="H30:H31"/>
    <mergeCell ref="D33:D34"/>
    <mergeCell ref="E33:E34"/>
    <mergeCell ref="H33:H34"/>
    <mergeCell ref="I17:I34"/>
    <mergeCell ref="J17:J34"/>
    <mergeCell ref="D19:D21"/>
    <mergeCell ref="E19:E21"/>
    <mergeCell ref="H19:H21"/>
    <mergeCell ref="D22:D24"/>
    <mergeCell ref="E22:E24"/>
    <mergeCell ref="H22:H24"/>
    <mergeCell ref="D25:D27"/>
    <mergeCell ref="E25:E27"/>
    <mergeCell ref="I35:I38"/>
    <mergeCell ref="J35:J38"/>
    <mergeCell ref="D37:D38"/>
    <mergeCell ref="E37:E38"/>
    <mergeCell ref="H37:H38"/>
    <mergeCell ref="A39:A57"/>
    <mergeCell ref="B39:B57"/>
    <mergeCell ref="C39:C57"/>
    <mergeCell ref="D39:D40"/>
    <mergeCell ref="E39:E40"/>
    <mergeCell ref="A35:A38"/>
    <mergeCell ref="B35:B38"/>
    <mergeCell ref="C35:C38"/>
    <mergeCell ref="D35:D36"/>
    <mergeCell ref="E35:E36"/>
    <mergeCell ref="H35:H36"/>
    <mergeCell ref="H39:H40"/>
    <mergeCell ref="I39:I57"/>
    <mergeCell ref="J39:J57"/>
    <mergeCell ref="D41:D42"/>
    <mergeCell ref="E41:E42"/>
    <mergeCell ref="H41:H42"/>
    <mergeCell ref="D43:D44"/>
    <mergeCell ref="E43:E44"/>
    <mergeCell ref="H43:H44"/>
    <mergeCell ref="D45:D47"/>
    <mergeCell ref="D54:D55"/>
    <mergeCell ref="E54:E55"/>
    <mergeCell ref="H54:H55"/>
    <mergeCell ref="D56:D57"/>
    <mergeCell ref="E56:E57"/>
    <mergeCell ref="H56:H57"/>
    <mergeCell ref="E45:E47"/>
    <mergeCell ref="H45:H47"/>
    <mergeCell ref="D48:D50"/>
    <mergeCell ref="E48:E50"/>
    <mergeCell ref="H48:H50"/>
    <mergeCell ref="D51:D52"/>
    <mergeCell ref="E51:E52"/>
    <mergeCell ref="H51:H52"/>
    <mergeCell ref="H63:H64"/>
    <mergeCell ref="A65:A68"/>
    <mergeCell ref="B65:B68"/>
    <mergeCell ref="C65:C68"/>
    <mergeCell ref="I65:I68"/>
    <mergeCell ref="J65:J68"/>
    <mergeCell ref="D66:D67"/>
    <mergeCell ref="E66:E67"/>
    <mergeCell ref="A58:A64"/>
    <mergeCell ref="B58:B64"/>
    <mergeCell ref="C58:C64"/>
    <mergeCell ref="I58:I64"/>
    <mergeCell ref="J58:J64"/>
    <mergeCell ref="D59:D61"/>
    <mergeCell ref="E59:E61"/>
    <mergeCell ref="H59:H61"/>
    <mergeCell ref="D63:D64"/>
    <mergeCell ref="E63:E64"/>
    <mergeCell ref="A73:A76"/>
    <mergeCell ref="B73:B76"/>
    <mergeCell ref="C73:C76"/>
    <mergeCell ref="D73:D74"/>
    <mergeCell ref="E73:E74"/>
    <mergeCell ref="A69:A72"/>
    <mergeCell ref="B69:B72"/>
    <mergeCell ref="C69:C72"/>
    <mergeCell ref="D69:D70"/>
    <mergeCell ref="E69:E70"/>
    <mergeCell ref="H73:H74"/>
    <mergeCell ref="I73:I76"/>
    <mergeCell ref="J73:J76"/>
    <mergeCell ref="D75:D76"/>
    <mergeCell ref="E75:E76"/>
    <mergeCell ref="H75:H76"/>
    <mergeCell ref="I69:I72"/>
    <mergeCell ref="J69:J72"/>
    <mergeCell ref="D71:D72"/>
    <mergeCell ref="E71:E72"/>
    <mergeCell ref="H71:H72"/>
    <mergeCell ref="H69:H70"/>
    <mergeCell ref="I77:I84"/>
    <mergeCell ref="J77:J84"/>
    <mergeCell ref="D80:D82"/>
    <mergeCell ref="E80:E82"/>
    <mergeCell ref="H80:H82"/>
    <mergeCell ref="D83:D84"/>
    <mergeCell ref="E83:E84"/>
    <mergeCell ref="H83:H84"/>
    <mergeCell ref="A77:A84"/>
    <mergeCell ref="B77:B84"/>
    <mergeCell ref="C77:C84"/>
    <mergeCell ref="D77:D79"/>
    <mergeCell ref="E77:E79"/>
    <mergeCell ref="H77:H79"/>
    <mergeCell ref="A85:A97"/>
    <mergeCell ref="B85:B97"/>
    <mergeCell ref="C85:C97"/>
    <mergeCell ref="D85:D86"/>
    <mergeCell ref="E85:E86"/>
    <mergeCell ref="H85:H86"/>
    <mergeCell ref="H92:H93"/>
    <mergeCell ref="D94:D95"/>
    <mergeCell ref="E94:E95"/>
    <mergeCell ref="H94:H95"/>
    <mergeCell ref="I98:I101"/>
    <mergeCell ref="J98:J101"/>
    <mergeCell ref="D100:D101"/>
    <mergeCell ref="E100:E101"/>
    <mergeCell ref="H100:H101"/>
    <mergeCell ref="D96:D97"/>
    <mergeCell ref="E96:E97"/>
    <mergeCell ref="H96:H97"/>
    <mergeCell ref="A98:A101"/>
    <mergeCell ref="B98:B101"/>
    <mergeCell ref="C98:C101"/>
    <mergeCell ref="D98:D99"/>
    <mergeCell ref="E98:E99"/>
    <mergeCell ref="H98:H99"/>
    <mergeCell ref="I85:I97"/>
    <mergeCell ref="J85:J97"/>
    <mergeCell ref="D87:D88"/>
    <mergeCell ref="E87:E88"/>
    <mergeCell ref="H87:H88"/>
    <mergeCell ref="D89:D91"/>
    <mergeCell ref="E89:E91"/>
    <mergeCell ref="H89:H91"/>
    <mergeCell ref="D92:D93"/>
    <mergeCell ref="E92:E93"/>
  </mergeCells>
  <pageMargins left="0.7" right="0.7" top="0.75" bottom="0.75" header="0.3" footer="0.3"/>
  <pageSetup scale="18" fitToHeight="0"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Props1.xml><?xml version="1.0" encoding="utf-8"?>
<ds:datastoreItem xmlns:ds="http://schemas.openxmlformats.org/officeDocument/2006/customXml" ds:itemID="{0DA53986-C4C1-4FB7-8F3D-4D0DDE01BA26}"/>
</file>

<file path=customXml/itemProps2.xml><?xml version="1.0" encoding="utf-8"?>
<ds:datastoreItem xmlns:ds="http://schemas.openxmlformats.org/officeDocument/2006/customXml" ds:itemID="{AAA352CD-3CA2-4B97-AD68-D6A9C42F56B3}"/>
</file>

<file path=customXml/itemProps3.xml><?xml version="1.0" encoding="utf-8"?>
<ds:datastoreItem xmlns:ds="http://schemas.openxmlformats.org/officeDocument/2006/customXml" ds:itemID="{50147F02-5A0E-428F-8BF4-5F3881727F5E}"/>
</file>

<file path=docProps/app.xml><?xml version="1.0" encoding="utf-8"?>
<Properties xmlns="http://schemas.openxmlformats.org/officeDocument/2006/extended-properties" xmlns:vt="http://schemas.openxmlformats.org/officeDocument/2006/docPropsVTypes">
  <Application>Microsoft Excel Online</Application>
  <Manager/>
  <Company>Universidad Distrital Francisco José de Caldas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RUBIANO SUAREZ ALISON KATHERINE</dc:creator>
  <cp:keywords/>
  <dc:description/>
  <cp:lastModifiedBy>WILLIAM ENRIQUE FORERO NEIRA</cp:lastModifiedBy>
  <cp:revision/>
  <dcterms:created xsi:type="dcterms:W3CDTF">2025-09-02T12:59:10Z</dcterms:created>
  <dcterms:modified xsi:type="dcterms:W3CDTF">2025-09-07T15:37:08Z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