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6" documentId="6_{6AA361D4-14EC-4C14-AD5F-05245B0440DE}" xr6:coauthVersionLast="36" xr6:coauthVersionMax="47" xr10:uidLastSave="{5917FD46-F806-4B22-8E89-3EF4397A22F0}"/>
  <bookViews>
    <workbookView xWindow="-110" yWindow="-110" windowWidth="19430" windowHeight="10430" firstSheet="1" activeTab="12" xr2:uid="{00000000-000D-0000-FFFF-FFFF00000000}"/>
  </bookViews>
  <sheets>
    <sheet name="FACTORES" sheetId="1" r:id="rId1"/>
    <sheet name="PEP" sheetId="3" r:id="rId2"/>
    <sheet name="EST" sheetId="10" r:id="rId3"/>
    <sheet name="DOC" sheetId="11" r:id="rId4"/>
    <sheet name="FAC 5" sheetId="12" r:id="rId5"/>
    <sheet name="FAC 6" sheetId="13" r:id="rId6"/>
    <sheet name="FAC 7" sheetId="14" r:id="rId7"/>
    <sheet name="FAC 8" sheetId="15" r:id="rId8"/>
    <sheet name="FAC 9" sheetId="16" r:id="rId9"/>
    <sheet name="FAC 10" sheetId="17" r:id="rId10"/>
    <sheet name="FAC 11" sheetId="18" r:id="rId11"/>
    <sheet name="FAC 12" sheetId="19" r:id="rId12"/>
    <sheet name="Graficos" sheetId="2" r:id="rId13"/>
    <sheet name="Ponderacion" sheetId="20" r:id="rId14"/>
    <sheet name="Hoja2" sheetId="21" r:id="rId15"/>
    <sheet name="anterior" sheetId="22" r:id="rId16"/>
    <sheet name="Hoja5" sheetId="24" r:id="rId17"/>
    <sheet name="Hoja1" sheetId="25" r:id="rId18"/>
    <sheet name="Hoja3" sheetId="26" r:id="rId19"/>
  </sheets>
  <definedNames>
    <definedName name="_xlnm._FilterDatabase" localSheetId="3" hidden="1">DOC!$A$1:$J$65</definedName>
    <definedName name="_xlnm._FilterDatabase" localSheetId="2" hidden="1">EST!$A$1:$J$26</definedName>
    <definedName name="_xlnm._FilterDatabase" localSheetId="10" hidden="1">'FAC 11'!$A$1:$J$37</definedName>
    <definedName name="_xlnm._FilterDatabase" localSheetId="4" hidden="1">'FAC 5'!$A$1:$J$82</definedName>
    <definedName name="_xlnm._FilterDatabase" localSheetId="5" hidden="1">'FAC 6'!$A$1:$J$17</definedName>
    <definedName name="_xlnm._FilterDatabase" localSheetId="0" hidden="1">FACTORES!$A$1:$L$145</definedName>
    <definedName name="_xlnm._FilterDatabase" localSheetId="17" hidden="1">Hoja1!$A$1:$D$30</definedName>
    <definedName name="_Hlk137488061" localSheetId="13">Ponderacion!$A$1</definedName>
    <definedName name="_Toc474160443" localSheetId="15">anterior!$A$15</definedName>
    <definedName name="_Toc474160444" localSheetId="15">anterior!$A$20</definedName>
    <definedName name="_Toc9345829" localSheetId="15">anterior!$A$16</definedName>
    <definedName name="_Toc9345832" localSheetId="15">anterior!$A$21</definedName>
    <definedName name="_Toc9345835" localSheetId="15">anterior!$A$26</definedName>
    <definedName name="_Toc9345838" localSheetId="15">anterior!$B$31</definedName>
    <definedName name="_Toc9345841" localSheetId="15">anterior!$H$11</definedName>
    <definedName name="_Toc9345844" localSheetId="15">anterior!$H$16</definedName>
    <definedName name="_Toc9345847" localSheetId="15">anterior!$H$21</definedName>
    <definedName name="_Toc9345850" localSheetId="15">anterior!$H$26</definedName>
    <definedName name="_Toc9345853" localSheetId="15">anterior!$H$31</definedName>
    <definedName name="_Toc9345856" localSheetId="15">anterior!$B$38</definedName>
    <definedName name="_Toc9348702" localSheetId="15">anterior!$A$10</definedName>
    <definedName name="_Toc9348705" localSheetId="15">anterior!$A$25</definedName>
    <definedName name="_Toc9348706" localSheetId="15">anterior!$A$30</definedName>
    <definedName name="_Toc9348707" localSheetId="15">anterior!$H$10</definedName>
    <definedName name="_Toc9348708" localSheetId="15">anterior!$H$15</definedName>
    <definedName name="_Toc9348709" localSheetId="15">anterior!$H$20</definedName>
    <definedName name="_Toc9348710" localSheetId="15">anterior!$H$25</definedName>
    <definedName name="_Toc9348711" localSheetId="15">anterior!$H$30</definedName>
    <definedName name="_Toc9348712" localSheetId="15">anterior!$B$36</definedName>
    <definedName name="_xlchart.v2.0" hidden="1">Graficos!$B$3:$B$14</definedName>
    <definedName name="_xlchart.v2.1" hidden="1">Graficos!$C$2</definedName>
    <definedName name="_xlchart.v2.2" hidden="1">Graficos!$C$3:$C$14</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 i="26" l="1"/>
  <c r="G6" i="26"/>
  <c r="G7" i="26"/>
  <c r="G8" i="26"/>
  <c r="G9" i="26"/>
  <c r="G10" i="26"/>
  <c r="G16" i="26" s="1"/>
  <c r="G11" i="26"/>
  <c r="G12" i="26"/>
  <c r="G13" i="26"/>
  <c r="G14" i="26"/>
  <c r="G15" i="26"/>
  <c r="G4" i="26"/>
  <c r="E16" i="26"/>
  <c r="E5" i="26"/>
  <c r="E6" i="26"/>
  <c r="E7" i="26"/>
  <c r="E8" i="26"/>
  <c r="E9" i="26"/>
  <c r="E10" i="26"/>
  <c r="E11" i="26"/>
  <c r="E12" i="26"/>
  <c r="E13" i="26"/>
  <c r="E14" i="26"/>
  <c r="E15" i="26"/>
  <c r="E4" i="26"/>
  <c r="D16" i="26"/>
  <c r="F16" i="26"/>
  <c r="H100" i="24" l="1"/>
  <c r="H98" i="24"/>
  <c r="H96" i="24"/>
  <c r="H94" i="24"/>
  <c r="H92" i="24"/>
  <c r="H87" i="24"/>
  <c r="H85" i="24"/>
  <c r="H83" i="24"/>
  <c r="H80" i="24"/>
  <c r="H77" i="24"/>
  <c r="H75" i="24"/>
  <c r="H73" i="24"/>
  <c r="H71" i="24"/>
  <c r="H68" i="24"/>
  <c r="H69" i="24"/>
  <c r="H65" i="24"/>
  <c r="H63" i="24"/>
  <c r="H62" i="24"/>
  <c r="H59" i="24"/>
  <c r="H58" i="24"/>
  <c r="H53" i="24"/>
  <c r="H56" i="24"/>
  <c r="H54" i="24"/>
  <c r="H51" i="24"/>
  <c r="H48" i="24"/>
  <c r="H45" i="24"/>
  <c r="H43" i="24"/>
  <c r="H41" i="24"/>
  <c r="H39" i="24"/>
  <c r="H37" i="24"/>
  <c r="H35" i="24"/>
  <c r="H32" i="24"/>
  <c r="H33" i="24"/>
  <c r="H30" i="24"/>
  <c r="H28" i="24"/>
  <c r="H25" i="24"/>
  <c r="H22" i="24"/>
  <c r="H19" i="24"/>
  <c r="H17" i="24"/>
  <c r="H15" i="24"/>
  <c r="H13" i="24"/>
  <c r="H12" i="24"/>
  <c r="H11" i="24"/>
  <c r="H3" i="24"/>
  <c r="H7" i="24"/>
  <c r="H4" i="24"/>
  <c r="I3" i="24"/>
  <c r="J98" i="24"/>
  <c r="J85" i="24"/>
  <c r="J77" i="24"/>
  <c r="J73" i="24"/>
  <c r="J69" i="24"/>
  <c r="J65" i="24"/>
  <c r="J58" i="24"/>
  <c r="J39" i="24"/>
  <c r="J35" i="24"/>
  <c r="J17" i="24"/>
  <c r="J7" i="24"/>
  <c r="J3" i="24"/>
  <c r="I65" i="24"/>
  <c r="I73" i="24"/>
  <c r="I98" i="24"/>
  <c r="I85" i="24"/>
  <c r="I77" i="24"/>
  <c r="I69" i="24"/>
  <c r="I58" i="24"/>
  <c r="I39" i="24"/>
  <c r="I35" i="24"/>
  <c r="I17" i="24"/>
  <c r="I7" i="24"/>
  <c r="G2" i="1" l="1"/>
  <c r="G5" i="19"/>
  <c r="H5" i="19" s="1"/>
  <c r="G4" i="19"/>
  <c r="H4" i="19" s="1"/>
  <c r="G3" i="19"/>
  <c r="H3" i="19" s="1"/>
  <c r="G2" i="19"/>
  <c r="H2" i="19" s="1"/>
  <c r="H1" i="19"/>
  <c r="H1" i="18"/>
  <c r="H1" i="17"/>
  <c r="H1" i="16"/>
  <c r="H1" i="15"/>
  <c r="H1" i="14"/>
  <c r="H1" i="13"/>
  <c r="H1" i="12"/>
  <c r="H1" i="11"/>
  <c r="H1" i="10"/>
  <c r="H1" i="3"/>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2" i="18"/>
  <c r="H3" i="18"/>
  <c r="H4" i="18"/>
  <c r="H7" i="18"/>
  <c r="H6" i="18"/>
  <c r="H5" i="18"/>
  <c r="H10" i="17"/>
  <c r="H9" i="17"/>
  <c r="H8" i="17"/>
  <c r="H7" i="17"/>
  <c r="H6" i="17"/>
  <c r="H5" i="17"/>
  <c r="I5" i="17" s="1"/>
  <c r="H4" i="17"/>
  <c r="H3" i="17"/>
  <c r="H2" i="17"/>
  <c r="G5" i="16"/>
  <c r="H5" i="16" s="1"/>
  <c r="G4" i="16"/>
  <c r="H4" i="16" s="1"/>
  <c r="I4" i="16" s="1"/>
  <c r="G3" i="16"/>
  <c r="H3" i="16" s="1"/>
  <c r="G2" i="16"/>
  <c r="H2" i="16" s="1"/>
  <c r="G5" i="15"/>
  <c r="H5" i="15" s="1"/>
  <c r="G4" i="15"/>
  <c r="H4" i="15" s="1"/>
  <c r="G3" i="15"/>
  <c r="H3" i="15" s="1"/>
  <c r="G2" i="15"/>
  <c r="H2" i="15" s="1"/>
  <c r="H5" i="14"/>
  <c r="H6" i="14"/>
  <c r="H7" i="14"/>
  <c r="H8" i="14"/>
  <c r="H9" i="14"/>
  <c r="H10" i="14"/>
  <c r="H4" i="14"/>
  <c r="H3" i="14"/>
  <c r="H2" i="14"/>
  <c r="H6" i="13"/>
  <c r="H7" i="13"/>
  <c r="H8" i="13"/>
  <c r="H9" i="13"/>
  <c r="H10" i="13"/>
  <c r="H11" i="13"/>
  <c r="H12" i="13"/>
  <c r="H13" i="13"/>
  <c r="H14" i="13"/>
  <c r="H15" i="13"/>
  <c r="H16" i="13"/>
  <c r="H17" i="13"/>
  <c r="H5" i="13"/>
  <c r="H4" i="13"/>
  <c r="H3" i="13"/>
  <c r="H2" i="13"/>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3" i="12"/>
  <c r="H4" i="12"/>
  <c r="H5" i="12"/>
  <c r="H6" i="12"/>
  <c r="H7" i="12"/>
  <c r="H8" i="12"/>
  <c r="H9" i="12"/>
  <c r="H10" i="12"/>
  <c r="H2" i="12"/>
  <c r="G65" i="11"/>
  <c r="H65" i="11" s="1"/>
  <c r="G64" i="11"/>
  <c r="H64" i="11" s="1"/>
  <c r="G63" i="11"/>
  <c r="H63" i="11" s="1"/>
  <c r="G62" i="11"/>
  <c r="H62" i="11" s="1"/>
  <c r="G61" i="11"/>
  <c r="H61" i="11" s="1"/>
  <c r="G60" i="11"/>
  <c r="H60" i="11" s="1"/>
  <c r="G59" i="11"/>
  <c r="H59" i="11" s="1"/>
  <c r="G58" i="11"/>
  <c r="H58" i="11" s="1"/>
  <c r="G57" i="11"/>
  <c r="H57" i="11" s="1"/>
  <c r="G56" i="11"/>
  <c r="H56" i="11" s="1"/>
  <c r="G55" i="11"/>
  <c r="H55" i="11" s="1"/>
  <c r="G54" i="11"/>
  <c r="H54" i="11" s="1"/>
  <c r="G53" i="11"/>
  <c r="H53" i="11" s="1"/>
  <c r="G52" i="11"/>
  <c r="H52" i="11" s="1"/>
  <c r="G51" i="11"/>
  <c r="H51" i="11" s="1"/>
  <c r="G50" i="11"/>
  <c r="H50" i="11" s="1"/>
  <c r="G49" i="11"/>
  <c r="H49" i="11" s="1"/>
  <c r="G48" i="11"/>
  <c r="H48" i="11" s="1"/>
  <c r="G47" i="11"/>
  <c r="H47" i="11" s="1"/>
  <c r="G46" i="11"/>
  <c r="H46" i="11" s="1"/>
  <c r="G45" i="11"/>
  <c r="H45" i="11" s="1"/>
  <c r="G44" i="11"/>
  <c r="H44" i="11" s="1"/>
  <c r="G43" i="11"/>
  <c r="H43" i="11" s="1"/>
  <c r="G42" i="11"/>
  <c r="H42" i="11" s="1"/>
  <c r="G41" i="11"/>
  <c r="H41" i="11" s="1"/>
  <c r="G40" i="11"/>
  <c r="H40" i="11" s="1"/>
  <c r="G39" i="11"/>
  <c r="H39" i="11" s="1"/>
  <c r="G38" i="11"/>
  <c r="H38" i="11" s="1"/>
  <c r="G37" i="11"/>
  <c r="H37" i="11" s="1"/>
  <c r="G36" i="11"/>
  <c r="H36" i="11" s="1"/>
  <c r="G35" i="11"/>
  <c r="H35" i="11" s="1"/>
  <c r="G34" i="11"/>
  <c r="H34" i="11" s="1"/>
  <c r="G33" i="11"/>
  <c r="H33" i="11" s="1"/>
  <c r="G32" i="11"/>
  <c r="H32" i="11" s="1"/>
  <c r="G31" i="11"/>
  <c r="H31" i="11" s="1"/>
  <c r="G30" i="11"/>
  <c r="H30" i="11" s="1"/>
  <c r="G29" i="11"/>
  <c r="H29" i="11" s="1"/>
  <c r="G28" i="11"/>
  <c r="H28" i="11" s="1"/>
  <c r="G27" i="11"/>
  <c r="H27" i="11" s="1"/>
  <c r="G26" i="11"/>
  <c r="H26" i="11" s="1"/>
  <c r="G25" i="11"/>
  <c r="H25" i="11" s="1"/>
  <c r="G24" i="11"/>
  <c r="H24" i="11" s="1"/>
  <c r="G23" i="11"/>
  <c r="H23" i="11" s="1"/>
  <c r="G22" i="11"/>
  <c r="H22" i="11" s="1"/>
  <c r="G21" i="11"/>
  <c r="H21" i="11" s="1"/>
  <c r="G20" i="11"/>
  <c r="H20" i="11" s="1"/>
  <c r="G19" i="11"/>
  <c r="H19" i="11" s="1"/>
  <c r="G18" i="11"/>
  <c r="H18" i="11" s="1"/>
  <c r="G17" i="11"/>
  <c r="H17" i="11" s="1"/>
  <c r="G16" i="11"/>
  <c r="H16" i="11" s="1"/>
  <c r="G15" i="11"/>
  <c r="H15" i="11" s="1"/>
  <c r="G14" i="11"/>
  <c r="H14" i="11" s="1"/>
  <c r="G13" i="11"/>
  <c r="H13" i="11" s="1"/>
  <c r="G12" i="11"/>
  <c r="H12" i="11" s="1"/>
  <c r="G11" i="11"/>
  <c r="H11" i="11" s="1"/>
  <c r="G10" i="11"/>
  <c r="H10" i="11" s="1"/>
  <c r="G9" i="11"/>
  <c r="H9" i="11" s="1"/>
  <c r="G8" i="11"/>
  <c r="H8" i="11" s="1"/>
  <c r="G7" i="11"/>
  <c r="H7" i="11" s="1"/>
  <c r="G6" i="11"/>
  <c r="H6" i="11" s="1"/>
  <c r="G5" i="11"/>
  <c r="H5" i="11" s="1"/>
  <c r="G4" i="11"/>
  <c r="H4" i="11" s="1"/>
  <c r="G3" i="11"/>
  <c r="H3" i="11" s="1"/>
  <c r="G2" i="11"/>
  <c r="H2" i="11" s="1"/>
  <c r="G26" i="10"/>
  <c r="H26" i="10" s="1"/>
  <c r="G25" i="10"/>
  <c r="H25" i="10" s="1"/>
  <c r="G24" i="10"/>
  <c r="H24" i="10" s="1"/>
  <c r="G23" i="10"/>
  <c r="H23" i="10" s="1"/>
  <c r="G22" i="10"/>
  <c r="H22" i="10" s="1"/>
  <c r="G21" i="10"/>
  <c r="H21" i="10" s="1"/>
  <c r="G20" i="10"/>
  <c r="H20" i="10" s="1"/>
  <c r="G19" i="10"/>
  <c r="H19" i="10" s="1"/>
  <c r="G18" i="10"/>
  <c r="H18" i="10" s="1"/>
  <c r="G17" i="10"/>
  <c r="H17" i="10" s="1"/>
  <c r="G16" i="10"/>
  <c r="H16" i="10" s="1"/>
  <c r="G15" i="10"/>
  <c r="H15" i="10" s="1"/>
  <c r="G14" i="10"/>
  <c r="H14" i="10" s="1"/>
  <c r="G13" i="10"/>
  <c r="H13" i="10" s="1"/>
  <c r="G12" i="10"/>
  <c r="H12" i="10" s="1"/>
  <c r="G11" i="10"/>
  <c r="H11" i="10" s="1"/>
  <c r="G10" i="10"/>
  <c r="H10" i="10" s="1"/>
  <c r="G9" i="10"/>
  <c r="H9" i="10" s="1"/>
  <c r="G8" i="10"/>
  <c r="H8" i="10" s="1"/>
  <c r="G7" i="10"/>
  <c r="H7" i="10" s="1"/>
  <c r="G6" i="10"/>
  <c r="H6" i="10" s="1"/>
  <c r="G5" i="10"/>
  <c r="H5" i="10" s="1"/>
  <c r="G4" i="10"/>
  <c r="H4" i="10" s="1"/>
  <c r="G3" i="10"/>
  <c r="H3" i="10" s="1"/>
  <c r="G2" i="10"/>
  <c r="H2" i="10" s="1"/>
  <c r="G5" i="3"/>
  <c r="H5" i="3" s="1"/>
  <c r="G4" i="3"/>
  <c r="H4" i="3" s="1"/>
  <c r="I4" i="3" s="1"/>
  <c r="G3" i="3"/>
  <c r="H3" i="3" s="1"/>
  <c r="G2" i="3"/>
  <c r="H2" i="3" s="1"/>
  <c r="I2" i="3" s="1"/>
  <c r="I1" i="3" s="1"/>
  <c r="J2" i="3" s="1"/>
  <c r="C18" i="2" s="1"/>
  <c r="E2" i="20" s="1"/>
  <c r="H1" i="1"/>
  <c r="G3" i="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H78" i="1" s="1"/>
  <c r="G79" i="1"/>
  <c r="H79" i="1" s="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H141" i="1" s="1"/>
  <c r="G142" i="1"/>
  <c r="H142" i="1" s="1"/>
  <c r="G143" i="1"/>
  <c r="H143" i="1" s="1"/>
  <c r="G144" i="1"/>
  <c r="H144" i="1" s="1"/>
  <c r="G145" i="1"/>
  <c r="H145" i="1" s="1"/>
  <c r="H2" i="1"/>
  <c r="I8" i="17" l="1"/>
  <c r="I2" i="13"/>
  <c r="I2" i="15"/>
  <c r="I2" i="19"/>
  <c r="I2" i="16"/>
  <c r="I1" i="16" s="1"/>
  <c r="I11" i="12"/>
  <c r="I10" i="13"/>
  <c r="I5" i="14"/>
  <c r="I32" i="18"/>
  <c r="I2" i="18"/>
  <c r="I14" i="18"/>
  <c r="I20" i="18"/>
  <c r="I8" i="18"/>
  <c r="I26" i="18"/>
  <c r="I6" i="13"/>
  <c r="I1" i="13" s="1"/>
  <c r="J2" i="13" s="1"/>
  <c r="C54" i="2" s="1"/>
  <c r="E28" i="20" s="1"/>
  <c r="I14" i="13"/>
  <c r="I2" i="12"/>
  <c r="I18" i="11"/>
  <c r="I50" i="11"/>
  <c r="I2" i="11"/>
  <c r="I34" i="11"/>
  <c r="I10" i="11"/>
  <c r="I42" i="11"/>
  <c r="I26" i="11"/>
  <c r="I58" i="11"/>
  <c r="I12" i="10"/>
  <c r="I7" i="10"/>
  <c r="I4" i="19"/>
  <c r="I1" i="19" s="1"/>
  <c r="I2" i="17"/>
  <c r="I1" i="17"/>
  <c r="J5" i="17" s="1"/>
  <c r="C77" i="2" s="1"/>
  <c r="E41" i="20" s="1"/>
  <c r="I4" i="15"/>
  <c r="I8" i="14"/>
  <c r="I2" i="14"/>
  <c r="I65" i="12"/>
  <c r="I56" i="12"/>
  <c r="I47" i="12"/>
  <c r="I38" i="12"/>
  <c r="I20" i="12"/>
  <c r="I29" i="12"/>
  <c r="I74" i="12"/>
  <c r="I22" i="10"/>
  <c r="I17" i="10"/>
  <c r="I2" i="10"/>
  <c r="J4" i="3"/>
  <c r="C19" i="2" s="1"/>
  <c r="E3" i="20" s="1"/>
  <c r="I98" i="1"/>
  <c r="I2" i="1"/>
  <c r="I134" i="1"/>
  <c r="I122" i="1"/>
  <c r="I110" i="1"/>
  <c r="I86" i="1"/>
  <c r="I74" i="1"/>
  <c r="I62" i="1"/>
  <c r="I50" i="1"/>
  <c r="I26" i="1"/>
  <c r="I38" i="1"/>
  <c r="I14" i="1"/>
  <c r="J2" i="16" l="1"/>
  <c r="C71" i="2" s="1"/>
  <c r="E38" i="20" s="1"/>
  <c r="J4" i="16"/>
  <c r="C72" i="2" s="1"/>
  <c r="E39" i="20" s="1"/>
  <c r="I1" i="14"/>
  <c r="I1" i="1"/>
  <c r="J2" i="17"/>
  <c r="C76" i="2" s="1"/>
  <c r="E40" i="20" s="1"/>
  <c r="I1" i="11"/>
  <c r="J58" i="11" s="1"/>
  <c r="C38" i="2" s="1"/>
  <c r="E16" i="20" s="1"/>
  <c r="I1" i="18"/>
  <c r="J2" i="18" s="1"/>
  <c r="C82" i="2" s="1"/>
  <c r="E43" i="20" s="1"/>
  <c r="I1" i="12"/>
  <c r="J2" i="12" s="1"/>
  <c r="C42" i="2" s="1"/>
  <c r="E19" i="20" s="1"/>
  <c r="J18" i="11"/>
  <c r="C33" i="2" s="1"/>
  <c r="E11" i="20" s="1"/>
  <c r="J34" i="11"/>
  <c r="C35" i="2" s="1"/>
  <c r="E13" i="20" s="1"/>
  <c r="J10" i="11"/>
  <c r="C32" i="2" s="1"/>
  <c r="E10" i="20" s="1"/>
  <c r="J26" i="11"/>
  <c r="C34" i="2" s="1"/>
  <c r="E12" i="20" s="1"/>
  <c r="J2" i="19"/>
  <c r="C90" i="2" s="1"/>
  <c r="E49" i="20" s="1"/>
  <c r="J4" i="19"/>
  <c r="C91" i="2" s="1"/>
  <c r="E50" i="20" s="1"/>
  <c r="J26" i="18"/>
  <c r="C86" i="2" s="1"/>
  <c r="E47" i="20" s="1"/>
  <c r="J20" i="18"/>
  <c r="C85" i="2" s="1"/>
  <c r="E46" i="20" s="1"/>
  <c r="J32" i="18"/>
  <c r="C87" i="2" s="1"/>
  <c r="E48" i="20" s="1"/>
  <c r="J14" i="18"/>
  <c r="C84" i="2" s="1"/>
  <c r="E45" i="20" s="1"/>
  <c r="J8" i="18"/>
  <c r="C83" i="2" s="1"/>
  <c r="E44" i="20" s="1"/>
  <c r="J8" i="17"/>
  <c r="C78" i="2" s="1"/>
  <c r="E42" i="20" s="1"/>
  <c r="I1" i="15"/>
  <c r="J2" i="15" s="1"/>
  <c r="C66" i="2" s="1"/>
  <c r="E35" i="20" s="1"/>
  <c r="J2" i="14"/>
  <c r="C61" i="2" s="1"/>
  <c r="E32" i="20" s="1"/>
  <c r="J8" i="14"/>
  <c r="C63" i="2" s="1"/>
  <c r="E34" i="20" s="1"/>
  <c r="J5" i="14"/>
  <c r="C62" i="2" s="1"/>
  <c r="E33" i="20" s="1"/>
  <c r="J6" i="13"/>
  <c r="C55" i="2" s="1"/>
  <c r="E29" i="20" s="1"/>
  <c r="J14" i="13"/>
  <c r="C57" i="2" s="1"/>
  <c r="E31" i="20" s="1"/>
  <c r="J10" i="13"/>
  <c r="C56" i="2" s="1"/>
  <c r="E30" i="20" s="1"/>
  <c r="J38" i="12"/>
  <c r="C46" i="2" s="1"/>
  <c r="E23" i="20" s="1"/>
  <c r="J65" i="12"/>
  <c r="C49" i="2" s="1"/>
  <c r="E26" i="20" s="1"/>
  <c r="J2" i="11"/>
  <c r="C31" i="2" s="1"/>
  <c r="E9" i="20" s="1"/>
  <c r="J42" i="11"/>
  <c r="C36" i="2" s="1"/>
  <c r="E14" i="20" s="1"/>
  <c r="J50" i="11"/>
  <c r="C37" i="2" s="1"/>
  <c r="E15" i="20" s="1"/>
  <c r="I1" i="10"/>
  <c r="J22" i="10" s="1"/>
  <c r="C27" i="2" s="1"/>
  <c r="E8" i="20" s="1"/>
  <c r="J14" i="1"/>
  <c r="C4" i="2" s="1"/>
  <c r="C4" i="20" s="1"/>
  <c r="J74" i="12" l="1"/>
  <c r="C50" i="2" s="1"/>
  <c r="E27" i="20" s="1"/>
  <c r="J17" i="10"/>
  <c r="C26" i="2" s="1"/>
  <c r="E7" i="20" s="1"/>
  <c r="J47" i="12"/>
  <c r="C47" i="2" s="1"/>
  <c r="E24" i="20" s="1"/>
  <c r="J56" i="12"/>
  <c r="C48" i="2" s="1"/>
  <c r="E25" i="20" s="1"/>
  <c r="J29" i="12"/>
  <c r="C45" i="2" s="1"/>
  <c r="E22" i="20" s="1"/>
  <c r="J20" i="12"/>
  <c r="C44" i="2" s="1"/>
  <c r="E21" i="20" s="1"/>
  <c r="J11" i="12"/>
  <c r="C43" i="2" s="1"/>
  <c r="E20" i="20" s="1"/>
  <c r="J4" i="15"/>
  <c r="C67" i="2" s="1"/>
  <c r="E37" i="20" s="1"/>
  <c r="J12" i="10"/>
  <c r="C25" i="2" s="1"/>
  <c r="E6" i="20" s="1"/>
  <c r="J7" i="10"/>
  <c r="C24" i="2" s="1"/>
  <c r="E5" i="20" s="1"/>
  <c r="J2" i="10"/>
  <c r="C23" i="2" s="1"/>
  <c r="E4" i="20" s="1"/>
  <c r="J110" i="1"/>
  <c r="C12" i="2" s="1"/>
  <c r="C40" i="20" s="1"/>
  <c r="J26" i="1"/>
  <c r="C5" i="2" s="1"/>
  <c r="C9" i="20" s="1"/>
  <c r="J122" i="1"/>
  <c r="C13" i="2" s="1"/>
  <c r="C43" i="20" s="1"/>
  <c r="J38" i="1"/>
  <c r="C6" i="2" s="1"/>
  <c r="C17" i="20" s="1"/>
  <c r="J50" i="1"/>
  <c r="C7" i="2" s="1"/>
  <c r="C19" i="20" s="1"/>
  <c r="J62" i="1"/>
  <c r="C8" i="2" s="1"/>
  <c r="C28" i="20" s="1"/>
  <c r="J2" i="1"/>
  <c r="C3" i="2" s="1"/>
  <c r="C2" i="20" s="1"/>
  <c r="J74" i="1"/>
  <c r="C9" i="2" s="1"/>
  <c r="C32" i="20" s="1"/>
  <c r="J86" i="1"/>
  <c r="C10" i="2" s="1"/>
  <c r="C35" i="20" s="1"/>
  <c r="J98" i="1"/>
  <c r="C11" i="2" s="1"/>
  <c r="C38" i="20" s="1"/>
  <c r="J134" i="1"/>
  <c r="C14" i="2" s="1"/>
  <c r="C49" i="20" s="1"/>
  <c r="J147" i="1" l="1"/>
</calcChain>
</file>

<file path=xl/sharedStrings.xml><?xml version="1.0" encoding="utf-8"?>
<sst xmlns="http://schemas.openxmlformats.org/spreadsheetml/2006/main" count="2363" uniqueCount="456">
  <si>
    <t>Haga clic para escribir el texto de la pregunta</t>
  </si>
  <si>
    <t>Valor del factor</t>
  </si>
  <si>
    <t>Recuento</t>
  </si>
  <si>
    <t>Puntuación</t>
  </si>
  <si>
    <t>Prueba puntuación</t>
  </si>
  <si>
    <t>PROYECTO EDUCATIVO DEL PROGRAMA E IDENTIDAD INSTITUCIONAL.</t>
  </si>
  <si>
    <t>1</t>
  </si>
  <si>
    <t>5</t>
  </si>
  <si>
    <t>2</t>
  </si>
  <si>
    <t>4</t>
  </si>
  <si>
    <t>3</t>
  </si>
  <si>
    <t>6</t>
  </si>
  <si>
    <t>7</t>
  </si>
  <si>
    <t>0</t>
  </si>
  <si>
    <t>8</t>
  </si>
  <si>
    <t>9</t>
  </si>
  <si>
    <t>10</t>
  </si>
  <si>
    <t>11</t>
  </si>
  <si>
    <t>12</t>
  </si>
  <si>
    <t>ESTUDIANTES</t>
  </si>
  <si>
    <t>PROFESORES</t>
  </si>
  <si>
    <t>ASPECTOS ACADÉMICOS Y RESULTADOS DE APRENDIZAJE</t>
  </si>
  <si>
    <t>PERMANENCIA Y GRADUACIÓN</t>
  </si>
  <si>
    <t>INTERACCIÓN CON EL ENTORNO NACIONAL E INTERNACIONAL</t>
  </si>
  <si>
    <t>APORTES DE LA INVESTIGACIÓN, LA INNOVACIÓN, EL DESARROLLO TECNOLÓGICO Y LA CREACIÓN, ASOCIADOS AL PROGRAMA ACADÉMICO</t>
  </si>
  <si>
    <t>BIENESTAR DE LA COMUNIDAD ACADÉMICA DEL PROGRAMA</t>
  </si>
  <si>
    <t>MEDIOS EDUCATIVOS Y AMBIENTES DE APRENDIZAJE</t>
  </si>
  <si>
    <t>ORGANIZACIÓN, ADMINISTRACIÓN Y FINANCIACIÓN DEL PROGRAMA ACADÉMICO</t>
  </si>
  <si>
    <t>RECURSOS FÍSICOS Y TECNOLÓGICOS</t>
  </si>
  <si>
    <t>EGRESADOS</t>
  </si>
  <si>
    <t xml:space="preserve"> Proyecto educativo del Programa.	</t>
  </si>
  <si>
    <t>Relevancia académica y pertinencia social del programa académico</t>
  </si>
  <si>
    <t xml:space="preserve">Participación en actividades de formación integral	</t>
  </si>
  <si>
    <t xml:space="preserve">			Orientación y seguimiento a estudiantes	</t>
  </si>
  <si>
    <t xml:space="preserve">			Capacidad de trabajo autónomo	</t>
  </si>
  <si>
    <t xml:space="preserve">			Reglamento estudiantil y política académica	</t>
  </si>
  <si>
    <t>Estímulos y apoyos para estudiantes</t>
  </si>
  <si>
    <t xml:space="preserve">Selección, vinculación y permanencia	</t>
  </si>
  <si>
    <t xml:space="preserve">			Estatuto profesoral	</t>
  </si>
  <si>
    <t xml:space="preserve">			Número, dedicación, nivel de formación y experiencia	</t>
  </si>
  <si>
    <t xml:space="preserve">			Desarrollo profesoral	</t>
  </si>
  <si>
    <t xml:space="preserve">			Estímulos a la trayectoria profesoral	</t>
  </si>
  <si>
    <t xml:space="preserve">			Producción, pertinencia, utilización e impacto del material docente	</t>
  </si>
  <si>
    <t xml:space="preserve">			Remuneración por méritos	</t>
  </si>
  <si>
    <t>Evaluación de profesores</t>
  </si>
  <si>
    <t xml:space="preserve">Integralidad de los aspectos curriculares	</t>
  </si>
  <si>
    <t xml:space="preserve">			Flexibilidad de los aspectos curriculares	</t>
  </si>
  <si>
    <t xml:space="preserve">			Interdisciplinariedad	</t>
  </si>
  <si>
    <t xml:space="preserve">			Estrategias pedagógicas	</t>
  </si>
  <si>
    <t xml:space="preserve">			Sistema de evaluación de estudiantes	</t>
  </si>
  <si>
    <t xml:space="preserve">			Resultados de aprendizaje	</t>
  </si>
  <si>
    <t xml:space="preserve">			Competencias	</t>
  </si>
  <si>
    <t xml:space="preserve">			Evaluación y autorregulación del programa académico	</t>
  </si>
  <si>
    <t>Vinculación e interacción social</t>
  </si>
  <si>
    <t xml:space="preserve">Políticas, estrategias y estructura para la permanencia y la graduación	</t>
  </si>
  <si>
    <t xml:space="preserve">			Caracterización de estudiantes y sistema de alertas tempranas	</t>
  </si>
  <si>
    <t xml:space="preserve">			Ajustes a los aspectos curriculares	</t>
  </si>
  <si>
    <t>Mecanismos de selección</t>
  </si>
  <si>
    <t xml:space="preserve">Inserción del programa en contextos académicos nacionales e internacionales	</t>
  </si>
  <si>
    <t xml:space="preserve">			Relaciones externas de profesores y estudiantes	</t>
  </si>
  <si>
    <t>Habilidades comunicativas en una segunda lengua</t>
  </si>
  <si>
    <t xml:space="preserve">Formación para la investigación, desarrollo tecnológico, la innovación y la creación	</t>
  </si>
  <si>
    <t>Compromiso con la investigación, desarrollo tecnológico, la innovación y la creación</t>
  </si>
  <si>
    <t xml:space="preserve">Programas y servicios	</t>
  </si>
  <si>
    <t>Participación y seguimiento</t>
  </si>
  <si>
    <t xml:space="preserve">Estrategias y recursos de apoyo a profesores	</t>
  </si>
  <si>
    <t xml:space="preserve">			Estrategias y recursos de apoyo a estudiantes	</t>
  </si>
  <si>
    <t>Recursos bibliográficos y de información</t>
  </si>
  <si>
    <t xml:space="preserve">Organización y administración	</t>
  </si>
  <si>
    <t xml:space="preserve">			Dirección y gestión	</t>
  </si>
  <si>
    <t xml:space="preserve">			Sistemas de comunicación e información	</t>
  </si>
  <si>
    <t xml:space="preserve">			Estudiantes y capacidad institucional	</t>
  </si>
  <si>
    <t xml:space="preserve">			Financiación del programa académico	</t>
  </si>
  <si>
    <t>Aseguramiento de la alta calidad y mejora continua</t>
  </si>
  <si>
    <t xml:space="preserve">Recursos de infraestructura física y tecnológica	</t>
  </si>
  <si>
    <t>Recursos informáticos y de comunicación</t>
  </si>
  <si>
    <t>FACTOR</t>
  </si>
  <si>
    <t>PONDERACIÓN</t>
  </si>
  <si>
    <t>FACTOR 1</t>
  </si>
  <si>
    <t>FACTOR 2</t>
  </si>
  <si>
    <t>FACTOR 3</t>
  </si>
  <si>
    <t>FACTOR 5</t>
  </si>
  <si>
    <t>FACTOR 6</t>
  </si>
  <si>
    <t>FACTOR 7</t>
  </si>
  <si>
    <t>FACTOR 8</t>
  </si>
  <si>
    <t>FACTOR 9</t>
  </si>
  <si>
    <t>FACTOR 10</t>
  </si>
  <si>
    <t>FACTOR 11</t>
  </si>
  <si>
    <t>FACTOR 12</t>
  </si>
  <si>
    <t># Factor</t>
  </si>
  <si>
    <t>Factor</t>
  </si>
  <si>
    <t xml:space="preserve">Ponderación </t>
  </si>
  <si>
    <t>Características</t>
  </si>
  <si>
    <t>Ponderación</t>
  </si>
  <si>
    <t xml:space="preserve"> Proyecto educativo del Programa.</t>
  </si>
  <si>
    <t>Participación en actividades de formación integral</t>
  </si>
  <si>
    <t>Orientación y seguimiento a estudiantes</t>
  </si>
  <si>
    <t>Capacidad de trabajo autónomo</t>
  </si>
  <si>
    <t>Reglamento estudiantil y política académica</t>
  </si>
  <si>
    <t>Selección, vinculación y permanencia</t>
  </si>
  <si>
    <t>Estatuto profesoral</t>
  </si>
  <si>
    <t>Número, dedicación, nivel de formación y experiencia</t>
  </si>
  <si>
    <t>Desarrollo profesoral</t>
  </si>
  <si>
    <t>Estímulos a la trayectoria profesoral</t>
  </si>
  <si>
    <t>Producción, pertinencia, utilización e impacto del material docente</t>
  </si>
  <si>
    <t>Remuneración por méritos</t>
  </si>
  <si>
    <t>Seguimiento a los egresados</t>
  </si>
  <si>
    <t>Impacto de los egresados en el medio social y académico</t>
  </si>
  <si>
    <t>Integralidad de los aspectos curriculares</t>
  </si>
  <si>
    <t>Flexibilidad de los aspectos curriculares</t>
  </si>
  <si>
    <t>Interdisciplinariedad</t>
  </si>
  <si>
    <t>Estrategias pedagógicas</t>
  </si>
  <si>
    <t>Sistema de evaluación de estudiantes</t>
  </si>
  <si>
    <t>Resultados de aprendizaje</t>
  </si>
  <si>
    <t>Competencias</t>
  </si>
  <si>
    <t>Evaluación y autorregulación del programa académico</t>
  </si>
  <si>
    <t>Políticas, estrategias y estructura para la permanencia y la graduación</t>
  </si>
  <si>
    <t>Caracterización de estudiantes y sistema de alertas tempranas</t>
  </si>
  <si>
    <t>Ajustes a los aspectos curriculares</t>
  </si>
  <si>
    <t>Inserción del programa en contextos académicos nacionales e internacionales</t>
  </si>
  <si>
    <t>Relaciones externas de profesores y estudiantes</t>
  </si>
  <si>
    <t>Formación para la investigación, desarrollo tecnológico, la innovación y la creación</t>
  </si>
  <si>
    <t>Programas y servicios</t>
  </si>
  <si>
    <t>Estrategias y recursos de apoyo a profesores</t>
  </si>
  <si>
    <t>Estrategias y recursos de apoyo a estudiantes</t>
  </si>
  <si>
    <t>Organización y administración</t>
  </si>
  <si>
    <t>Dirección y gestión</t>
  </si>
  <si>
    <t>Sistemas de comunicación e información</t>
  </si>
  <si>
    <t>Estudiantes y capacidad institucional</t>
  </si>
  <si>
    <t>Financiación del programa académico</t>
  </si>
  <si>
    <t>Recursos de infraestructura física y tecnológica</t>
  </si>
  <si>
    <t>Valoración interpretativa</t>
  </si>
  <si>
    <t>NOTA</t>
  </si>
  <si>
    <t>Factor 1.  Misión y visión de la Universidad.</t>
  </si>
  <si>
    <t>Se cumple en alto grado</t>
  </si>
  <si>
    <t>Grado de cumplimiento</t>
  </si>
  <si>
    <t>Calificación numérica</t>
  </si>
  <si>
    <t>Ponderación del factor</t>
  </si>
  <si>
    <t>Anterior 2020</t>
  </si>
  <si>
    <t>Actual 2025</t>
  </si>
  <si>
    <t>Fortalezas</t>
  </si>
  <si>
    <t>Oportunidades de mejora</t>
  </si>
  <si>
    <t>Factor 2. Estudiantes.</t>
  </si>
  <si>
    <t>Factor 3. Profesores.</t>
  </si>
  <si>
    <t>Factor 9. Graduados y Análisis de Impacto del Programa.</t>
  </si>
  <si>
    <t>Factor 4. Procesos Académicos y Lineamientos Curriculares.</t>
  </si>
  <si>
    <t>Factor 5. Investigación, generación de conocimiento y producción artística.</t>
  </si>
  <si>
    <t>Factor 6. Articulación con el entorno y capacidad para generar procesos de innovación.</t>
  </si>
  <si>
    <t>Factor 7. Internacionalización, Alianzas Estratégicas e Inserción en Redes Científicas Globales.</t>
  </si>
  <si>
    <t>Se cumple aceptablemente</t>
  </si>
  <si>
    <t>Factor 8. Bienestar y Ambiente Institucional.</t>
  </si>
  <si>
    <t>Factor 10. Recursos Físicos y Gestión Administrativa y Financiera.</t>
  </si>
  <si>
    <t>Valoración Cualitativa</t>
  </si>
  <si>
    <t>Cuantitativa</t>
  </si>
  <si>
    <t>Se cumple plenamente</t>
  </si>
  <si>
    <t>45 - 50</t>
  </si>
  <si>
    <t>Existen y tienen coherencia total con los indicadores</t>
  </si>
  <si>
    <t>38 – 44</t>
  </si>
  <si>
    <t>Existen y  tienen  coherencia parcial con los indicadores</t>
  </si>
  <si>
    <t>30- 37</t>
  </si>
  <si>
    <t>Existen y  no tienen coherencia con los indicadores</t>
  </si>
  <si>
    <t>Es insuficiente</t>
  </si>
  <si>
    <t>20 - 29</t>
  </si>
  <si>
    <t>Está en elaboración - Dependiendo el estado</t>
  </si>
  <si>
    <t>Se cumple insatisfactoriamente</t>
  </si>
  <si>
    <t>Es deficiente</t>
  </si>
  <si>
    <t xml:space="preserve">0 - 19 </t>
  </si>
  <si>
    <t>No existe</t>
  </si>
  <si>
    <t>No se cumple</t>
  </si>
  <si>
    <t>FACTOR 1. MISIÓN Y VISIÓN DE LA UNIVERSIDAD</t>
  </si>
  <si>
    <t>FACTOR 6. ARTICULACIÓN CON EL ENTORNO Y CAPACIDAD PARA GENERAR PROCESOS DE INNOVACIÓN.</t>
  </si>
  <si>
    <t>Grado de cumplimiento (1-5)</t>
  </si>
  <si>
    <t>Evaluación -ponderación</t>
  </si>
  <si>
    <t>Logro Ideal</t>
  </si>
  <si>
    <t>Relación con el logro ideal</t>
  </si>
  <si>
    <t>FACTOR 2. ESTUDIANTES</t>
  </si>
  <si>
    <t>FACTOR 7. INTERNACIONALIZACIÓN, ALIANZAS ESTRATÉGICAS E INSERCIÓN EN REDES CIENTÍFICAS GLOBALES</t>
  </si>
  <si>
    <t>Cumple Aceptablemente</t>
  </si>
  <si>
    <t>FACTOR 3. PROFESORES</t>
  </si>
  <si>
    <t>FACTOR 8. BIENESTAR Y AMBIENTE INSTITUCIONAL</t>
  </si>
  <si>
    <t>FACTOR 4. PROCESOS ACADÉMICOS Y LINEAMIENTOS CURRICULARES.</t>
  </si>
  <si>
    <t>FACTOR 9. GRADUADOS Y ANÁLISIS DE IMPACTO</t>
  </si>
  <si>
    <t>FACTOR 5. INVESTIGACIÓN, GENERACIÓN DE CONOCIMIENTO Y PRODUCCIÓN ARTÍSTICA</t>
  </si>
  <si>
    <t>FACTOR 10. RECURSOS FÍSICOS Y GESTIÓN ADMINISTRATIVA Y FINANCIERA</t>
  </si>
  <si>
    <t>RESULTADOS FINALES DE AUTOEVALUACIÓN</t>
  </si>
  <si>
    <t>TOTAL</t>
  </si>
  <si>
    <t>°</t>
  </si>
  <si>
    <t>POONDERACIÓN</t>
  </si>
  <si>
    <t>CARCATERISTICA</t>
  </si>
  <si>
    <t>ASPECTO</t>
  </si>
  <si>
    <t>Grado de cumplimiento   (1-5)</t>
  </si>
  <si>
    <t>PROMEDIO CALIFICACIÓN</t>
  </si>
  <si>
    <t>FACTOR 1. PROYECTO EDUCATIVO DEL PROGRAMA E IDENTIDAD INSTITUCIONAL</t>
  </si>
  <si>
    <t>Proyecto educativo del programa</t>
  </si>
  <si>
    <t>Demostrar coherencia del Proyecto Educativo del Programa (PEP) o el que haga sus veces, con los lineamientos y políticas institucionales, así como en la definición de objetivos de formación y resultados de aprendizaje y la manera cómo el PEP ha ido mejorando, como resultado de los procesos de aseguramiento de la calidad, la consolidación de la identidad institucional y la relación que mantiene con la comunidad y sus grupos de interés.</t>
  </si>
  <si>
    <t>Falta aprobación para socializar</t>
  </si>
  <si>
    <t>Gradación no numérica</t>
  </si>
  <si>
    <t>Gradación numérica</t>
  </si>
  <si>
    <t>Relevancia académica y pertinencia social del programa académico.</t>
  </si>
  <si>
    <t>Análisis sobre las tendencias, necesidades y líneas de desarrollo de la disciplina o profesión, en el contexto regional, nacional e internacional.</t>
  </si>
  <si>
    <t>PEP</t>
  </si>
  <si>
    <t xml:space="preserve">Estudio de la pertinencia social del programa desde la perspectiva de la comunidad académica y de sus grupos de interés con el fin de identificar necesidades y requerimientos del entorno local, regional o nacional en términos productivos y de competitividad, tecnológicos, culturales, científicos y de talento humano. </t>
  </si>
  <si>
    <t>Evidencia de las transformaciones sociales pertinentes para el contexto y el territorio en el que se ofrece el programa académico, y del entorno tanto nacional como internacional.</t>
  </si>
  <si>
    <t>PEP/convenio doble titulación</t>
  </si>
  <si>
    <t>2.5</t>
  </si>
  <si>
    <t>Apreciación de los estudiantes en relación con su participación en las actividades de investigación, desarrollo tecnológico, creación artística, culturales, deportivas y de extensión, que contribuyen a su formación integral, junto con las acciones emprendidas como resultado de dichas apreciaciones.</t>
  </si>
  <si>
    <t>Encuesta</t>
  </si>
  <si>
    <t>Docentes 12</t>
  </si>
  <si>
    <t>Egresados 1</t>
  </si>
  <si>
    <t>Egresados 2</t>
  </si>
  <si>
    <t>Estudiantes 3</t>
  </si>
  <si>
    <t>Estudiantes 8</t>
  </si>
  <si>
    <t>Estudiantes 9</t>
  </si>
  <si>
    <t>3.5</t>
  </si>
  <si>
    <t>Resultados del análisis de la participación y principales logros de los estudiantes en actividades de investigación, desarrollo tecnológico, innovación, creación artística, culturales y deportivas.</t>
  </si>
  <si>
    <t>Resultados del análisis de la participación y principales logros de los estudiantes en proyectos de desarrollo empresarial, relacionamiento nacional e internacional.</t>
  </si>
  <si>
    <t>4.5</t>
  </si>
  <si>
    <t>Resultados del análisis de la participación y principales logros de los estudiantes en otras acciones de formación complementaria, que promuevan la comprensión de la realidad social, la empatía, la ética, habilidades blandas, así como el relacionamiento con otras culturas y lenguas, de acuerdo con el nivel de formación y la modalidad del programa.</t>
  </si>
  <si>
    <t>Evidencia de los efectos en la formación de los estudiantes, a partir de los procesos de orientación y seguimiento de los estudiantes, teniendo como referencia sus características de ingreso.</t>
  </si>
  <si>
    <t>Listas se asistencia a reuniones e inducciones, investigación</t>
  </si>
  <si>
    <t>Evidencia de los resultados de las estrategias de seguimiento y evaluación de los resultados de aprendizaje en el desarrollo de capacidades para el del trabajo autónomo del estudiante.</t>
  </si>
  <si>
    <t>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t>
  </si>
  <si>
    <t>Docentes 1</t>
  </si>
  <si>
    <t>Docentes 9</t>
  </si>
  <si>
    <t>Estudiantes 4</t>
  </si>
  <si>
    <t>Evidencia de los mecanismos para la aplicación, actualización y divulgación del reglamento estudiantil.</t>
  </si>
  <si>
    <t>Evidencia de los beneficios generados por el otorgamiento de estímulos académicos y apoyos socioeconómicos a los estudiantes.</t>
  </si>
  <si>
    <t>Docentes 2</t>
  </si>
  <si>
    <t>Apreciación de los estudiantes del programa frente a la aplicación de los estímulos académicos y apoyos socioeconómicos, y el cumplimiento institucional de estas medidas, junto con las acciones emprendidas como resultado de dichas apreciaciones.</t>
  </si>
  <si>
    <t>Estudiantes 5</t>
  </si>
  <si>
    <t>Evidencia de la aplicación de los procesos de selección, vinculación y permanencia de los profesores, en coherencia con el nivel de formación, modalidad del programa académico y lugar de desarrollo.</t>
  </si>
  <si>
    <t>Apreciación de los profesores sobre la aplicación, pertinencia y vigencia de las políticas, normas y criterios académicos establecidos por la institución para su selección, vinculación y permanencia, junto con las acciones emprendidas como resultado de dichas apreciaciones.</t>
  </si>
  <si>
    <t>Evidencia que demuestren los resultados de la aplicación del estatuto profesoral, o el que haga sus veces, sobre la trayectoria profesoral, la inclusión, el reconocimiento de méritos y el ascenso en el escalafón, de acuerdo con el nivel de formación y la modalidad del programa.</t>
  </si>
  <si>
    <t>Docentes 4</t>
  </si>
  <si>
    <t>Docentes 5</t>
  </si>
  <si>
    <t>Resultados en el mejoramiento de la calidad del programa, a partir de la aplicación de un estatuto que promueve la trayectoria profesoral, la inclusión, el reconocimiento de los méritos y el ascenso en el escalafón.</t>
  </si>
  <si>
    <t>Docentes 3</t>
  </si>
  <si>
    <t>Apreciación de los profesores sobre la aplicación y pertinencia del estatuto profesoral y de las políticas que establecen distinciones, estímulos que promueven la trayectoria profesoral, junto con las acciones emprendidas como resultado de dichas apreciaciones.</t>
  </si>
  <si>
    <t>Docentes 6</t>
  </si>
  <si>
    <t>Evidencia de la coherencia entre el número, dedicación, nivel de formación y experiencia de los profesores de tiempo completo, con el número de estudiantes, nivel de formación y modalidad del programa académico.</t>
  </si>
  <si>
    <t>Evidencia de la existencia de un núcleo básico de profesores de tiempo completo, preferiblemente con contratación a término indefinido, y su relación con la formación de la comunidad académica del programa y el cumplimiento con alta calidad de las funciones esenciales del programa.</t>
  </si>
  <si>
    <t>Evidencia de la vinculación de una planta profesoral pertinente con el área disciplinar del programa con título de maestría y/o doctorado con experiencia o formación pedagógica, investigativa y profesional certificada y experiencia en investigación, que garantice el logro de los resultados de aprendizaje de los estudiantes y el cumplimiento de las funciones asignadas en condiciones de calidad, atendiendo a estándares internacionales, en coherencia con el nivel de formación y modalidad del programa.</t>
  </si>
  <si>
    <t>Análisis de los resultados de la aplicación de políticas y estrategias institucionales en materia de desarrollo integral del profesorado, que incluya la capacitación y la actualización en los aspectos académicos, profesionales y pedagógicos relacionados con la naturaleza, nivel de formación y modalidad del programa.</t>
  </si>
  <si>
    <t>Evidencia de cómo el desarrollo profesoral atiende a la diversidad de los estudiantes, a las modalidades de la docencia y a los requerimientos de internacionalización y de inter y multiculturalidad de profesores y estudiantes.</t>
  </si>
  <si>
    <t>Movilidad docente entrante y de estudiantes</t>
  </si>
  <si>
    <t>Apreciación de directivos y profesores del programa sobre los resultados que han tenido las acciones orientadas al desarrollo integral de los profesores, en el mejoramiento de las competencias pedagógicas, científicas y sociales para el sostenimiento de las funciones misionales, junto con las acciones emprendidas como resultado de dichas apreciaciones.</t>
  </si>
  <si>
    <t>Evidencia de los efectos generados en el desempeño de las labores de docencia, investigación y extensión con el otorgamiento de estímulos a los profesores.</t>
  </si>
  <si>
    <t>Reglamento, excelencia académica</t>
  </si>
  <si>
    <t>Apreciación de directivos y profesores del programa,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t>
  </si>
  <si>
    <t>CvLac</t>
  </si>
  <si>
    <t>Docentes 10</t>
  </si>
  <si>
    <t>Producción, pertinencia, utilización e impacto de material docente</t>
  </si>
  <si>
    <t>Evidencia de la efectividad de los criterios de evaluación del material producido por los profesores en la calidad de los aprendizajes de los estudiantes, de acuerdo con el nivel de formación y modalidad del programa académico.</t>
  </si>
  <si>
    <t>Hay material, pero no evaluacion del material</t>
  </si>
  <si>
    <t>Presentación de los resultados de evaluación de los materiales académicos producidos por los profesores para el desarrollo de las diversas actividades académicas, que soportan los ambientes de aprendizaje, de acuerdo con el nivel de formación y modalidad.</t>
  </si>
  <si>
    <t>La remuneración que reciben los profesores está de acuerdo con sus méritos académicos y profesionales, el aporte en el desarrollo de los componentes formativos, pedagógicos y de evaluación, la interacción y relevancia social, el nivel de formación y la modalidad del programa académico.</t>
  </si>
  <si>
    <t>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</si>
  <si>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Demostración del mejoramiento continuo del programa, a partir de las evaluaciones permanentes realizadas a los profesores, en coherencia con el nivel de formación y modalidad.</t>
  </si>
  <si>
    <t>FACTOR 4. EGRESADOS</t>
  </si>
  <si>
    <t>Seguimiento de los egresados</t>
  </si>
  <si>
    <t>Resultado de los estudios sistémicos aplicados sobre el desarrollo profesional y laboral de los egresados, el alcance de las competencias adquiridas, la correspondencia entre el desempeño de los egresados y el perfil de egreso o resultados de aprendizaje del programa.</t>
  </si>
  <si>
    <t>Apreciación de los egresados en relación con el perfil de formación, las competencias adquiridas y las posibilidades que les ha ofrecido su formación para su desarrollo profesional y laboral, junto con las acciones emprendidas como resultado de dichas apreciaciones.</t>
  </si>
  <si>
    <t>Docentes 8</t>
  </si>
  <si>
    <t>Evidencia del impacto de los egresados en el medio social y académico, científico y cultural, como un mecanismo para establecer los aportes del programa a la solución de problemas de la sociedad y/o la creación e innovación de conocimiento.</t>
  </si>
  <si>
    <t>Apreciación de empleadores sobre el desempeño destacado de los egresados y su aporte en la solución de los problemas académicos, ambientales, tecnológicos, sociales y culturales, junto con las acciones emprendidas como resultado de dichas apreciaciones.</t>
  </si>
  <si>
    <t>FACTOR 5. ASPECTOS ACADÉMICOS Y RESULTADOS DE APRENDIZAJE</t>
  </si>
  <si>
    <t>Resultados de la aplicación de ejercicios continuos de evaluación de la integralidad del currículo que conduzcan a la realización de ajustes y mejoras que impactan a la formación en valores, actitudes, aptitudes, conocimientos, métodos, capacidades y habilidades, de acuerdo con el estado del arte y con el ejercicio de la disciplina, profesión, ocupación u oficio, y que busca la formación integral del estudiante en coherencia con la misión institucional y los objetivos propios del programa académico.</t>
  </si>
  <si>
    <t>Actualizacion de syllabus</t>
  </si>
  <si>
    <t>Evaluación de las estrategias y acciones del programa para el mejoramiento de las competencias definidas por el programa.</t>
  </si>
  <si>
    <t>Consejo curricular, reuniones de profesores</t>
  </si>
  <si>
    <t>Evidencia de procesos de flexibilización como, doble titulación; articulación pregrado-posgrado; reconocimiento de créditos, homologación y oferta de cursos electivos en distintas modalidades y lugares de desarrollo entre otros, que permiten al estudiante interactuar con otros programas a nivel institucional, nacional e internacional.</t>
  </si>
  <si>
    <t>Reglamento postgrados, doble titulación</t>
  </si>
  <si>
    <t>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</si>
  <si>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t>movilidad curricular, pasantias</t>
  </si>
  <si>
    <t>Docentes 7</t>
  </si>
  <si>
    <t>Estudiantes 6</t>
  </si>
  <si>
    <t>Estudiantes 7</t>
  </si>
  <si>
    <t>Evidencia de la implementación de las estrategias que promueven y estimulan la interdisciplinariedad curricular del programa, y el resultado de su aplicación en las diferentes rutas formativas seguidas por los estudiantes.</t>
  </si>
  <si>
    <t>movilidad curricular</t>
  </si>
  <si>
    <t>Apreciación de los estudiantes y profesores frente a los mecanismos y criterios dispuestos por la institución para la interdisciplinariedad curricular del programa, los resultados de su análisis y la evidencia de los logros en el mejoramiento en la calidad del programa.</t>
  </si>
  <si>
    <t>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</si>
  <si>
    <t>Transición a RA</t>
  </si>
  <si>
    <t>Evidencia de la evaluación y el mejoramiento de las estrategias y prácticas pedagógicas, a partir de los aportes de la investigación pedagógica y de los procesos de actualización de los profesores.</t>
  </si>
  <si>
    <t>Capacitaciones / encuestas</t>
  </si>
  <si>
    <t>En el caso de programas académicos del área de la salud, presentar análisis de la incidencia de las actividades desarrolladas en el marco de los convenios de docencia servicio con los distintos escenarios de práctica (con énfasis en el escenario principal, cuando aplique) en los procesos de formación. Los análisis se deben realizar entre las partes que participan en el convenio.</t>
  </si>
  <si>
    <t>-</t>
  </si>
  <si>
    <t>No aplica</t>
  </si>
  <si>
    <t>Apreciación de profesores y estudiantes sobre los sistemas de evaluación de los resultados de aprendizaje que desarrolla o implementa el programa, junto con las acciones emprendidas como resultado de dichas apreciaciones.</t>
  </si>
  <si>
    <t>Evidencia de los resultados obtenidos a partir de la implementación de los sistemas de evaluación de estudiantes basado en políticas y normas claras, universales y transparentes.</t>
  </si>
  <si>
    <t>Evidencia de sistemas de evaluación que integran la innovación para generar transformaciones profundas en el aprendizaje, y que acogen dinámicas en referencia a cambios en el conocimiento.</t>
  </si>
  <si>
    <t>alcance de la evaluación a estudiantes</t>
  </si>
  <si>
    <t>Evidencia de la aplicación de una política institucional que establezca parámetros para la formulación, evaluación y mejora continua de los resultados de aprendizaje establecidos en el programa, en alineación con el perfil de formación y acorde con el nivel y la modalidad de formación.</t>
  </si>
  <si>
    <t>Evidencia del proceso de mejoramiento continuo relacionado con la evaluación entre los resultados de aprendizaje esperados y los alcanzados por los estudiantes, el sistema de evaluación de estudiantes y las acciones de ajuste de los aspectos curriculares y las metodologías de enseñanza - aprendizaje derivadas de dicha evaluación.</t>
  </si>
  <si>
    <t>Evidencia del resultado de la aplicación de estrategias para el desarrollo de las competencias previstas acordes con el perfil de formación del programa.</t>
  </si>
  <si>
    <t>Syllabus / estructura de la maestría</t>
  </si>
  <si>
    <t>Evidencia del cumplimiento de planes de mejoramiento y de innovación producto del proceso de autoevaluación del programa.</t>
  </si>
  <si>
    <t>Apreciación de los profesores y estudiantes sobre la calidad y pertinencia del proceso de evaluación y autorregulación del programa, junto con las acciones emprendidas como resultado de dichas apreciaciones.</t>
  </si>
  <si>
    <t>Evidencia de la participación de los profesores y estudiantes en la proyección social del programa.</t>
  </si>
  <si>
    <t>Investigación, estensión, pasantías, trabajos de grado</t>
  </si>
  <si>
    <t>Evidencia del efecto de las estrategias y acciones de proyección social como un mecanismo para establecer los aportes del programa a la solución de problemas de la sociedad y a las mejoras de los aspectos curriculares.</t>
  </si>
  <si>
    <t>Investigación, estensión, pasantías, trabajos de grado, publicaciones</t>
  </si>
  <si>
    <t>FACTOR 6. PERMANENCIA Y GRADUACIÓN</t>
  </si>
  <si>
    <t>Análisis del efecto de las políticas, estrategias y acciones orientadas al mejoramiento de la permanencia y la graduación en el programa, que incluyan el comportamiento en los últimos seis años o en la vigencia de la acreditación si se trata de una renovación, de la tasa de deserción interanual, tasa de deserción por cohorte y la tasa de graduación acumulada del programa.</t>
  </si>
  <si>
    <t>ruta investigación</t>
  </si>
  <si>
    <t>Evidencia de la existencia e implementación de un sistema de alertas tempranas que permita reconocer las particularidades de los estudiantes según su contexto sociocultural y la puesta en marcha de acciones que faciliten su proceso formativo, de acuerdo, al menos, con las normas nacionales vigentes en materia de inclusión y diversidad.</t>
  </si>
  <si>
    <t>informes académicos semestrales</t>
  </si>
  <si>
    <t>Apreciación de estudiantes y profesores sobre la contribución de las estrategias del sistema de alertas tempranas en su permanencia y graduación, junto con las acciones emprendidas como resultado de dichas apreciaciones.</t>
  </si>
  <si>
    <t>Presentación del análisis de los resultados derivados del sistema de alertas tempranas y su impacto en el currículo, para mejorar el desempeño académico de los estudiantes, su permanencia y graduación.</t>
  </si>
  <si>
    <t>Cuadro de tasa de graduacióin</t>
  </si>
  <si>
    <t xml:space="preserve"> Ajustes a los aspectos curriculares</t>
  </si>
  <si>
    <t>Evidencia de la evaluación y el mejoramiento de los aspectos curriculares derivados de los análisis del desempeño académico de los estudiantes, la permanencia y la graduación.</t>
  </si>
  <si>
    <t>Inclusión de énfasis y nuevo plan de estudios</t>
  </si>
  <si>
    <t>Evidencia y análisis de la evolución de la matrícula total de estudiantes del programa y de la relación entre aspirantes inscritos, admitidos y matriculados en cada periodo, a fin de establecer la tasa de selectividad y/o absorción del programa.</t>
  </si>
  <si>
    <t>Cuadro maestro</t>
  </si>
  <si>
    <t>Análisis de la correlación entre los mecanismos de selección, de desempeño académico, permanencia y graduación que resulte en ajustes a los procesos de selección del programa.</t>
  </si>
  <si>
    <t>proceso de selección</t>
  </si>
  <si>
    <t xml:space="preserve">FACTOR 7. INTERACCIÓN CON EL ENTORNO NACIONAL E INTERNACIONAL </t>
  </si>
  <si>
    <t>Evidencia del efecto de la aplicación de políticas y estrategias de cooperación con comunidades, nacionales e internacionales, en el desarrollo de labores formativas, académicas, docentes, científicas, culturales, deportivas y de extensión, así como en aspectos curriculares y en la revisión de tendencias y referentes nacionales e internacionales que contribuyan al mejoramiento continuo del programa.</t>
  </si>
  <si>
    <t>Urelinter</t>
  </si>
  <si>
    <t>Egresados 3</t>
  </si>
  <si>
    <t>Evidencia y análisis de los resultados de la cooperación académica y científica del programa, mediante convenios, proyectos conjuntos, intercambios de profesores, estudiantes y la participación en redes científicas, culturales y de extensión.</t>
  </si>
  <si>
    <t>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</si>
  <si>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Evidencia de la incidencia de las estrategias empleadas para el desarrollo de las competencias comunicativas en una segunda lengua y las interacciones de profesores y estudiantes con otras comunidades no hispanohablantes de acuerdo con el nivel de formación y modalidad del programa.</t>
  </si>
  <si>
    <t>ILUD, publicaciones</t>
  </si>
  <si>
    <t>FACTOR 8. APORTES DE LA INVESTIGACIÓN, LA INNOVACIÓN, EL DESARROLLO TECNOLÓGICO Y LA CREACIÓN, ASOCIADOS AL PROGRAMA ACADÉMICO</t>
  </si>
  <si>
    <t>Evidencia de las estrategias implementadas para el desarrollo de las competencias investigativas, de innovación o creación artística y cultural de los estudiantes, en coherencia con la naturaleza, nivel de formación y la modalidad de oferta del programa.</t>
  </si>
  <si>
    <t>Seminario de investigación, tutorías, asignaturas de tesis</t>
  </si>
  <si>
    <t>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</si>
  <si>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Evidencia de la existencia de un reglamento de propiedad intelectual, de grupos de investigación categorizados y de profesores investigadores reconocidos en las convocatorias de medición de Minciencias, acorde con el Proyecto Educativo del Programa, el nivel de formación y la modalidad del programa.</t>
  </si>
  <si>
    <t>OTRI</t>
  </si>
  <si>
    <t>Evidencia de resultados de investigación, desarrollo tecnológico, innovación o creación de los profesores del programa, que contribuyan al fortalecimiento de los aspectos curriculares, la formación de los estudiantes y a la generación de nuevo conocimiento o a la solución de problemas de la sociedad, en coherencia con el Proyecto Educativo del Programa, el nivel de formación y la modalidad del programa.</t>
  </si>
  <si>
    <t>Grupos investigación</t>
  </si>
  <si>
    <t>FACTOR 9. BIENESTAR DE LA COMUNIDAD ACADÉMICA DEL PROGRAMA</t>
  </si>
  <si>
    <t xml:space="preserve"> Programas y servicios</t>
  </si>
  <si>
    <t>Análisis sistemáticos de la participación de estudiantes y profesores en las actividades de bienestar en cada uno de los escenarios de práctica.</t>
  </si>
  <si>
    <t>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</si>
  <si>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t>Análisis sistemáticos de la participación de la comunidad del programa en los planes y las actividades de bienestar, de acuerdo con las particularidades de la población estudiantil, académica y administrativa.</t>
  </si>
  <si>
    <t>Evaluación de la calidad y pertinencia de la infraestructura, espacios y servicios de bienestar por parte de la comunidad del programa, junto con las acciones emprendidas como resultado de dicha evaluación.</t>
  </si>
  <si>
    <t>FACTOR 10. MEDIOS EDUCATIVOS Y AMBIENTES DE APRENDIZAJE</t>
  </si>
  <si>
    <t>Demostración de los resultados y la incidencia de la implementación de las estrategias y recursos de apoyo (pedagógico-didáctico) en los contextos de actuación de los profesores para el mejoramiento de sus prácticas de enseñanza-aprendizaje teniendo en cuenta la diversidad y la inclusión.</t>
  </si>
  <si>
    <t>Moodle, Classroom, ambientes virtuales</t>
  </si>
  <si>
    <t>Apreciación de los profesores y los estudiantes en relación con las estrategias pedagógicas, tecnológicas y de acompañamiento dispuestas por el programa para el desarrollo de las habilidades comunicativas y de interacción de los profesores con los estudiantes, junto con las acciones emprendidas como resultado de dichas apreciaciones.</t>
  </si>
  <si>
    <t>PlanesTIC</t>
  </si>
  <si>
    <t>Docentes 11</t>
  </si>
  <si>
    <t>En el caso de programas académicos del área de la salud, análisis de las acciones que realizan conjuntamente el programa con los escenarios de práctica, en sus procesos de certificación, acreditación, reconocimiento como hospital universitario y acciones de mejora.</t>
  </si>
  <si>
    <t>Evidencia de la disponibilidad y capacidad de talleres, laboratorios, equipos, medios audiovisuales, sitios de práctica, estaciones y granjas experimentales, escenarios de simulación virtual, entre otros, para el adecuado desarrollo de la actividad docente, investigativa y de extensión, según requerimientos del programa.</t>
  </si>
  <si>
    <t>Laboratorios</t>
  </si>
  <si>
    <t>Apreciación de los estudiantes sobre la utilidad y pertinencia de las estrategias y recursos de apoyo brindados por la institución para el desarrollo de su proceso formativo en diferentes contextos, junto con las acciones emprendidas como resultado de dichas apreciaciones.</t>
  </si>
  <si>
    <t>En el caso de los programas académicos del área de la salud, evidencia de la disponibilidad de laboratorios especializados y/o de simulación en los distintos lugares de desarrollo y los escenarios de práctica, y análisis del nivel de uso por parte de profesores y estudiantes.</t>
  </si>
  <si>
    <t>Análisis de la correspondencia entre la inversión en recursos bibliográficos y de información, su utilización por parte de la comunidad del programa, demostrando la suficiencia y pertinencia para el desarrollo de actividades de docencia, investigación y extensión, de acuerdo con el nivel de formación y modalidad del programa.</t>
  </si>
  <si>
    <t>bases de datos</t>
  </si>
  <si>
    <t>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</si>
  <si>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t>FACTOR 11. ORGANIZACIÓN, ADMINISTRACIÓN Y FINANCIACIÓN DEL PROGRAMA ACADÉMICO</t>
  </si>
  <si>
    <t xml:space="preserve"> Organización y administración</t>
  </si>
  <si>
    <t>Evidencia de la participación de representantes de la comunidad académica, a través de estructuras organizacionales definidas por la institución, y de su contribución, en el desarrollo y mejoramiento del programa.</t>
  </si>
  <si>
    <t>Estatuto Academico</t>
  </si>
  <si>
    <t>Apreciación de estudiantes, profesores y egresados sobre su participación en cuerpos colegiados, y en decisiones orientadas al mejoramiento del programa, junto con las acciones emprendidas como resultado de dichas apreciaciones.</t>
  </si>
  <si>
    <t>Evidencia de los mecanismos existentes para la dirección y gestión del programa que contribuyen al mejoramiento de las dinámicas administrativas y académicas y al relacionamiento con los grupos de interés.</t>
  </si>
  <si>
    <t>Apreciación de profesores y estudiantes sobre la eficiencia, eficacia y orientación de los procesos administrativos hacia el desarrollo de las labores formativas, académicas, docentes, científicas, culturales y de extensión, junto con las acciones emprendidas como resultado de dichas apreciaciones.</t>
  </si>
  <si>
    <t>Encuestas</t>
  </si>
  <si>
    <t>Presentación de estudios de satisfacción de profesores y estudiantes del programa acerca de la suficiencia y calidad de los recursos y sistemas de comunicación e información.</t>
  </si>
  <si>
    <t>Presentación de estadísticas y análisis del uso de los sistemas de comunicación e información, y de la implementación de estrategias que garanticen la conectividad a los miembros de la comunidad académica del programa.</t>
  </si>
  <si>
    <t>Sistemas información</t>
  </si>
  <si>
    <t>Evidencia de la aplicación de mecanismos de gestión documental, organización, actualización y seguridad de los registros y archivos académicos de estudiantes, profesores, personal directivo y administrativo.</t>
  </si>
  <si>
    <t>Presentación de estadísticas y análisis de las capacidades institucionales en materia de recursos humanos (planta docente y personal administrativo), técnicos, tecnológicos y financieros, que favorecen la permanencia, el desarrollo académico y la graduación de los estudiantes.</t>
  </si>
  <si>
    <t>cumplimiento del Proyecto Educativo del Programa, junto con las acciones emprendidas como resultado de dichas apreciaciones.</t>
  </si>
  <si>
    <t>pep y registro calificado</t>
  </si>
  <si>
    <t>Demostración de la consistencia entre la asignación y distribución presupuestal del programa, y el desarrollo de las actividades de docencia, investigación, creación artística y cultural, deportiva, proyección social, bienestar institucional e internacionalización, y la implementación de los planes de mejoramiento.</t>
  </si>
  <si>
    <t>Alison</t>
  </si>
  <si>
    <t>Presentación de la proyección y la ejecución del presupuesto de inversión y de funcionamiento del programa y los mecanismos de seguimiento y control.</t>
  </si>
  <si>
    <t>Decanatura</t>
  </si>
  <si>
    <t>Evidencia de la consolidación de un Sistema Interno de Aseguramiento de la Calidad que permita verificar, mediante unos procesos periódicos y participativos de autoevaluación, la alta calidad en cada uno de los factores y características del modelo del Consejo Nacional de Acreditación, en el programa.</t>
  </si>
  <si>
    <t>Autoevación y estructura interna</t>
  </si>
  <si>
    <t>En el caso de los programas académicos del área de la salud, evidencia de los procesos de autoevaluación sobre el funcionamiento del convenio docencia servicio en cada uno de los escenarios de práctica y su incidencia en los procesos de mejoramiento.</t>
  </si>
  <si>
    <t>FACTOR 12. RECURSOS FÍSICOS Y TECNOLÓGICOS</t>
  </si>
  <si>
    <t>Demostración de la existencia de aulas, laboratorios, talleres, centros de simulación, plataformas tecnológicas, biblioteca y salas de estudio, para el cumplimiento de las labores formativas, académicas, docentes, científicas, culturales y de extensión, en coherencia con el nivel de formación y la modalidad de oferta del programa.</t>
  </si>
  <si>
    <t>Evidencia de planes y proyectos realizados o en ejecución, para la conservación, expansión, mejoras y mantenimiento de la planta física para el programa, de acuerdo con las normas técnicas respectivas y con el nivel de formación y la modalidad de oferta del programa.</t>
  </si>
  <si>
    <t>Evidencia de la coherencia entre los recursos informáticos y de comunicación con las necesidades para el desarrollo y cumplimiento de las labores formativas, académicas, docentes, científicas, culturales del programa en el lugar de desarrollo y en los escenarios de práctica.</t>
  </si>
  <si>
    <t>Apreciación de directivos, profesores y estudiantes del programa sobre la pertinencia, correspondencia y suficiencia de los recursos informáticos y de comunicación con que cuenta el programa.</t>
  </si>
  <si>
    <t>Gráfico / Tema</t>
  </si>
  <si>
    <t>Factor CNA asociado</t>
  </si>
  <si>
    <t>Ubicación sugerida en Informe</t>
  </si>
  <si>
    <t>Docentes</t>
  </si>
  <si>
    <t>Años de experiencia</t>
  </si>
  <si>
    <r>
      <t>Factor 3: Profesores</t>
    </r>
    <r>
      <rPr>
        <sz val="11"/>
        <color theme="1"/>
        <rFont val="Calibri"/>
        <family val="2"/>
        <scheme val="minor"/>
      </rPr>
      <t xml:space="preserve"> (cualificación, experiencia)</t>
    </r>
  </si>
  <si>
    <t>Cap. II – Resultados por Factor 3</t>
  </si>
  <si>
    <t>Reglamento</t>
  </si>
  <si>
    <r>
      <t>Factor 3: Profesores</t>
    </r>
    <r>
      <rPr>
        <sz val="11"/>
        <color theme="1"/>
        <rFont val="Calibri"/>
        <family val="2"/>
        <scheme val="minor"/>
      </rPr>
      <t xml:space="preserve"> (normatividad y condiciones de vinculación)</t>
    </r>
  </si>
  <si>
    <t>Criterios (selección / evaluación)</t>
  </si>
  <si>
    <t>Factor 3: Profesores</t>
  </si>
  <si>
    <t>Sistemas de evaluación</t>
  </si>
  <si>
    <r>
      <t>Factor 5: Procesos Académicos</t>
    </r>
    <r>
      <rPr>
        <sz val="11"/>
        <color theme="1"/>
        <rFont val="Calibri"/>
        <family val="2"/>
        <scheme val="minor"/>
      </rPr>
      <t xml:space="preserve"> (estrategias de enseñanza, evaluación)</t>
    </r>
  </si>
  <si>
    <t>Cap. II – Resultados por Factor 5</t>
  </si>
  <si>
    <t>Proceso de autorregulación</t>
  </si>
  <si>
    <t>Factor 8: Autoevaluación y Autorregulación</t>
  </si>
  <si>
    <t>Cap. II – Resultados por Factor 8</t>
  </si>
  <si>
    <t>Políticas, programas y servicios</t>
  </si>
  <si>
    <t>Factor 6: Bienestar Institucional</t>
  </si>
  <si>
    <t>Cap. II – Resultados por Factor 6</t>
  </si>
  <si>
    <t>Acompañamiento proporcionado</t>
  </si>
  <si>
    <t>Procesos administrativos</t>
  </si>
  <si>
    <t>Factor 9: Organización, gestión y administración</t>
  </si>
  <si>
    <t>Cap. II – Resultados por Factor 9</t>
  </si>
  <si>
    <t>Recursos humanos</t>
  </si>
  <si>
    <t>Recursos informáticos</t>
  </si>
  <si>
    <r>
      <t>Factor 6: Bienestar Institucional</t>
    </r>
    <r>
      <rPr>
        <sz val="11"/>
        <color theme="1"/>
        <rFont val="Calibri"/>
        <family val="2"/>
        <scheme val="minor"/>
      </rPr>
      <t xml:space="preserve"> / </t>
    </r>
    <r>
      <rPr>
        <b/>
        <sz val="11"/>
        <color theme="1"/>
        <rFont val="Calibri"/>
        <family val="2"/>
        <scheme val="minor"/>
      </rPr>
      <t>Factor 11: Recursos Físicos y Financieros</t>
    </r>
  </si>
  <si>
    <t>Cap. II – Resultados por Factor 6 o 11</t>
  </si>
  <si>
    <t>Asignaturas en inglés / Nivel de inglés</t>
  </si>
  <si>
    <t>Factor 7: Internacionalización</t>
  </si>
  <si>
    <t>Cap. II – Resultados por Factor 7</t>
  </si>
  <si>
    <t>Disposición docente (continuar, compromiso)</t>
  </si>
  <si>
    <t>Factor 10: Visibilidad Nacional e Internacional</t>
  </si>
  <si>
    <t>Cap. II – Resultados por Factor 10</t>
  </si>
  <si>
    <t>Egresados</t>
  </si>
  <si>
    <t>Edad</t>
  </si>
  <si>
    <t>Factor 4: Egresados e Impacto sobre el medio</t>
  </si>
  <si>
    <t>Cap. II – Resultados por Factor 4</t>
  </si>
  <si>
    <t>Relación trabajo</t>
  </si>
  <si>
    <t>Oportunidades laborales</t>
  </si>
  <si>
    <t>Competencias adquiridas</t>
  </si>
  <si>
    <r>
      <t>Factor 4: Egresados</t>
    </r>
    <r>
      <rPr>
        <sz val="11"/>
        <color theme="1"/>
        <rFont val="Calibri"/>
        <family val="2"/>
        <scheme val="minor"/>
      </rPr>
      <t xml:space="preserve"> / </t>
    </r>
    <r>
      <rPr>
        <b/>
        <sz val="11"/>
        <color theme="1"/>
        <rFont val="Calibri"/>
        <family val="2"/>
        <scheme val="minor"/>
      </rPr>
      <t>Factor 5: Procesos Académicos</t>
    </r>
  </si>
  <si>
    <t>Cap. II – Resultados por Factor 4 y 5</t>
  </si>
  <si>
    <t>Influencia positiva del programa</t>
  </si>
  <si>
    <t>Factor 4: Egresados</t>
  </si>
  <si>
    <t>Estrategias de flexibilidad</t>
  </si>
  <si>
    <t>Factor 5: Procesos Académicos</t>
  </si>
  <si>
    <t>Representante estudiantil</t>
  </si>
  <si>
    <r>
      <t>Factor 2: Estudiantes</t>
    </r>
    <r>
      <rPr>
        <sz val="11"/>
        <color theme="1"/>
        <rFont val="Calibri"/>
        <family val="2"/>
        <scheme val="minor"/>
      </rPr>
      <t xml:space="preserve"> (participación)</t>
    </r>
  </si>
  <si>
    <t>Cap. II – Resultados por Factor 2</t>
  </si>
  <si>
    <t>Estudiantes</t>
  </si>
  <si>
    <t>Rango de edad</t>
  </si>
  <si>
    <t>Factor 2: Estudiantes</t>
  </si>
  <si>
    <t>Criterios y mecanismos de admisión</t>
  </si>
  <si>
    <t>Proceso de evaluación</t>
  </si>
  <si>
    <t>Intervenciones docentes</t>
  </si>
  <si>
    <t>Homólogos (comparación con otros programas)</t>
  </si>
  <si>
    <t>Factor 10: Visibilidad nacional e internacional</t>
  </si>
  <si>
    <t>Formación adecuada percibida</t>
  </si>
  <si>
    <t>Bienestar</t>
  </si>
  <si>
    <t>GRADO DE CUMPLIMIENTO</t>
  </si>
  <si>
    <t>CALIFICACIÓN</t>
  </si>
  <si>
    <t>ACTUAL</t>
  </si>
  <si>
    <t>PROCESO ANTERIOR</t>
  </si>
  <si>
    <t>Factor 1. Proyecto Educativo del Programa e Identidad Institucional</t>
  </si>
  <si>
    <t>Factor 2. Estudiantes</t>
  </si>
  <si>
    <t>Factor 3. Profesores</t>
  </si>
  <si>
    <t>Factor 4. Egresados</t>
  </si>
  <si>
    <t>Factor 5. Aspectos Académicos y Resultados de Aprendizaje</t>
  </si>
  <si>
    <t>Factor 6. Permanencia y Graduación.</t>
  </si>
  <si>
    <t>Factor 7. Interacción con el Entorno Nacional e Internacional</t>
  </si>
  <si>
    <t>Factor 8. Aportes de la Investigación, la Innovación, el Desarrollo Tecnológico y la Creación, Asociados al Programa Académico</t>
  </si>
  <si>
    <t>Factor 9. Bienestar de la Comunidad Académica del Programa</t>
  </si>
  <si>
    <t>Factor 10. Medios Educativos Y Ambientes De Aprendizaje</t>
  </si>
  <si>
    <t>Factor 11. Organización, Administración y Financiación del Programa Académico</t>
  </si>
  <si>
    <t>Factor 12. Recursos Físicos y Tecnológicos</t>
  </si>
  <si>
    <t>JUICIO GLOBAL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</si>
</sst>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00"/>
  </numFmts>
  <fonts count="19" x14ac:knownFonts="1">
    <font>
      <sz val="11"/>
      <color theme="1"/>
      <name val="Calibri"/>
      <family val="2"/>
      <scheme val="minor"/>
    </font>
    <font>
      <b/>
      <sz val="11"/>
      <color theme="1"/>
      <name val="Calibri"/>
      <family val="2"/>
      <scheme val="minor"/>
    </font>
    <font>
      <sz val="11"/>
      <color theme="1"/>
      <name val="Calibri"/>
      <family val="2"/>
      <scheme val="minor"/>
    </font>
    <font>
      <b/>
      <sz val="9"/>
      <color rgb="FF000000"/>
      <name val="Times New Roman"/>
      <family val="1"/>
    </font>
    <font>
      <sz val="9"/>
      <color theme="1"/>
      <name val="Times New Roman"/>
      <family val="1"/>
    </font>
    <font>
      <sz val="11"/>
      <color theme="1"/>
      <name val="Arial Narrow"/>
      <family val="2"/>
    </font>
    <font>
      <b/>
      <sz val="11"/>
      <color theme="1"/>
      <name val="Times New Roman"/>
      <family val="1"/>
    </font>
    <font>
      <b/>
      <sz val="9"/>
      <color theme="1"/>
      <name val="Times New Roman"/>
      <family val="1"/>
    </font>
    <font>
      <sz val="11"/>
      <color theme="1"/>
      <name val="Times New Roman"/>
      <family val="1"/>
    </font>
    <font>
      <b/>
      <sz val="9"/>
      <color rgb="FF000000"/>
      <name val="Calibri"/>
      <family val="2"/>
    </font>
    <font>
      <sz val="9"/>
      <color rgb="FF000000"/>
      <name val="Calibri"/>
      <family val="2"/>
    </font>
    <font>
      <b/>
      <sz val="11"/>
      <color rgb="FF000000"/>
      <name val="Calibri"/>
      <family val="2"/>
      <scheme val="minor"/>
    </font>
    <font>
      <i/>
      <sz val="10"/>
      <color theme="1"/>
      <name val="Calibri"/>
      <family val="2"/>
      <scheme val="minor"/>
    </font>
    <font>
      <sz val="11"/>
      <color rgb="FF000000"/>
      <name val="Calibri"/>
      <family val="2"/>
      <scheme val="minor"/>
    </font>
    <font>
      <sz val="11"/>
      <color rgb="FF000000"/>
      <name val="Calibri"/>
      <charset val="1"/>
    </font>
    <font>
      <i/>
      <sz val="11"/>
      <color theme="1"/>
      <name val="Calibri"/>
      <family val="2"/>
      <scheme val="minor"/>
    </font>
    <font>
      <b/>
      <sz val="8"/>
      <color theme="1"/>
      <name val="Times New Roman"/>
      <family val="1"/>
    </font>
    <font>
      <sz val="10"/>
      <color theme="1"/>
      <name val="Times New Roman"/>
      <family val="1"/>
    </font>
    <font>
      <b/>
      <sz val="10"/>
      <color theme="1"/>
      <name val="Times New Roman"/>
      <family val="1"/>
    </font>
  </fonts>
  <fills count="11">
    <fill>
      <patternFill patternType="none"/>
    </fill>
    <fill>
      <patternFill patternType="gray125"/>
    </fill>
    <fill>
      <patternFill patternType="solid">
        <fgColor theme="0" tint="-0.14999847407452621"/>
        <bgColor indexed="64"/>
      </patternFill>
    </fill>
    <fill>
      <patternFill patternType="solid">
        <fgColor rgb="FFB4C6E7"/>
        <bgColor indexed="64"/>
      </patternFill>
    </fill>
    <fill>
      <patternFill patternType="solid">
        <fgColor theme="0" tint="-4.9989318521683403E-2"/>
        <bgColor indexed="64"/>
      </patternFill>
    </fill>
    <fill>
      <patternFill patternType="solid">
        <fgColor rgb="FFDEEAF6"/>
        <bgColor indexed="64"/>
      </patternFill>
    </fill>
    <fill>
      <patternFill patternType="solid">
        <fgColor rgb="FFDDDDDD"/>
        <bgColor indexed="64"/>
      </patternFill>
    </fill>
    <fill>
      <patternFill patternType="solid">
        <fgColor rgb="FFF8F8F8"/>
        <bgColor indexed="64"/>
      </patternFill>
    </fill>
    <fill>
      <patternFill patternType="solid">
        <fgColor theme="0" tint="-0.249977111117893"/>
        <bgColor indexed="64"/>
      </patternFill>
    </fill>
    <fill>
      <patternFill patternType="solid">
        <fgColor rgb="FFFFFF00"/>
        <bgColor indexed="64"/>
      </patternFill>
    </fill>
    <fill>
      <patternFill patternType="solid">
        <fgColor rgb="FFD9E2F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rgb="FFDDDDDD"/>
      </left>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EAEAEA"/>
      </left>
      <right style="medium">
        <color rgb="FFEAEAEA"/>
      </right>
      <top/>
      <bottom style="medium">
        <color rgb="FFEAEAEA"/>
      </bottom>
      <diagonal/>
    </border>
    <border>
      <left/>
      <right style="medium">
        <color rgb="FFEAEAEA"/>
      </right>
      <top/>
      <bottom style="medium">
        <color rgb="FFEAEAEA"/>
      </bottom>
      <diagonal/>
    </border>
    <border>
      <left/>
      <right/>
      <top style="medium">
        <color rgb="FFDDDDDD"/>
      </top>
      <bottom style="medium">
        <color rgb="FFDDDDDD"/>
      </bottom>
      <diagonal/>
    </border>
    <border>
      <left style="medium">
        <color rgb="FFEAEAEA"/>
      </left>
      <right/>
      <top style="medium">
        <color rgb="FFEAEAEA"/>
      </top>
      <bottom style="medium">
        <color rgb="FFEAEAEA"/>
      </bottom>
      <diagonal/>
    </border>
    <border>
      <left/>
      <right style="medium">
        <color rgb="FFEAEAEA"/>
      </right>
      <top style="medium">
        <color rgb="FFEAEAEA"/>
      </top>
      <bottom style="medium">
        <color rgb="FFEAEAEA"/>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
    <xf numFmtId="0" fontId="0" fillId="0" borderId="0"/>
    <xf numFmtId="9" fontId="2" fillId="0" borderId="0" applyFont="0" applyFill="0" applyBorder="0" applyAlignment="0" applyProtection="0"/>
  </cellStyleXfs>
  <cellXfs count="135">
    <xf numFmtId="0" fontId="0" fillId="0" borderId="0" xfId="0"/>
    <xf numFmtId="0" fontId="0" fillId="0" borderId="0" xfId="0"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xf numFmtId="0" fontId="0" fillId="2" borderId="1" xfId="0" applyFill="1" applyBorder="1" applyAlignment="1">
      <alignment horizontal="center" vertical="center"/>
    </xf>
    <xf numFmtId="10" fontId="1" fillId="2" borderId="0" xfId="0" applyNumberFormat="1" applyFont="1" applyFill="1"/>
    <xf numFmtId="0" fontId="0" fillId="0" borderId="1" xfId="0" applyBorder="1" applyAlignment="1">
      <alignment horizontal="center"/>
    </xf>
    <xf numFmtId="10" fontId="0" fillId="0" borderId="1" xfId="0" applyNumberFormat="1" applyBorder="1"/>
    <xf numFmtId="10" fontId="0" fillId="0" borderId="1" xfId="0" applyNumberFormat="1" applyBorder="1" applyAlignment="1">
      <alignment horizontal="center"/>
    </xf>
    <xf numFmtId="0" fontId="0" fillId="0" borderId="1" xfId="0" applyBorder="1" applyAlignment="1">
      <alignment horizontal="left"/>
    </xf>
    <xf numFmtId="0" fontId="0" fillId="0" borderId="1" xfId="0" applyBorder="1" applyAlignment="1">
      <alignment horizontal="center" wrapText="1"/>
    </xf>
    <xf numFmtId="0" fontId="0" fillId="2" borderId="1" xfId="0" applyFill="1" applyBorder="1" applyAlignment="1">
      <alignment horizontal="center" vertical="center" wrapText="1"/>
    </xf>
    <xf numFmtId="0" fontId="0" fillId="0" borderId="0" xfId="0" applyAlignment="1">
      <alignment wrapText="1"/>
    </xf>
    <xf numFmtId="10" fontId="0" fillId="0" borderId="1" xfId="1" applyNumberFormat="1" applyFont="1" applyBorder="1" applyAlignment="1">
      <alignment horizontal="center"/>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4" fillId="0" borderId="9" xfId="0" applyFont="1" applyBorder="1" applyAlignment="1">
      <alignment horizontal="left" vertical="center" wrapText="1" indent="2"/>
    </xf>
    <xf numFmtId="10" fontId="4" fillId="0" borderId="9" xfId="0" applyNumberFormat="1" applyFont="1" applyBorder="1" applyAlignment="1">
      <alignment vertical="center" wrapText="1"/>
    </xf>
    <xf numFmtId="10" fontId="0" fillId="0" borderId="1" xfId="0" applyNumberFormat="1" applyBorder="1" applyAlignment="1">
      <alignment horizontal="center" vertical="center"/>
    </xf>
    <xf numFmtId="0" fontId="1" fillId="4" borderId="0" xfId="0" applyFont="1" applyFill="1" applyAlignment="1">
      <alignment horizontal="center" vertical="center"/>
    </xf>
    <xf numFmtId="0" fontId="9" fillId="6" borderId="11" xfId="0" applyFont="1" applyFill="1" applyBorder="1" applyAlignment="1">
      <alignment horizontal="center" vertical="center" wrapText="1"/>
    </xf>
    <xf numFmtId="0" fontId="9"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9"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9" fillId="6" borderId="12" xfId="0" applyFont="1" applyFill="1" applyBorder="1" applyAlignment="1">
      <alignment horizontal="center" vertical="center" wrapText="1"/>
    </xf>
    <xf numFmtId="0" fontId="9" fillId="6" borderId="12" xfId="0" applyFont="1" applyFill="1" applyBorder="1" applyAlignment="1">
      <alignment horizontal="justify" vertical="center" wrapText="1"/>
    </xf>
    <xf numFmtId="0" fontId="10" fillId="7" borderId="13" xfId="0" applyFont="1" applyFill="1" applyBorder="1" applyAlignment="1">
      <alignment horizontal="center" vertical="center" wrapText="1"/>
    </xf>
    <xf numFmtId="0" fontId="10" fillId="0" borderId="13" xfId="0" applyFont="1" applyBorder="1" applyAlignment="1">
      <alignment horizontal="center" vertical="center" wrapText="1"/>
    </xf>
    <xf numFmtId="0" fontId="9" fillId="6" borderId="15" xfId="0" applyFont="1" applyFill="1" applyBorder="1" applyAlignment="1">
      <alignment horizontal="center" vertical="center" wrapText="1"/>
    </xf>
    <xf numFmtId="10" fontId="10" fillId="7" borderId="13" xfId="0" applyNumberFormat="1" applyFont="1" applyFill="1" applyBorder="1" applyAlignment="1">
      <alignment horizontal="center" vertical="center" wrapText="1"/>
    </xf>
    <xf numFmtId="0" fontId="12" fillId="0" borderId="0" xfId="0" applyFont="1" applyAlignment="1">
      <alignment horizontal="center" vertical="center"/>
    </xf>
    <xf numFmtId="9" fontId="10" fillId="7" borderId="13" xfId="0" applyNumberFormat="1" applyFont="1" applyFill="1" applyBorder="1" applyAlignment="1">
      <alignment horizontal="center" vertical="center" wrapText="1"/>
    </xf>
    <xf numFmtId="0" fontId="12" fillId="0" borderId="0" xfId="0" applyFont="1" applyAlignment="1">
      <alignment horizontal="left" vertical="center"/>
    </xf>
    <xf numFmtId="9" fontId="9" fillId="7" borderId="13" xfId="0" applyNumberFormat="1" applyFont="1" applyFill="1" applyBorder="1" applyAlignment="1">
      <alignment horizontal="center" vertical="center" wrapText="1"/>
    </xf>
    <xf numFmtId="0" fontId="13" fillId="0" borderId="0" xfId="0" applyFont="1" applyAlignment="1">
      <alignment horizontal="justify" vertical="center"/>
    </xf>
    <xf numFmtId="10" fontId="10" fillId="7" borderId="14" xfId="0" applyNumberFormat="1" applyFont="1" applyFill="1" applyBorder="1" applyAlignment="1">
      <alignment horizontal="center" vertical="center" wrapText="1"/>
    </xf>
    <xf numFmtId="10" fontId="10" fillId="0" borderId="14" xfId="0" applyNumberFormat="1" applyFont="1" applyBorder="1" applyAlignment="1">
      <alignment horizontal="center" vertical="center" wrapText="1"/>
    </xf>
    <xf numFmtId="0" fontId="10" fillId="0" borderId="14" xfId="0" applyFont="1" applyBorder="1" applyAlignment="1">
      <alignment horizontal="center" vertical="center"/>
    </xf>
    <xf numFmtId="0" fontId="9" fillId="7" borderId="13" xfId="0" applyFont="1" applyFill="1" applyBorder="1" applyAlignment="1">
      <alignment horizontal="center" vertical="center"/>
    </xf>
    <xf numFmtId="0" fontId="9" fillId="7" borderId="14" xfId="0" applyFont="1" applyFill="1" applyBorder="1" applyAlignment="1">
      <alignment horizontal="center" vertical="center"/>
    </xf>
    <xf numFmtId="0" fontId="9" fillId="7" borderId="14" xfId="0" applyFont="1" applyFill="1" applyBorder="1" applyAlignment="1">
      <alignment horizontal="center" vertical="center" wrapText="1"/>
    </xf>
    <xf numFmtId="9" fontId="9" fillId="7" borderId="16" xfId="0" applyNumberFormat="1" applyFont="1" applyFill="1" applyBorder="1" applyAlignment="1">
      <alignment horizontal="center" vertical="center"/>
    </xf>
    <xf numFmtId="9" fontId="9" fillId="7" borderId="17" xfId="0" applyNumberFormat="1" applyFont="1" applyFill="1" applyBorder="1" applyAlignment="1">
      <alignment horizontal="center" vertical="center"/>
    </xf>
    <xf numFmtId="0" fontId="9" fillId="6"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10" fontId="10" fillId="7" borderId="1" xfId="0" applyNumberFormat="1" applyFont="1" applyFill="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10" fontId="10" fillId="0" borderId="1" xfId="0" applyNumberFormat="1" applyFont="1" applyBorder="1" applyAlignment="1">
      <alignment horizontal="center" vertical="center" wrapText="1"/>
    </xf>
    <xf numFmtId="0" fontId="10" fillId="0" borderId="1" xfId="0" applyFont="1" applyBorder="1" applyAlignment="1">
      <alignment horizontal="center" vertical="center"/>
    </xf>
    <xf numFmtId="0" fontId="6"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0" borderId="1" xfId="0" applyFont="1" applyBorder="1" applyAlignment="1">
      <alignment vertical="center" wrapText="1"/>
    </xf>
    <xf numFmtId="165" fontId="5" fillId="0" borderId="18" xfId="1" applyNumberFormat="1" applyFont="1" applyBorder="1" applyAlignment="1">
      <alignment vertical="center"/>
    </xf>
    <xf numFmtId="165" fontId="5" fillId="0" borderId="19" xfId="1" applyNumberFormat="1" applyFont="1" applyBorder="1" applyAlignment="1">
      <alignment vertical="center"/>
    </xf>
    <xf numFmtId="165" fontId="5" fillId="0" borderId="20" xfId="1" applyNumberFormat="1" applyFont="1" applyBorder="1" applyAlignment="1">
      <alignment vertical="center"/>
    </xf>
    <xf numFmtId="0" fontId="1" fillId="8" borderId="1" xfId="0" applyFont="1" applyFill="1" applyBorder="1" applyAlignment="1">
      <alignment horizontal="center" vertical="center" wrapText="1"/>
    </xf>
    <xf numFmtId="0" fontId="1" fillId="8" borderId="0" xfId="0" applyFont="1" applyFill="1" applyAlignment="1">
      <alignment horizontal="center" vertical="center" wrapText="1"/>
    </xf>
    <xf numFmtId="0" fontId="14" fillId="0" borderId="0" xfId="0" applyFont="1"/>
    <xf numFmtId="0" fontId="6" fillId="5" borderId="9" xfId="0" applyFont="1" applyFill="1" applyBorder="1" applyAlignment="1">
      <alignment horizontal="center" vertical="center" wrapText="1"/>
    </xf>
    <xf numFmtId="0" fontId="8" fillId="0" borderId="7" xfId="0" applyFont="1" applyBorder="1" applyAlignment="1">
      <alignment horizontal="justify" vertical="center" wrapText="1"/>
    </xf>
    <xf numFmtId="0" fontId="8" fillId="0" borderId="9" xfId="0" applyFont="1" applyBorder="1" applyAlignment="1">
      <alignment horizontal="center" vertical="center" wrapText="1"/>
    </xf>
    <xf numFmtId="0" fontId="6" fillId="5" borderId="23"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166" fontId="1" fillId="8" borderId="1" xfId="0" applyNumberFormat="1" applyFont="1" applyFill="1" applyBorder="1" applyAlignment="1">
      <alignment horizontal="center" vertical="center" wrapText="1"/>
    </xf>
    <xf numFmtId="166" fontId="0" fillId="0" borderId="1" xfId="0" applyNumberFormat="1" applyBorder="1" applyAlignment="1">
      <alignment horizontal="center" vertical="center"/>
    </xf>
    <xf numFmtId="166" fontId="0" fillId="0" borderId="0" xfId="0" applyNumberFormat="1"/>
    <xf numFmtId="0" fontId="15"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10" fontId="0" fillId="0" borderId="1" xfId="0" applyNumberFormat="1" applyBorder="1" applyAlignment="1">
      <alignment horizontal="center" vertical="center"/>
    </xf>
    <xf numFmtId="0" fontId="0" fillId="9" borderId="0" xfId="0" applyFill="1"/>
    <xf numFmtId="0" fontId="16" fillId="10" borderId="25" xfId="0" applyFont="1" applyFill="1" applyBorder="1" applyAlignment="1">
      <alignment horizontal="center" vertical="center" wrapText="1"/>
    </xf>
    <xf numFmtId="0" fontId="16" fillId="10" borderId="9" xfId="0" applyFont="1" applyFill="1" applyBorder="1" applyAlignment="1">
      <alignment horizontal="center" vertical="center" wrapText="1"/>
    </xf>
    <xf numFmtId="0" fontId="18" fillId="10" borderId="7" xfId="0" applyFont="1" applyFill="1" applyBorder="1" applyAlignment="1">
      <alignment horizontal="center" vertical="center" wrapText="1"/>
    </xf>
    <xf numFmtId="9" fontId="18" fillId="10" borderId="9" xfId="0" applyNumberFormat="1"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0" fillId="0" borderId="24" xfId="0" applyFont="1" applyBorder="1" applyAlignment="1">
      <alignment horizontal="center" vertical="center" wrapText="1"/>
    </xf>
    <xf numFmtId="0" fontId="17" fillId="0" borderId="26" xfId="0" applyFont="1" applyBorder="1" applyAlignment="1">
      <alignment horizontal="center" vertical="center" wrapText="1"/>
    </xf>
    <xf numFmtId="0" fontId="8" fillId="0" borderId="1" xfId="0" applyFont="1" applyBorder="1" applyAlignment="1">
      <alignment horizontal="center" vertical="center" wrapText="1"/>
    </xf>
    <xf numFmtId="2" fontId="18" fillId="10" borderId="9" xfId="0" applyNumberFormat="1" applyFont="1" applyFill="1" applyBorder="1" applyAlignment="1">
      <alignment horizontal="center" vertical="center" wrapText="1"/>
    </xf>
    <xf numFmtId="167" fontId="10" fillId="7" borderId="1" xfId="1" applyNumberFormat="1" applyFont="1" applyFill="1" applyBorder="1" applyAlignment="1">
      <alignment horizontal="center" vertical="center" wrapText="1"/>
    </xf>
    <xf numFmtId="0" fontId="0" fillId="0" borderId="1" xfId="0" applyBorder="1" applyAlignment="1">
      <alignment horizontal="center" vertical="center"/>
    </xf>
    <xf numFmtId="10" fontId="1" fillId="2" borderId="1" xfId="0" applyNumberFormat="1"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0" fontId="1" fillId="2" borderId="2" xfId="0" applyNumberFormat="1" applyFont="1" applyFill="1" applyBorder="1" applyAlignment="1">
      <alignment horizontal="center" vertical="center"/>
    </xf>
    <xf numFmtId="10" fontId="1" fillId="2" borderId="3" xfId="0" applyNumberFormat="1" applyFont="1"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center" vertical="center"/>
    </xf>
    <xf numFmtId="164" fontId="1" fillId="2" borderId="2" xfId="0" applyNumberFormat="1" applyFont="1" applyFill="1" applyBorder="1" applyAlignment="1">
      <alignment horizontal="center" vertical="center"/>
    </xf>
    <xf numFmtId="164" fontId="1" fillId="2" borderId="4"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0" fontId="0" fillId="0" borderId="1" xfId="0" applyBorder="1" applyAlignment="1">
      <alignment horizontal="center" vertical="center" wrapText="1"/>
    </xf>
    <xf numFmtId="10" fontId="1" fillId="2" borderId="1" xfId="0" applyNumberFormat="1"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 xfId="0" applyFont="1" applyBorder="1" applyAlignment="1">
      <alignment vertical="center" wrapText="1"/>
    </xf>
    <xf numFmtId="0" fontId="4" fillId="0" borderId="7" xfId="0" applyFont="1" applyBorder="1" applyAlignment="1">
      <alignment vertical="center" wrapText="1"/>
    </xf>
    <xf numFmtId="10" fontId="4" fillId="0" borderId="10" xfId="0" applyNumberFormat="1" applyFont="1" applyBorder="1" applyAlignment="1">
      <alignment horizontal="center" vertical="center" wrapText="1"/>
    </xf>
    <xf numFmtId="0" fontId="4" fillId="0" borderId="8" xfId="0" applyFont="1" applyBorder="1" applyAlignment="1">
      <alignment vertical="center" wrapText="1"/>
    </xf>
    <xf numFmtId="0" fontId="4" fillId="0" borderId="10" xfId="0" applyFont="1" applyBorder="1" applyAlignment="1">
      <alignment horizontal="left" vertical="center" wrapText="1" indent="2"/>
    </xf>
    <xf numFmtId="0" fontId="4" fillId="0" borderId="7" xfId="0" applyFont="1" applyBorder="1" applyAlignment="1">
      <alignment horizontal="left" vertical="center" wrapText="1" indent="2"/>
    </xf>
    <xf numFmtId="10" fontId="4" fillId="0" borderId="10" xfId="0" applyNumberFormat="1" applyFont="1" applyBorder="1" applyAlignment="1">
      <alignment vertical="center" wrapText="1"/>
    </xf>
    <xf numFmtId="0" fontId="0" fillId="0" borderId="0" xfId="0" applyAlignment="1">
      <alignment horizontal="center"/>
    </xf>
    <xf numFmtId="0" fontId="0" fillId="0" borderId="19" xfId="0" applyBorder="1" applyAlignment="1">
      <alignment horizontal="center"/>
    </xf>
    <xf numFmtId="0" fontId="8" fillId="0" borderId="21"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0" xfId="0" applyFont="1" applyBorder="1" applyAlignment="1">
      <alignment horizontal="center" vertical="center" wrapText="1"/>
    </xf>
    <xf numFmtId="0" fontId="6" fillId="5" borderId="1" xfId="0" applyFont="1" applyFill="1" applyBorder="1" applyAlignment="1">
      <alignment horizontal="center" vertical="center" wrapText="1"/>
    </xf>
    <xf numFmtId="0" fontId="8" fillId="0" borderId="1" xfId="0" applyFont="1" applyBorder="1" applyAlignment="1">
      <alignment vertical="center" wrapText="1"/>
    </xf>
    <xf numFmtId="0" fontId="0" fillId="9" borderId="1" xfId="0" applyFill="1" applyBorder="1" applyAlignment="1">
      <alignment horizontal="center" vertical="center" wrapText="1"/>
    </xf>
    <xf numFmtId="0" fontId="11" fillId="0" borderId="0" xfId="0" applyFont="1" applyAlignment="1">
      <alignment horizontal="center" vertical="center"/>
    </xf>
    <xf numFmtId="0" fontId="9" fillId="6" borderId="11"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11" fillId="0" borderId="0" xfId="0" applyFont="1" applyAlignment="1">
      <alignment horizontal="left" vertical="center"/>
    </xf>
    <xf numFmtId="166" fontId="0" fillId="0" borderId="1" xfId="0" applyNumberFormat="1" applyBorder="1" applyAlignment="1">
      <alignment horizontal="center" vertical="center"/>
    </xf>
    <xf numFmtId="0" fontId="6" fillId="5" borderId="10" xfId="0" applyFont="1" applyFill="1" applyBorder="1" applyAlignment="1">
      <alignment horizontal="center" vertical="center" wrapText="1"/>
    </xf>
    <xf numFmtId="0" fontId="6" fillId="5" borderId="7" xfId="0" applyFont="1" applyFill="1" applyBorder="1" applyAlignment="1">
      <alignment horizontal="center" vertical="center" wrapText="1"/>
    </xf>
    <xf numFmtId="1" fontId="0" fillId="0" borderId="1" xfId="0" applyNumberFormat="1" applyBorder="1" applyAlignment="1">
      <alignment horizontal="center" vertical="center"/>
    </xf>
    <xf numFmtId="10" fontId="0" fillId="0" borderId="1" xfId="0" applyNumberFormat="1" applyBorder="1" applyAlignment="1">
      <alignment horizontal="center" vertical="center"/>
    </xf>
    <xf numFmtId="0" fontId="16" fillId="10" borderId="10" xfId="0" applyFont="1" applyFill="1" applyBorder="1" applyAlignment="1">
      <alignment horizontal="center" vertical="center" wrapText="1"/>
    </xf>
    <xf numFmtId="0" fontId="16" fillId="10" borderId="7" xfId="0" applyFont="1" applyFill="1" applyBorder="1" applyAlignment="1">
      <alignment horizontal="center" vertical="center" wrapText="1"/>
    </xf>
    <xf numFmtId="0" fontId="16" fillId="10" borderId="8"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tx>
            <c:strRef>
              <c:f>Graficos!$C$17</c:f>
              <c:strCache>
                <c:ptCount val="1"/>
                <c:pt idx="0">
                  <c:v>PONDERACIÓN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15-4707-8276-3C67EA172B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15-4707-8276-3C67EA172B4B}"/>
              </c:ext>
            </c:extLst>
          </c:dPt>
          <c:cat>
            <c:strRef>
              <c:f>Graficos!$B$18:$B$19</c:f>
              <c:strCache>
                <c:ptCount val="2"/>
                <c:pt idx="0">
                  <c:v> Proyecto educativo del Programa.	</c:v>
                </c:pt>
                <c:pt idx="1">
                  <c:v>Relevancia académica y pertinencia social del programa académico</c:v>
                </c:pt>
              </c:strCache>
            </c:strRef>
          </c:cat>
          <c:val>
            <c:numRef>
              <c:f>Graficos!$C$18:$C$19</c:f>
              <c:numCache>
                <c:formatCode>0.00%</c:formatCode>
                <c:ptCount val="2"/>
                <c:pt idx="0">
                  <c:v>0.53846153846153844</c:v>
                </c:pt>
                <c:pt idx="1">
                  <c:v>0.46153846153846156</c:v>
                </c:pt>
              </c:numCache>
            </c:numRef>
          </c:val>
          <c:extLst>
            <c:ext xmlns:c16="http://schemas.microsoft.com/office/drawing/2014/chart" uri="{C3380CC4-5D6E-409C-BE32-E72D297353CC}">
              <c16:uniqueId val="{00000000-EA30-4178-AE8C-2CA3DF714AF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Graficos!$C$22</c:f>
              <c:strCache>
                <c:ptCount val="1"/>
                <c:pt idx="0">
                  <c:v>PONDERACIÓN</c:v>
                </c:pt>
              </c:strCache>
            </c:strRef>
          </c:tx>
          <c:spPr>
            <a:solidFill>
              <a:schemeClr val="accent1"/>
            </a:solidFill>
            <a:ln>
              <a:noFill/>
            </a:ln>
            <a:effectLst/>
          </c:spPr>
          <c:invertIfNegative val="0"/>
          <c:cat>
            <c:strRef>
              <c:f>Graficos!$B$23:$B$27</c:f>
              <c:strCache>
                <c:ptCount val="5"/>
                <c:pt idx="0">
                  <c:v>Participación en actividades de formación integral	</c:v>
                </c:pt>
                <c:pt idx="1">
                  <c:v>			Orientación y seguimiento a estudiantes	</c:v>
                </c:pt>
                <c:pt idx="2">
                  <c:v>			Capacidad de trabajo autónomo	</c:v>
                </c:pt>
                <c:pt idx="3">
                  <c:v>			Reglamento estudiantil y política académica	</c:v>
                </c:pt>
                <c:pt idx="4">
                  <c:v>Estímulos y apoyos para estudiantes</c:v>
                </c:pt>
              </c:strCache>
            </c:strRef>
          </c:cat>
          <c:val>
            <c:numRef>
              <c:f>Graficos!$C$23:$C$27</c:f>
              <c:numCache>
                <c:formatCode>0.00%</c:formatCode>
                <c:ptCount val="5"/>
                <c:pt idx="0">
                  <c:v>0.33139534883720928</c:v>
                </c:pt>
                <c:pt idx="1">
                  <c:v>0.18023255813953487</c:v>
                </c:pt>
                <c:pt idx="2">
                  <c:v>0.19186046511627908</c:v>
                </c:pt>
                <c:pt idx="3">
                  <c:v>0.13372093023255813</c:v>
                </c:pt>
                <c:pt idx="4">
                  <c:v>0.16279069767441862</c:v>
                </c:pt>
              </c:numCache>
            </c:numRef>
          </c:val>
          <c:extLst>
            <c:ext xmlns:c16="http://schemas.microsoft.com/office/drawing/2014/chart" uri="{C3380CC4-5D6E-409C-BE32-E72D297353CC}">
              <c16:uniqueId val="{00000000-EA18-4218-8B07-8FF032DFC699}"/>
            </c:ext>
          </c:extLst>
        </c:ser>
        <c:dLbls>
          <c:showLegendKey val="0"/>
          <c:showVal val="0"/>
          <c:showCatName val="0"/>
          <c:showSerName val="0"/>
          <c:showPercent val="0"/>
          <c:showBubbleSize val="0"/>
        </c:dLbls>
        <c:gapWidth val="219"/>
        <c:overlap val="-27"/>
        <c:axId val="296436367"/>
        <c:axId val="296436847"/>
      </c:barChart>
      <c:catAx>
        <c:axId val="29643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6436847"/>
        <c:crosses val="autoZero"/>
        <c:auto val="1"/>
        <c:lblAlgn val="ctr"/>
        <c:lblOffset val="100"/>
        <c:noMultiLvlLbl val="0"/>
      </c:catAx>
      <c:valAx>
        <c:axId val="296436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6436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Graficos!$C$30</c:f>
              <c:strCache>
                <c:ptCount val="1"/>
                <c:pt idx="0">
                  <c:v>PONDERACIÓN</c:v>
                </c:pt>
              </c:strCache>
            </c:strRef>
          </c:tx>
          <c:spPr>
            <a:solidFill>
              <a:schemeClr val="accent1"/>
            </a:solidFill>
            <a:ln>
              <a:noFill/>
            </a:ln>
            <a:effectLst/>
          </c:spPr>
          <c:invertIfNegative val="0"/>
          <c:cat>
            <c:strRef>
              <c:f>Graficos!$B$31:$B$38</c:f>
              <c:strCache>
                <c:ptCount val="8"/>
                <c:pt idx="0">
                  <c:v>Selección, vinculación y permanencia	</c:v>
                </c:pt>
                <c:pt idx="1">
                  <c:v>			Estatuto profesoral	</c:v>
                </c:pt>
                <c:pt idx="2">
                  <c:v>			Número, dedicación, nivel de formación y experiencia	</c:v>
                </c:pt>
                <c:pt idx="3">
                  <c:v>			Desarrollo profesoral	</c:v>
                </c:pt>
                <c:pt idx="4">
                  <c:v>			Estímulos a la trayectoria profesoral	</c:v>
                </c:pt>
                <c:pt idx="5">
                  <c:v>			Producción, pertinencia, utilización e impacto del material docente	</c:v>
                </c:pt>
                <c:pt idx="6">
                  <c:v>			Remuneración por méritos	</c:v>
                </c:pt>
                <c:pt idx="7">
                  <c:v>Evaluación de profesores</c:v>
                </c:pt>
              </c:strCache>
            </c:strRef>
          </c:cat>
          <c:val>
            <c:numRef>
              <c:f>Graficos!$C$31:$C$38</c:f>
              <c:numCache>
                <c:formatCode>0.00%</c:formatCode>
                <c:ptCount val="8"/>
                <c:pt idx="0">
                  <c:v>0.17129629629629631</c:v>
                </c:pt>
                <c:pt idx="1">
                  <c:v>0.13734567901234568</c:v>
                </c:pt>
                <c:pt idx="2">
                  <c:v>0.15740740740740741</c:v>
                </c:pt>
                <c:pt idx="3">
                  <c:v>0.15277777777777779</c:v>
                </c:pt>
                <c:pt idx="4">
                  <c:v>0.10339506172839506</c:v>
                </c:pt>
                <c:pt idx="5">
                  <c:v>0.11728395061728394</c:v>
                </c:pt>
                <c:pt idx="6">
                  <c:v>9.4135802469135804E-2</c:v>
                </c:pt>
                <c:pt idx="7">
                  <c:v>6.6358024691358028E-2</c:v>
                </c:pt>
              </c:numCache>
            </c:numRef>
          </c:val>
          <c:extLst>
            <c:ext xmlns:c16="http://schemas.microsoft.com/office/drawing/2014/chart" uri="{C3380CC4-5D6E-409C-BE32-E72D297353CC}">
              <c16:uniqueId val="{00000000-F2C5-421C-BA21-37003008D5C2}"/>
            </c:ext>
          </c:extLst>
        </c:ser>
        <c:dLbls>
          <c:showLegendKey val="0"/>
          <c:showVal val="0"/>
          <c:showCatName val="0"/>
          <c:showSerName val="0"/>
          <c:showPercent val="0"/>
          <c:showBubbleSize val="0"/>
        </c:dLbls>
        <c:gapWidth val="182"/>
        <c:axId val="17773183"/>
        <c:axId val="17774623"/>
      </c:barChart>
      <c:catAx>
        <c:axId val="17773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774623"/>
        <c:crosses val="autoZero"/>
        <c:auto val="1"/>
        <c:lblAlgn val="ctr"/>
        <c:lblOffset val="100"/>
        <c:noMultiLvlLbl val="0"/>
      </c:catAx>
      <c:valAx>
        <c:axId val="177746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773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Graficos!$C$41</c:f>
              <c:strCache>
                <c:ptCount val="1"/>
                <c:pt idx="0">
                  <c:v>PONDERACIÓN</c:v>
                </c:pt>
              </c:strCache>
            </c:strRef>
          </c:tx>
          <c:spPr>
            <a:solidFill>
              <a:schemeClr val="accent1"/>
            </a:solidFill>
            <a:ln>
              <a:noFill/>
            </a:ln>
            <a:effectLst/>
          </c:spPr>
          <c:invertIfNegative val="0"/>
          <c:cat>
            <c:strRef>
              <c:f>Graficos!$B$42:$B$50</c:f>
              <c:strCache>
                <c:ptCount val="9"/>
                <c:pt idx="0">
                  <c:v>Integralidad de los aspectos curriculares	</c:v>
                </c:pt>
                <c:pt idx="1">
                  <c:v>			Flexibilidad de los aspectos curriculares	</c:v>
                </c:pt>
                <c:pt idx="2">
                  <c:v>			Interdisciplinariedad	</c:v>
                </c:pt>
                <c:pt idx="3">
                  <c:v>			Estrategias pedagógicas	</c:v>
                </c:pt>
                <c:pt idx="4">
                  <c:v>			Sistema de evaluación de estudiantes	</c:v>
                </c:pt>
                <c:pt idx="5">
                  <c:v>			Resultados de aprendizaje	</c:v>
                </c:pt>
                <c:pt idx="6">
                  <c:v>			Competencias	</c:v>
                </c:pt>
                <c:pt idx="7">
                  <c:v>			Evaluación y autorregulación del programa académico	</c:v>
                </c:pt>
                <c:pt idx="8">
                  <c:v>Vinculación e interacción social</c:v>
                </c:pt>
              </c:strCache>
            </c:strRef>
          </c:cat>
          <c:val>
            <c:numRef>
              <c:f>Graficos!$C$42:$C$50</c:f>
              <c:numCache>
                <c:formatCode>0.00%</c:formatCode>
                <c:ptCount val="9"/>
                <c:pt idx="0">
                  <c:v>0.17160493827160495</c:v>
                </c:pt>
                <c:pt idx="1">
                  <c:v>0.14691358024691359</c:v>
                </c:pt>
                <c:pt idx="2">
                  <c:v>0.12839506172839507</c:v>
                </c:pt>
                <c:pt idx="3">
                  <c:v>0.11358024691358025</c:v>
                </c:pt>
                <c:pt idx="4">
                  <c:v>7.5308641975308649E-2</c:v>
                </c:pt>
                <c:pt idx="5">
                  <c:v>0.12839506172839507</c:v>
                </c:pt>
                <c:pt idx="6">
                  <c:v>0.10987654320987654</c:v>
                </c:pt>
                <c:pt idx="7">
                  <c:v>6.7901234567901231E-2</c:v>
                </c:pt>
                <c:pt idx="8">
                  <c:v>5.802469135802469E-2</c:v>
                </c:pt>
              </c:numCache>
            </c:numRef>
          </c:val>
          <c:extLst>
            <c:ext xmlns:c16="http://schemas.microsoft.com/office/drawing/2014/chart" uri="{C3380CC4-5D6E-409C-BE32-E72D297353CC}">
              <c16:uniqueId val="{00000000-89D7-4FFD-AF6A-201C4087F56F}"/>
            </c:ext>
          </c:extLst>
        </c:ser>
        <c:dLbls>
          <c:showLegendKey val="0"/>
          <c:showVal val="0"/>
          <c:showCatName val="0"/>
          <c:showSerName val="0"/>
          <c:showPercent val="0"/>
          <c:showBubbleSize val="0"/>
        </c:dLbls>
        <c:gapWidth val="182"/>
        <c:axId val="584144559"/>
        <c:axId val="584145519"/>
      </c:barChart>
      <c:catAx>
        <c:axId val="58414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84145519"/>
        <c:crosses val="autoZero"/>
        <c:auto val="1"/>
        <c:lblAlgn val="ctr"/>
        <c:lblOffset val="100"/>
        <c:noMultiLvlLbl val="0"/>
      </c:catAx>
      <c:valAx>
        <c:axId val="5841455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84144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Graficos!$C$53</c:f>
              <c:strCache>
                <c:ptCount val="1"/>
                <c:pt idx="0">
                  <c:v>PONDERACIÓN</c:v>
                </c:pt>
              </c:strCache>
            </c:strRef>
          </c:tx>
          <c:spPr>
            <a:solidFill>
              <a:schemeClr val="accent1"/>
            </a:solidFill>
            <a:ln>
              <a:noFill/>
            </a:ln>
            <a:effectLst/>
          </c:spPr>
          <c:invertIfNegative val="0"/>
          <c:cat>
            <c:strRef>
              <c:f>Graficos!$B$54:$B$57</c:f>
              <c:strCache>
                <c:ptCount val="4"/>
                <c:pt idx="0">
                  <c:v>Políticas, estrategias y estructura para la permanencia y la graduación	</c:v>
                </c:pt>
                <c:pt idx="1">
                  <c:v>			Caracterización de estudiantes y sistema de alertas tempranas	</c:v>
                </c:pt>
                <c:pt idx="2">
                  <c:v>			Ajustes a los aspectos curriculares	</c:v>
                </c:pt>
                <c:pt idx="3">
                  <c:v>Mecanismos de selección</c:v>
                </c:pt>
              </c:strCache>
            </c:strRef>
          </c:cat>
          <c:val>
            <c:numRef>
              <c:f>Graficos!$C$54:$C$57</c:f>
              <c:numCache>
                <c:formatCode>0.00%</c:formatCode>
                <c:ptCount val="4"/>
                <c:pt idx="0">
                  <c:v>0.26111111111111113</c:v>
                </c:pt>
                <c:pt idx="1">
                  <c:v>0.27777777777777779</c:v>
                </c:pt>
                <c:pt idx="2">
                  <c:v>0.21111111111111111</c:v>
                </c:pt>
                <c:pt idx="3">
                  <c:v>0.25</c:v>
                </c:pt>
              </c:numCache>
            </c:numRef>
          </c:val>
          <c:extLst>
            <c:ext xmlns:c16="http://schemas.microsoft.com/office/drawing/2014/chart" uri="{C3380CC4-5D6E-409C-BE32-E72D297353CC}">
              <c16:uniqueId val="{00000000-EA48-4A0B-BE1F-92C0AB33BF05}"/>
            </c:ext>
          </c:extLst>
        </c:ser>
        <c:dLbls>
          <c:showLegendKey val="0"/>
          <c:showVal val="0"/>
          <c:showCatName val="0"/>
          <c:showSerName val="0"/>
          <c:showPercent val="0"/>
          <c:showBubbleSize val="0"/>
        </c:dLbls>
        <c:gapWidth val="219"/>
        <c:overlap val="-27"/>
        <c:axId val="96287695"/>
        <c:axId val="96288655"/>
      </c:barChart>
      <c:catAx>
        <c:axId val="962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6288655"/>
        <c:crosses val="autoZero"/>
        <c:auto val="1"/>
        <c:lblAlgn val="ctr"/>
        <c:lblOffset val="100"/>
        <c:noMultiLvlLbl val="0"/>
      </c:catAx>
      <c:valAx>
        <c:axId val="96288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62876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Graficos!$C$60</c:f>
              <c:strCache>
                <c:ptCount val="1"/>
                <c:pt idx="0">
                  <c:v>PONDERACIÓN</c:v>
                </c:pt>
              </c:strCache>
            </c:strRef>
          </c:tx>
          <c:spPr>
            <a:solidFill>
              <a:schemeClr val="accent1"/>
            </a:solidFill>
            <a:ln>
              <a:noFill/>
            </a:ln>
            <a:effectLst/>
          </c:spPr>
          <c:invertIfNegative val="0"/>
          <c:cat>
            <c:strRef>
              <c:f>Graficos!$B$61:$B$63</c:f>
              <c:strCache>
                <c:ptCount val="3"/>
                <c:pt idx="0">
                  <c:v>Inserción del programa en contextos académicos nacionales e internacionales	</c:v>
                </c:pt>
                <c:pt idx="1">
                  <c:v>			Relaciones externas de profesores y estudiantes	</c:v>
                </c:pt>
                <c:pt idx="2">
                  <c:v>Habilidades comunicativas en una segunda lengua</c:v>
                </c:pt>
              </c:strCache>
            </c:strRef>
          </c:cat>
          <c:val>
            <c:numRef>
              <c:f>Graficos!$C$61:$C$63</c:f>
              <c:numCache>
                <c:formatCode>0.00%</c:formatCode>
                <c:ptCount val="3"/>
                <c:pt idx="0">
                  <c:v>0.34782608695652173</c:v>
                </c:pt>
                <c:pt idx="1">
                  <c:v>0.40579710144927539</c:v>
                </c:pt>
                <c:pt idx="2">
                  <c:v>0.24637681159420291</c:v>
                </c:pt>
              </c:numCache>
            </c:numRef>
          </c:val>
          <c:extLst>
            <c:ext xmlns:c16="http://schemas.microsoft.com/office/drawing/2014/chart" uri="{C3380CC4-5D6E-409C-BE32-E72D297353CC}">
              <c16:uniqueId val="{00000000-C5C9-4C18-A5CF-07537D01D057}"/>
            </c:ext>
          </c:extLst>
        </c:ser>
        <c:dLbls>
          <c:showLegendKey val="0"/>
          <c:showVal val="0"/>
          <c:showCatName val="0"/>
          <c:showSerName val="0"/>
          <c:showPercent val="0"/>
          <c:showBubbleSize val="0"/>
        </c:dLbls>
        <c:gapWidth val="219"/>
        <c:overlap val="-27"/>
        <c:axId val="294679103"/>
        <c:axId val="294680063"/>
      </c:barChart>
      <c:catAx>
        <c:axId val="29467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4680063"/>
        <c:crosses val="autoZero"/>
        <c:auto val="1"/>
        <c:lblAlgn val="ctr"/>
        <c:lblOffset val="100"/>
        <c:noMultiLvlLbl val="0"/>
      </c:catAx>
      <c:valAx>
        <c:axId val="294680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46791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tx>
            <c:strRef>
              <c:f>Graficos!$C$60</c:f>
              <c:strCache>
                <c:ptCount val="1"/>
                <c:pt idx="0">
                  <c:v>PONDERACIÓN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55-4D6B-9522-C57B90FBDC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55-4D6B-9522-C57B90FBDC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55-4D6B-9522-C57B90FBDC4B}"/>
              </c:ext>
            </c:extLst>
          </c:dPt>
          <c:cat>
            <c:strRef>
              <c:f>Graficos!$B$61:$B$63</c:f>
              <c:strCache>
                <c:ptCount val="3"/>
                <c:pt idx="0">
                  <c:v>Inserción del programa en contextos académicos nacionales e internacionales	</c:v>
                </c:pt>
                <c:pt idx="1">
                  <c:v>			Relaciones externas de profesores y estudiantes	</c:v>
                </c:pt>
                <c:pt idx="2">
                  <c:v>Habilidades comunicativas en una segunda lengua</c:v>
                </c:pt>
              </c:strCache>
            </c:strRef>
          </c:cat>
          <c:val>
            <c:numRef>
              <c:f>Graficos!$C$61:$C$63</c:f>
              <c:numCache>
                <c:formatCode>0.00%</c:formatCode>
                <c:ptCount val="3"/>
                <c:pt idx="0">
                  <c:v>0.34782608695652173</c:v>
                </c:pt>
                <c:pt idx="1">
                  <c:v>0.40579710144927539</c:v>
                </c:pt>
                <c:pt idx="2">
                  <c:v>0.24637681159420291</c:v>
                </c:pt>
              </c:numCache>
            </c:numRef>
          </c:val>
          <c:extLst>
            <c:ext xmlns:c16="http://schemas.microsoft.com/office/drawing/2014/chart" uri="{C3380CC4-5D6E-409C-BE32-E72D297353CC}">
              <c16:uniqueId val="{00000000-4659-4ABC-A607-5BA2126CEEA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tx>
            <c:strRef>
              <c:f>Graficos!$C$70</c:f>
              <c:strCache>
                <c:ptCount val="1"/>
                <c:pt idx="0">
                  <c:v>PONDERACIÓN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7C-49FF-9429-270604DBE3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7C-49FF-9429-270604DBE3C3}"/>
              </c:ext>
            </c:extLst>
          </c:dPt>
          <c:cat>
            <c:strRef>
              <c:f>Graficos!$B$71:$B$72</c:f>
              <c:strCache>
                <c:ptCount val="2"/>
                <c:pt idx="0">
                  <c:v>Programas y servicios	</c:v>
                </c:pt>
                <c:pt idx="1">
                  <c:v>Participación y seguimiento</c:v>
                </c:pt>
              </c:strCache>
            </c:strRef>
          </c:cat>
          <c:val>
            <c:numRef>
              <c:f>Graficos!$C$71:$C$72</c:f>
              <c:numCache>
                <c:formatCode>0.00%</c:formatCode>
                <c:ptCount val="2"/>
                <c:pt idx="0">
                  <c:v>0.54761904761904767</c:v>
                </c:pt>
                <c:pt idx="1">
                  <c:v>0.45238095238095238</c:v>
                </c:pt>
              </c:numCache>
            </c:numRef>
          </c:val>
          <c:extLst>
            <c:ext xmlns:c16="http://schemas.microsoft.com/office/drawing/2014/chart" uri="{C3380CC4-5D6E-409C-BE32-E72D297353CC}">
              <c16:uniqueId val="{00000000-03BC-4B77-B5E0-AD44F9939CE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Graficos!$C$75</c:f>
              <c:strCache>
                <c:ptCount val="1"/>
                <c:pt idx="0">
                  <c:v>PONDERACIÓN</c:v>
                </c:pt>
              </c:strCache>
            </c:strRef>
          </c:tx>
          <c:spPr>
            <a:solidFill>
              <a:schemeClr val="accent1"/>
            </a:solidFill>
            <a:ln>
              <a:noFill/>
            </a:ln>
            <a:effectLst/>
          </c:spPr>
          <c:invertIfNegative val="0"/>
          <c:cat>
            <c:strRef>
              <c:f>Graficos!$B$76:$B$78</c:f>
              <c:strCache>
                <c:ptCount val="3"/>
                <c:pt idx="0">
                  <c:v>Estrategias y recursos de apoyo a profesores	</c:v>
                </c:pt>
                <c:pt idx="1">
                  <c:v>			Estrategias y recursos de apoyo a estudiantes	</c:v>
                </c:pt>
                <c:pt idx="2">
                  <c:v>Recursos bibliográficos y de información</c:v>
                </c:pt>
              </c:strCache>
            </c:strRef>
          </c:cat>
          <c:val>
            <c:numRef>
              <c:f>Graficos!$C$76:$C$78</c:f>
              <c:numCache>
                <c:formatCode>0.00%</c:formatCode>
                <c:ptCount val="3"/>
                <c:pt idx="0">
                  <c:v>0.39855072463768115</c:v>
                </c:pt>
                <c:pt idx="1">
                  <c:v>0.35507246376811596</c:v>
                </c:pt>
                <c:pt idx="2">
                  <c:v>0.24637681159420291</c:v>
                </c:pt>
              </c:numCache>
            </c:numRef>
          </c:val>
          <c:extLst>
            <c:ext xmlns:c16="http://schemas.microsoft.com/office/drawing/2014/chart" uri="{C3380CC4-5D6E-409C-BE32-E72D297353CC}">
              <c16:uniqueId val="{00000000-6477-4ACB-9529-3C006FD8ABDE}"/>
            </c:ext>
          </c:extLst>
        </c:ser>
        <c:dLbls>
          <c:showLegendKey val="0"/>
          <c:showVal val="0"/>
          <c:showCatName val="0"/>
          <c:showSerName val="0"/>
          <c:showPercent val="0"/>
          <c:showBubbleSize val="0"/>
        </c:dLbls>
        <c:gapWidth val="219"/>
        <c:overlap val="-27"/>
        <c:axId val="296451727"/>
        <c:axId val="296452687"/>
      </c:barChart>
      <c:catAx>
        <c:axId val="29645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6452687"/>
        <c:crosses val="autoZero"/>
        <c:auto val="1"/>
        <c:lblAlgn val="ctr"/>
        <c:lblOffset val="100"/>
        <c:noMultiLvlLbl val="0"/>
      </c:catAx>
      <c:valAx>
        <c:axId val="296452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64517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11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Graficos!$C$81</c:f>
              <c:strCache>
                <c:ptCount val="1"/>
                <c:pt idx="0">
                  <c:v>PONDERACIÓN</c:v>
                </c:pt>
              </c:strCache>
            </c:strRef>
          </c:tx>
          <c:spPr>
            <a:solidFill>
              <a:schemeClr val="accent1"/>
            </a:solidFill>
            <a:ln>
              <a:noFill/>
            </a:ln>
            <a:effectLst/>
          </c:spPr>
          <c:invertIfNegative val="0"/>
          <c:cat>
            <c:strRef>
              <c:f>Graficos!$B$82:$B$87</c:f>
              <c:strCache>
                <c:ptCount val="6"/>
                <c:pt idx="0">
                  <c:v>Organización y administración	</c:v>
                </c:pt>
                <c:pt idx="1">
                  <c:v>			Dirección y gestión	</c:v>
                </c:pt>
                <c:pt idx="2">
                  <c:v>			Sistemas de comunicación e información	</c:v>
                </c:pt>
                <c:pt idx="3">
                  <c:v>			Estudiantes y capacidad institucional	</c:v>
                </c:pt>
                <c:pt idx="4">
                  <c:v>			Financiación del programa académico	</c:v>
                </c:pt>
                <c:pt idx="5">
                  <c:v>Aseguramiento de la alta calidad y mejora continua</c:v>
                </c:pt>
              </c:strCache>
            </c:strRef>
          </c:cat>
          <c:val>
            <c:numRef>
              <c:f>Graficos!$C$82:$C$87</c:f>
              <c:numCache>
                <c:formatCode>0.00%</c:formatCode>
                <c:ptCount val="6"/>
                <c:pt idx="0">
                  <c:v>0.23015873015873015</c:v>
                </c:pt>
                <c:pt idx="1">
                  <c:v>0.21164021164021163</c:v>
                </c:pt>
                <c:pt idx="2">
                  <c:v>0.13227513227513227</c:v>
                </c:pt>
                <c:pt idx="3">
                  <c:v>0.11904761904761904</c:v>
                </c:pt>
                <c:pt idx="4">
                  <c:v>0.12962962962962962</c:v>
                </c:pt>
                <c:pt idx="5">
                  <c:v>0.17724867724867724</c:v>
                </c:pt>
              </c:numCache>
            </c:numRef>
          </c:val>
          <c:extLst>
            <c:ext xmlns:c16="http://schemas.microsoft.com/office/drawing/2014/chart" uri="{C3380CC4-5D6E-409C-BE32-E72D297353CC}">
              <c16:uniqueId val="{00000000-EF4C-4DE7-9825-F1008A5BCD06}"/>
            </c:ext>
          </c:extLst>
        </c:ser>
        <c:dLbls>
          <c:showLegendKey val="0"/>
          <c:showVal val="0"/>
          <c:showCatName val="0"/>
          <c:showSerName val="0"/>
          <c:showPercent val="0"/>
          <c:showBubbleSize val="0"/>
        </c:dLbls>
        <c:gapWidth val="182"/>
        <c:axId val="591891983"/>
        <c:axId val="591889103"/>
      </c:barChart>
      <c:catAx>
        <c:axId val="59189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91889103"/>
        <c:crosses val="autoZero"/>
        <c:auto val="1"/>
        <c:lblAlgn val="ctr"/>
        <c:lblOffset val="100"/>
        <c:noMultiLvlLbl val="0"/>
      </c:catAx>
      <c:valAx>
        <c:axId val="5918891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91891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 12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tx>
            <c:strRef>
              <c:f>Graficos!$C$89</c:f>
              <c:strCache>
                <c:ptCount val="1"/>
                <c:pt idx="0">
                  <c:v>PONDERACIÓN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C7-4004-B83A-830E606458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C7-4004-B83A-830E606458AD}"/>
              </c:ext>
            </c:extLst>
          </c:dPt>
          <c:cat>
            <c:strRef>
              <c:f>Graficos!$B$90:$B$91</c:f>
              <c:strCache>
                <c:ptCount val="2"/>
                <c:pt idx="0">
                  <c:v>Recursos de infraestructura física y tecnológica	</c:v>
                </c:pt>
                <c:pt idx="1">
                  <c:v>Recursos informáticos y de comunicación</c:v>
                </c:pt>
              </c:strCache>
            </c:strRef>
          </c:cat>
          <c:val>
            <c:numRef>
              <c:f>Graficos!$C$90:$C$91</c:f>
              <c:numCache>
                <c:formatCode>0.00%</c:formatCode>
                <c:ptCount val="2"/>
                <c:pt idx="0">
                  <c:v>0.52380952380952384</c:v>
                </c:pt>
                <c:pt idx="1">
                  <c:v>0.47619047619047616</c:v>
                </c:pt>
              </c:numCache>
            </c:numRef>
          </c:val>
          <c:extLst>
            <c:ext xmlns:c16="http://schemas.microsoft.com/office/drawing/2014/chart" uri="{C3380CC4-5D6E-409C-BE32-E72D297353CC}">
              <c16:uniqueId val="{00000000-B6FF-44CB-A910-E8AC937A666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376844719592385"/>
          <c:y val="0.13206457256641502"/>
          <c:w val="0.3087974963878371"/>
          <c:h val="0.59124848311210176"/>
        </c:manualLayout>
      </c:layout>
      <c:radarChart>
        <c:radarStyle val="marker"/>
        <c:varyColors val="0"/>
        <c:ser>
          <c:idx val="0"/>
          <c:order val="0"/>
          <c:tx>
            <c:strRef>
              <c:f>Hoja3!$D$2:$D$3</c:f>
              <c:strCache>
                <c:ptCount val="2"/>
                <c:pt idx="0">
                  <c:v>CALIFICACIÓN</c:v>
                </c:pt>
                <c:pt idx="1">
                  <c:v>ACTUAL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Hoja3!$A$4:$A$15</c:f>
              <c:strCache>
                <c:ptCount val="12"/>
                <c:pt idx="0">
                  <c:v>Factor 1. Proyecto Educativo del Programa e Identidad Institucional</c:v>
                </c:pt>
                <c:pt idx="1">
                  <c:v>Factor 2. Estudiantes</c:v>
                </c:pt>
                <c:pt idx="2">
                  <c:v>Factor 3. Profesores</c:v>
                </c:pt>
                <c:pt idx="3">
                  <c:v>Factor 4. Egresados</c:v>
                </c:pt>
                <c:pt idx="4">
                  <c:v>Factor 5. Aspectos Académicos y Resultados de Aprendizaje</c:v>
                </c:pt>
                <c:pt idx="5">
                  <c:v>Factor 6. Permanencia y Graduación.</c:v>
                </c:pt>
                <c:pt idx="6">
                  <c:v>Factor 7. Interacción con el Entorno Nacional e Internacional</c:v>
                </c:pt>
                <c:pt idx="7">
                  <c:v>Factor 8. Aportes de la Investigación, la Innovación, el Desarrollo Tecnológico y la Creación, Asociados al Programa Académico</c:v>
                </c:pt>
                <c:pt idx="8">
                  <c:v>Factor 9. Bienestar de la Comunidad Académica del Programa</c:v>
                </c:pt>
                <c:pt idx="9">
                  <c:v>Factor 10. Medios Educativos Y Ambientes De Aprendizaje</c:v>
                </c:pt>
                <c:pt idx="10">
                  <c:v>Factor 11. Organización, Administración y Financiación del Programa Académico</c:v>
                </c:pt>
                <c:pt idx="11">
                  <c:v>Factor 12. Recursos Físicos y Tecnológicos</c:v>
                </c:pt>
              </c:strCache>
            </c:strRef>
          </c:cat>
          <c:val>
            <c:numRef>
              <c:f>Hoja3!$D$4:$D$15</c:f>
              <c:numCache>
                <c:formatCode>General</c:formatCode>
                <c:ptCount val="12"/>
                <c:pt idx="0">
                  <c:v>4</c:v>
                </c:pt>
                <c:pt idx="1">
                  <c:v>4.5999999999999996</c:v>
                </c:pt>
                <c:pt idx="2">
                  <c:v>4.7</c:v>
                </c:pt>
                <c:pt idx="3">
                  <c:v>4.8</c:v>
                </c:pt>
                <c:pt idx="4">
                  <c:v>4.3</c:v>
                </c:pt>
                <c:pt idx="5">
                  <c:v>5</c:v>
                </c:pt>
                <c:pt idx="6">
                  <c:v>4.5</c:v>
                </c:pt>
                <c:pt idx="7">
                  <c:v>4.5</c:v>
                </c:pt>
                <c:pt idx="8">
                  <c:v>4.8</c:v>
                </c:pt>
                <c:pt idx="9">
                  <c:v>5</c:v>
                </c:pt>
                <c:pt idx="10">
                  <c:v>5</c:v>
                </c:pt>
                <c:pt idx="11">
                  <c:v>5</c:v>
                </c:pt>
              </c:numCache>
            </c:numRef>
          </c:val>
          <c:extLst>
            <c:ext xmlns:c16="http://schemas.microsoft.com/office/drawing/2014/chart" uri="{C3380CC4-5D6E-409C-BE32-E72D297353CC}">
              <c16:uniqueId val="{00000000-0080-4C84-82EB-27873E45035E}"/>
            </c:ext>
          </c:extLst>
        </c:ser>
        <c:ser>
          <c:idx val="1"/>
          <c:order val="1"/>
          <c:tx>
            <c:strRef>
              <c:f>Hoja3!$F$2:$F$3</c:f>
              <c:strCache>
                <c:ptCount val="2"/>
                <c:pt idx="0">
                  <c:v>CALIFICACIÓN</c:v>
                </c:pt>
                <c:pt idx="1">
                  <c:v>PROCESO ANTERIOR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Hoja3!$A$4:$A$15</c:f>
              <c:strCache>
                <c:ptCount val="12"/>
                <c:pt idx="0">
                  <c:v>Factor 1. Proyecto Educativo del Programa e Identidad Institucional</c:v>
                </c:pt>
                <c:pt idx="1">
                  <c:v>Factor 2. Estudiantes</c:v>
                </c:pt>
                <c:pt idx="2">
                  <c:v>Factor 3. Profesores</c:v>
                </c:pt>
                <c:pt idx="3">
                  <c:v>Factor 4. Egresados</c:v>
                </c:pt>
                <c:pt idx="4">
                  <c:v>Factor 5. Aspectos Académicos y Resultados de Aprendizaje</c:v>
                </c:pt>
                <c:pt idx="5">
                  <c:v>Factor 6. Permanencia y Graduación.</c:v>
                </c:pt>
                <c:pt idx="6">
                  <c:v>Factor 7. Interacción con el Entorno Nacional e Internacional</c:v>
                </c:pt>
                <c:pt idx="7">
                  <c:v>Factor 8. Aportes de la Investigación, la Innovación, el Desarrollo Tecnológico y la Creación, Asociados al Programa Académico</c:v>
                </c:pt>
                <c:pt idx="8">
                  <c:v>Factor 9. Bienestar de la Comunidad Académica del Programa</c:v>
                </c:pt>
                <c:pt idx="9">
                  <c:v>Factor 10. Medios Educativos Y Ambientes De Aprendizaje</c:v>
                </c:pt>
                <c:pt idx="10">
                  <c:v>Factor 11. Organización, Administración y Financiación del Programa Académico</c:v>
                </c:pt>
                <c:pt idx="11">
                  <c:v>Factor 12. Recursos Físicos y Tecnológicos</c:v>
                </c:pt>
              </c:strCache>
            </c:strRef>
          </c:cat>
          <c:val>
            <c:numRef>
              <c:f>Hoja3!$F$4:$F$15</c:f>
              <c:numCache>
                <c:formatCode>General</c:formatCode>
                <c:ptCount val="12"/>
                <c:pt idx="0">
                  <c:v>4.4000000000000004</c:v>
                </c:pt>
                <c:pt idx="1">
                  <c:v>4</c:v>
                </c:pt>
                <c:pt idx="2">
                  <c:v>4.2</c:v>
                </c:pt>
                <c:pt idx="3">
                  <c:v>4</c:v>
                </c:pt>
                <c:pt idx="4">
                  <c:v>4.2</c:v>
                </c:pt>
                <c:pt idx="5">
                  <c:v>4</c:v>
                </c:pt>
                <c:pt idx="6">
                  <c:v>4</c:v>
                </c:pt>
                <c:pt idx="7">
                  <c:v>3.4</c:v>
                </c:pt>
                <c:pt idx="8">
                  <c:v>4.0999999999999996</c:v>
                </c:pt>
                <c:pt idx="9">
                  <c:v>4</c:v>
                </c:pt>
                <c:pt idx="10">
                  <c:v>3.9</c:v>
                </c:pt>
                <c:pt idx="11">
                  <c:v>3.9</c:v>
                </c:pt>
              </c:numCache>
            </c:numRef>
          </c:val>
          <c:extLst>
            <c:ext xmlns:c16="http://schemas.microsoft.com/office/drawing/2014/chart" uri="{C3380CC4-5D6E-409C-BE32-E72D297353CC}">
              <c16:uniqueId val="{00000001-0080-4C84-82EB-27873E45035E}"/>
            </c:ext>
          </c:extLst>
        </c:ser>
        <c:dLbls>
          <c:showLegendKey val="0"/>
          <c:showVal val="0"/>
          <c:showCatName val="0"/>
          <c:showSerName val="0"/>
          <c:showPercent val="0"/>
          <c:showBubbleSize val="0"/>
        </c:dLbls>
        <c:axId val="1883250319"/>
        <c:axId val="1872764623"/>
      </c:radarChart>
      <c:catAx>
        <c:axId val="188325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2764623"/>
        <c:crosses val="autoZero"/>
        <c:auto val="1"/>
        <c:lblAlgn val="ctr"/>
        <c:lblOffset val="100"/>
        <c:noMultiLvlLbl val="0"/>
      </c:catAx>
      <c:valAx>
        <c:axId val="187276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832503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PONDERACION DE FACTORES</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a:rPr>
            <a:t>PONDERACION DE FACTORES</a:t>
          </a:r>
        </a:p>
      </cx:txPr>
    </cx:title>
    <cx:plotArea>
      <cx:plotAreaRegion>
        <cx:series layoutId="funnel" uniqueId="{5D5B44F2-30DC-4418-B8E7-996490F722F5}">
          <cx:tx>
            <cx:txData>
              <cx:f>_xlchart.v2.1</cx:f>
              <cx:v>PONDERACIÓN</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85725</xdr:rowOff>
    </xdr:from>
    <xdr:to>
      <xdr:col>10</xdr:col>
      <xdr:colOff>209550</xdr:colOff>
      <xdr:row>17</xdr:row>
      <xdr:rowOff>9525</xdr:rowOff>
    </xdr:to>
    <mc:AlternateContent xmlns:mc="http://schemas.openxmlformats.org/markup-compatibility/2006">
      <mc:Choice xmlns:cx2="http://schemas.microsoft.com/office/drawing/2015/10/21/chartex" Requires="cx2">
        <xdr:graphicFrame macro="">
          <xdr:nvGraphicFramePr>
            <xdr:cNvPr id="2" name="Gráfico 1">
              <a:extLst>
                <a:ext uri="{FF2B5EF4-FFF2-40B4-BE49-F238E27FC236}">
                  <a16:creationId xmlns:a16="http://schemas.microsoft.com/office/drawing/2014/main" id="{8C5F6BC7-DA17-6AD0-5F62-C092FCCB5D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569700" y="85725"/>
              <a:ext cx="4895850" cy="305435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12</xdr:col>
      <xdr:colOff>629958</xdr:colOff>
      <xdr:row>1</xdr:row>
      <xdr:rowOff>167808</xdr:rowOff>
    </xdr:from>
    <xdr:to>
      <xdr:col>18</xdr:col>
      <xdr:colOff>697193</xdr:colOff>
      <xdr:row>15</xdr:row>
      <xdr:rowOff>110659</xdr:rowOff>
    </xdr:to>
    <xdr:graphicFrame macro="">
      <xdr:nvGraphicFramePr>
        <xdr:cNvPr id="3" name="Gráfico 2">
          <a:extLst>
            <a:ext uri="{FF2B5EF4-FFF2-40B4-BE49-F238E27FC236}">
              <a16:creationId xmlns:a16="http://schemas.microsoft.com/office/drawing/2014/main" id="{A4138DEC-7B0A-1AB4-DBA0-F06DD8397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170890</xdr:colOff>
      <xdr:row>1</xdr:row>
      <xdr:rowOff>26332</xdr:rowOff>
    </xdr:from>
    <xdr:to>
      <xdr:col>26</xdr:col>
      <xdr:colOff>174065</xdr:colOff>
      <xdr:row>16</xdr:row>
      <xdr:rowOff>94501</xdr:rowOff>
    </xdr:to>
    <xdr:graphicFrame macro="">
      <xdr:nvGraphicFramePr>
        <xdr:cNvPr id="4" name="Gráfico 3">
          <a:extLst>
            <a:ext uri="{FF2B5EF4-FFF2-40B4-BE49-F238E27FC236}">
              <a16:creationId xmlns:a16="http://schemas.microsoft.com/office/drawing/2014/main" id="{6444C349-9EC1-8150-2C6B-E47749DB6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46505</xdr:colOff>
      <xdr:row>22</xdr:row>
      <xdr:rowOff>111405</xdr:rowOff>
    </xdr:from>
    <xdr:to>
      <xdr:col>12</xdr:col>
      <xdr:colOff>467473</xdr:colOff>
      <xdr:row>37</xdr:row>
      <xdr:rowOff>168369</xdr:rowOff>
    </xdr:to>
    <xdr:graphicFrame macro="">
      <xdr:nvGraphicFramePr>
        <xdr:cNvPr id="7" name="Gráfico 6">
          <a:extLst>
            <a:ext uri="{FF2B5EF4-FFF2-40B4-BE49-F238E27FC236}">
              <a16:creationId xmlns:a16="http://schemas.microsoft.com/office/drawing/2014/main" id="{25ECE41F-B927-9182-0E20-6C04E7C2D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147825</xdr:colOff>
      <xdr:row>22</xdr:row>
      <xdr:rowOff>141193</xdr:rowOff>
    </xdr:from>
    <xdr:to>
      <xdr:col>19</xdr:col>
      <xdr:colOff>138300</xdr:colOff>
      <xdr:row>38</xdr:row>
      <xdr:rowOff>7657</xdr:rowOff>
    </xdr:to>
    <xdr:graphicFrame macro="">
      <xdr:nvGraphicFramePr>
        <xdr:cNvPr id="8" name="Gráfico 7">
          <a:extLst>
            <a:ext uri="{FF2B5EF4-FFF2-40B4-BE49-F238E27FC236}">
              <a16:creationId xmlns:a16="http://schemas.microsoft.com/office/drawing/2014/main" id="{4648027A-B3C5-0821-37D3-7C9B8274A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751541</xdr:colOff>
      <xdr:row>22</xdr:row>
      <xdr:rowOff>92169</xdr:rowOff>
    </xdr:from>
    <xdr:to>
      <xdr:col>25</xdr:col>
      <xdr:colOff>742016</xdr:colOff>
      <xdr:row>37</xdr:row>
      <xdr:rowOff>149132</xdr:rowOff>
    </xdr:to>
    <xdr:graphicFrame macro="">
      <xdr:nvGraphicFramePr>
        <xdr:cNvPr id="9" name="Gráfico 8">
          <a:extLst>
            <a:ext uri="{FF2B5EF4-FFF2-40B4-BE49-F238E27FC236}">
              <a16:creationId xmlns:a16="http://schemas.microsoft.com/office/drawing/2014/main" id="{4CE14D31-106D-F3FD-40F6-5023661D2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369794</xdr:colOff>
      <xdr:row>43</xdr:row>
      <xdr:rowOff>92821</xdr:rowOff>
    </xdr:from>
    <xdr:to>
      <xdr:col>10</xdr:col>
      <xdr:colOff>369794</xdr:colOff>
      <xdr:row>58</xdr:row>
      <xdr:rowOff>164166</xdr:rowOff>
    </xdr:to>
    <xdr:graphicFrame macro="">
      <xdr:nvGraphicFramePr>
        <xdr:cNvPr id="10" name="Gráfico 9">
          <a:extLst>
            <a:ext uri="{FF2B5EF4-FFF2-40B4-BE49-F238E27FC236}">
              <a16:creationId xmlns:a16="http://schemas.microsoft.com/office/drawing/2014/main" id="{3C6C80CC-C0BD-5836-40EF-2949B4E51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154454</xdr:colOff>
      <xdr:row>43</xdr:row>
      <xdr:rowOff>106829</xdr:rowOff>
    </xdr:from>
    <xdr:to>
      <xdr:col>17</xdr:col>
      <xdr:colOff>144929</xdr:colOff>
      <xdr:row>58</xdr:row>
      <xdr:rowOff>163792</xdr:rowOff>
    </xdr:to>
    <xdr:graphicFrame macro="">
      <xdr:nvGraphicFramePr>
        <xdr:cNvPr id="12" name="Gráfico 11">
          <a:extLst>
            <a:ext uri="{FF2B5EF4-FFF2-40B4-BE49-F238E27FC236}">
              <a16:creationId xmlns:a16="http://schemas.microsoft.com/office/drawing/2014/main" id="{50D219C2-DD4E-5D62-DD22-05A619E26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743137</xdr:colOff>
      <xdr:row>43</xdr:row>
      <xdr:rowOff>108231</xdr:rowOff>
    </xdr:from>
    <xdr:to>
      <xdr:col>23</xdr:col>
      <xdr:colOff>733612</xdr:colOff>
      <xdr:row>58</xdr:row>
      <xdr:rowOff>165194</xdr:rowOff>
    </xdr:to>
    <xdr:graphicFrame macro="">
      <xdr:nvGraphicFramePr>
        <xdr:cNvPr id="13" name="Gráfico 12">
          <a:extLst>
            <a:ext uri="{FF2B5EF4-FFF2-40B4-BE49-F238E27FC236}">
              <a16:creationId xmlns:a16="http://schemas.microsoft.com/office/drawing/2014/main" id="{8B0E01FE-9022-5C6E-11BF-8076D959B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154827</xdr:colOff>
      <xdr:row>62</xdr:row>
      <xdr:rowOff>162858</xdr:rowOff>
    </xdr:from>
    <xdr:to>
      <xdr:col>10</xdr:col>
      <xdr:colOff>145302</xdr:colOff>
      <xdr:row>78</xdr:row>
      <xdr:rowOff>46877</xdr:rowOff>
    </xdr:to>
    <xdr:graphicFrame macro="">
      <xdr:nvGraphicFramePr>
        <xdr:cNvPr id="14" name="Gráfico 13">
          <a:extLst>
            <a:ext uri="{FF2B5EF4-FFF2-40B4-BE49-F238E27FC236}">
              <a16:creationId xmlns:a16="http://schemas.microsoft.com/office/drawing/2014/main" id="{CB534480-2EF3-3FCF-7CCC-E3A776630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251105</xdr:colOff>
      <xdr:row>62</xdr:row>
      <xdr:rowOff>154828</xdr:rowOff>
    </xdr:from>
    <xdr:to>
      <xdr:col>17</xdr:col>
      <xdr:colOff>241580</xdr:colOff>
      <xdr:row>78</xdr:row>
      <xdr:rowOff>29322</xdr:rowOff>
    </xdr:to>
    <xdr:graphicFrame macro="">
      <xdr:nvGraphicFramePr>
        <xdr:cNvPr id="15" name="Gráfico 14">
          <a:extLst>
            <a:ext uri="{FF2B5EF4-FFF2-40B4-BE49-F238E27FC236}">
              <a16:creationId xmlns:a16="http://schemas.microsoft.com/office/drawing/2014/main" id="{51CBA909-33FE-E134-C692-AF0B9AE81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28388</xdr:colOff>
      <xdr:row>63</xdr:row>
      <xdr:rowOff>45196</xdr:rowOff>
    </xdr:from>
    <xdr:to>
      <xdr:col>24</xdr:col>
      <xdr:colOff>19237</xdr:colOff>
      <xdr:row>78</xdr:row>
      <xdr:rowOff>116540</xdr:rowOff>
    </xdr:to>
    <xdr:graphicFrame macro="">
      <xdr:nvGraphicFramePr>
        <xdr:cNvPr id="16" name="Gráfico 15">
          <a:extLst>
            <a:ext uri="{FF2B5EF4-FFF2-40B4-BE49-F238E27FC236}">
              <a16:creationId xmlns:a16="http://schemas.microsoft.com/office/drawing/2014/main" id="{AED10CBC-7916-C2D0-1C0B-25315331E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2954700</xdr:colOff>
      <xdr:row>20</xdr:row>
      <xdr:rowOff>11350</xdr:rowOff>
    </xdr:from>
    <xdr:to>
      <xdr:col>4</xdr:col>
      <xdr:colOff>649942</xdr:colOff>
      <xdr:row>41</xdr:row>
      <xdr:rowOff>14941</xdr:rowOff>
    </xdr:to>
    <xdr:graphicFrame macro="">
      <xdr:nvGraphicFramePr>
        <xdr:cNvPr id="3" name="Gráfico 2">
          <a:extLst>
            <a:ext uri="{FF2B5EF4-FFF2-40B4-BE49-F238E27FC236}">
              <a16:creationId xmlns:a16="http://schemas.microsoft.com/office/drawing/2014/main" id="{070A19CF-414B-4D26-82D3-874FE34A9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zoomScale="85" zoomScaleNormal="85" workbookViewId="0">
      <selection activeCell="A38" sqref="A38"/>
    </sheetView>
  </sheetViews>
  <sheetFormatPr baseColWidth="10" defaultColWidth="31.81640625" defaultRowHeight="14.5" x14ac:dyDescent="0.35"/>
  <cols>
    <col min="1" max="1" width="58.54296875" customWidth="1"/>
    <col min="2" max="2" width="19.54296875" style="1" bestFit="1" customWidth="1"/>
    <col min="3" max="3" width="13.1796875" style="1" bestFit="1" customWidth="1"/>
    <col min="4" max="4" width="4.453125" style="1" customWidth="1"/>
    <col min="5" max="5" width="10.1796875" style="1" bestFit="1" customWidth="1"/>
    <col min="6" max="6" width="5.453125" style="1" customWidth="1"/>
    <col min="7" max="7" width="16.81640625" style="1" bestFit="1" customWidth="1"/>
    <col min="8" max="11" width="8.81640625" customWidth="1"/>
  </cols>
  <sheetData>
    <row r="1" spans="1:12" ht="41.15" customHeight="1" x14ac:dyDescent="0.35">
      <c r="A1" s="2" t="s">
        <v>0</v>
      </c>
      <c r="B1" s="3" t="s">
        <v>1</v>
      </c>
      <c r="C1" s="3" t="s">
        <v>2</v>
      </c>
      <c r="D1" s="3"/>
      <c r="E1" s="3" t="s">
        <v>3</v>
      </c>
      <c r="F1" s="4"/>
      <c r="G1" s="4" t="s">
        <v>4</v>
      </c>
      <c r="H1" s="6">
        <f>SUM(C2:C13)</f>
        <v>0</v>
      </c>
      <c r="I1" s="6">
        <f>SUM(I2:I145)</f>
        <v>1482</v>
      </c>
      <c r="L1" s="1"/>
    </row>
    <row r="2" spans="1:12" x14ac:dyDescent="0.35">
      <c r="A2" s="1" t="s">
        <v>5</v>
      </c>
      <c r="B2" s="1" t="s">
        <v>6</v>
      </c>
      <c r="C2" s="1" t="s">
        <v>7</v>
      </c>
      <c r="D2" s="1" t="s">
        <v>7</v>
      </c>
      <c r="E2" s="4">
        <v>12</v>
      </c>
      <c r="F2" s="4"/>
      <c r="G2" s="4">
        <f>IF(C2&gt;=1,E2,0)</f>
        <v>12</v>
      </c>
      <c r="H2" s="5">
        <f>G2*C2</f>
        <v>60</v>
      </c>
      <c r="I2" s="89">
        <f>SUM(H2:H13)</f>
        <v>179</v>
      </c>
      <c r="J2" s="90">
        <f>I2/$I$1</f>
        <v>0.12078272604588394</v>
      </c>
    </row>
    <row r="3" spans="1:12" x14ac:dyDescent="0.35">
      <c r="A3" s="1" t="s">
        <v>5</v>
      </c>
      <c r="B3" s="1" t="s">
        <v>8</v>
      </c>
      <c r="C3" s="1" t="s">
        <v>9</v>
      </c>
      <c r="D3" s="1" t="s">
        <v>9</v>
      </c>
      <c r="E3" s="4">
        <v>11</v>
      </c>
      <c r="F3" s="4"/>
      <c r="G3" s="4">
        <f t="shared" ref="G3:G66" si="0">IF(C3&gt;=1,E3,0)</f>
        <v>11</v>
      </c>
      <c r="H3" s="5">
        <f t="shared" ref="H3:H13" si="1">G3*C3</f>
        <v>44</v>
      </c>
      <c r="I3" s="89"/>
      <c r="J3" s="90"/>
    </row>
    <row r="4" spans="1:12" x14ac:dyDescent="0.35">
      <c r="A4" s="1" t="s">
        <v>5</v>
      </c>
      <c r="B4" s="1" t="s">
        <v>10</v>
      </c>
      <c r="C4" s="1" t="s">
        <v>6</v>
      </c>
      <c r="D4" s="1" t="s">
        <v>6</v>
      </c>
      <c r="E4" s="4">
        <v>10</v>
      </c>
      <c r="F4" s="4"/>
      <c r="G4" s="4">
        <f t="shared" si="0"/>
        <v>10</v>
      </c>
      <c r="H4" s="5">
        <f t="shared" si="1"/>
        <v>10</v>
      </c>
      <c r="I4" s="89"/>
      <c r="J4" s="90"/>
    </row>
    <row r="5" spans="1:12" x14ac:dyDescent="0.35">
      <c r="A5" s="1" t="s">
        <v>5</v>
      </c>
      <c r="B5" s="1" t="s">
        <v>9</v>
      </c>
      <c r="C5" s="1" t="s">
        <v>10</v>
      </c>
      <c r="D5" s="1" t="s">
        <v>10</v>
      </c>
      <c r="E5" s="4">
        <v>9</v>
      </c>
      <c r="F5" s="4"/>
      <c r="G5" s="4">
        <f t="shared" si="0"/>
        <v>9</v>
      </c>
      <c r="H5" s="5">
        <f t="shared" si="1"/>
        <v>27</v>
      </c>
      <c r="I5" s="89"/>
      <c r="J5" s="90"/>
    </row>
    <row r="6" spans="1:12" x14ac:dyDescent="0.35">
      <c r="A6" s="1" t="s">
        <v>5</v>
      </c>
      <c r="B6" s="1" t="s">
        <v>7</v>
      </c>
      <c r="C6" s="1" t="s">
        <v>8</v>
      </c>
      <c r="D6" s="1" t="s">
        <v>8</v>
      </c>
      <c r="E6" s="4">
        <v>8</v>
      </c>
      <c r="F6" s="4"/>
      <c r="G6" s="4">
        <f t="shared" si="0"/>
        <v>8</v>
      </c>
      <c r="H6" s="5">
        <f t="shared" si="1"/>
        <v>16</v>
      </c>
      <c r="I6" s="89"/>
      <c r="J6" s="90"/>
    </row>
    <row r="7" spans="1:12" x14ac:dyDescent="0.35">
      <c r="A7" s="1" t="s">
        <v>5</v>
      </c>
      <c r="B7" s="1" t="s">
        <v>11</v>
      </c>
      <c r="C7" s="1" t="s">
        <v>8</v>
      </c>
      <c r="D7" s="1" t="s">
        <v>8</v>
      </c>
      <c r="E7" s="4">
        <v>7</v>
      </c>
      <c r="F7" s="4"/>
      <c r="G7" s="4">
        <f t="shared" si="0"/>
        <v>7</v>
      </c>
      <c r="H7" s="5">
        <f t="shared" si="1"/>
        <v>14</v>
      </c>
      <c r="I7" s="89"/>
      <c r="J7" s="90"/>
    </row>
    <row r="8" spans="1:12" x14ac:dyDescent="0.35">
      <c r="A8" s="1" t="s">
        <v>5</v>
      </c>
      <c r="B8" s="1" t="s">
        <v>12</v>
      </c>
      <c r="C8" s="1" t="s">
        <v>13</v>
      </c>
      <c r="D8" s="1" t="s">
        <v>13</v>
      </c>
      <c r="E8" s="4">
        <v>6</v>
      </c>
      <c r="F8" s="4"/>
      <c r="G8" s="4">
        <f t="shared" si="0"/>
        <v>6</v>
      </c>
      <c r="H8" s="5">
        <f t="shared" si="1"/>
        <v>0</v>
      </c>
      <c r="I8" s="89"/>
      <c r="J8" s="90"/>
    </row>
    <row r="9" spans="1:12" x14ac:dyDescent="0.35">
      <c r="A9" s="1" t="s">
        <v>5</v>
      </c>
      <c r="B9" s="1" t="s">
        <v>14</v>
      </c>
      <c r="C9" s="1" t="s">
        <v>6</v>
      </c>
      <c r="D9" s="1" t="s">
        <v>6</v>
      </c>
      <c r="E9" s="4">
        <v>5</v>
      </c>
      <c r="F9" s="4"/>
      <c r="G9" s="4">
        <f t="shared" si="0"/>
        <v>5</v>
      </c>
      <c r="H9" s="5">
        <f t="shared" si="1"/>
        <v>5</v>
      </c>
      <c r="I9" s="89"/>
      <c r="J9" s="90"/>
    </row>
    <row r="10" spans="1:12" x14ac:dyDescent="0.35">
      <c r="A10" s="1" t="s">
        <v>5</v>
      </c>
      <c r="B10" s="1" t="s">
        <v>15</v>
      </c>
      <c r="C10" s="1" t="s">
        <v>13</v>
      </c>
      <c r="D10" s="1" t="s">
        <v>13</v>
      </c>
      <c r="E10" s="4">
        <v>4</v>
      </c>
      <c r="F10" s="4"/>
      <c r="G10" s="4">
        <f t="shared" si="0"/>
        <v>4</v>
      </c>
      <c r="H10" s="5">
        <f t="shared" si="1"/>
        <v>0</v>
      </c>
      <c r="I10" s="89"/>
      <c r="J10" s="90"/>
    </row>
    <row r="11" spans="1:12" x14ac:dyDescent="0.35">
      <c r="A11" s="1" t="s">
        <v>5</v>
      </c>
      <c r="B11" s="1" t="s">
        <v>16</v>
      </c>
      <c r="C11" s="1" t="s">
        <v>6</v>
      </c>
      <c r="D11" s="1" t="s">
        <v>6</v>
      </c>
      <c r="E11" s="4">
        <v>3</v>
      </c>
      <c r="F11" s="4"/>
      <c r="G11" s="4">
        <f t="shared" si="0"/>
        <v>3</v>
      </c>
      <c r="H11" s="5">
        <f t="shared" si="1"/>
        <v>3</v>
      </c>
      <c r="I11" s="89"/>
      <c r="J11" s="90"/>
    </row>
    <row r="12" spans="1:12" x14ac:dyDescent="0.35">
      <c r="A12" s="1" t="s">
        <v>5</v>
      </c>
      <c r="B12" s="1" t="s">
        <v>17</v>
      </c>
      <c r="C12" s="1" t="s">
        <v>13</v>
      </c>
      <c r="D12" s="1" t="s">
        <v>13</v>
      </c>
      <c r="E12" s="4">
        <v>2</v>
      </c>
      <c r="F12" s="4"/>
      <c r="G12" s="4">
        <f t="shared" si="0"/>
        <v>2</v>
      </c>
      <c r="H12" s="5">
        <f t="shared" si="1"/>
        <v>0</v>
      </c>
      <c r="I12" s="89"/>
      <c r="J12" s="90"/>
    </row>
    <row r="13" spans="1:12" x14ac:dyDescent="0.35">
      <c r="A13" s="1" t="s">
        <v>5</v>
      </c>
      <c r="B13" s="1" t="s">
        <v>18</v>
      </c>
      <c r="C13" s="1" t="s">
        <v>13</v>
      </c>
      <c r="D13" s="1" t="s">
        <v>13</v>
      </c>
      <c r="E13" s="4">
        <v>1</v>
      </c>
      <c r="F13" s="4"/>
      <c r="G13" s="4">
        <f t="shared" si="0"/>
        <v>1</v>
      </c>
      <c r="H13" s="5">
        <f t="shared" si="1"/>
        <v>0</v>
      </c>
      <c r="I13" s="89"/>
      <c r="J13" s="90"/>
    </row>
    <row r="14" spans="1:12" x14ac:dyDescent="0.35">
      <c r="A14" s="1" t="s">
        <v>19</v>
      </c>
      <c r="B14" s="1" t="s">
        <v>6</v>
      </c>
      <c r="C14" s="1" t="s">
        <v>14</v>
      </c>
      <c r="D14" s="1" t="s">
        <v>14</v>
      </c>
      <c r="E14" s="4">
        <v>12</v>
      </c>
      <c r="F14" s="4"/>
      <c r="G14" s="4">
        <f t="shared" si="0"/>
        <v>12</v>
      </c>
      <c r="H14" s="5">
        <f>G14*C14</f>
        <v>96</v>
      </c>
      <c r="I14" s="89">
        <f>SUM(H14:H25)</f>
        <v>184</v>
      </c>
      <c r="J14" s="90">
        <f>I14/$I$1</f>
        <v>0.12415654520917679</v>
      </c>
    </row>
    <row r="15" spans="1:12" x14ac:dyDescent="0.35">
      <c r="A15" s="1" t="s">
        <v>19</v>
      </c>
      <c r="B15" s="1" t="s">
        <v>8</v>
      </c>
      <c r="C15" s="1" t="s">
        <v>6</v>
      </c>
      <c r="D15" s="1" t="s">
        <v>6</v>
      </c>
      <c r="E15" s="4">
        <v>11</v>
      </c>
      <c r="F15" s="4"/>
      <c r="G15" s="4">
        <f t="shared" si="0"/>
        <v>11</v>
      </c>
      <c r="H15" s="5">
        <f t="shared" ref="H15:H38" si="2">G15*C15</f>
        <v>11</v>
      </c>
      <c r="I15" s="89"/>
      <c r="J15" s="90"/>
    </row>
    <row r="16" spans="1:12" x14ac:dyDescent="0.35">
      <c r="A16" s="1" t="s">
        <v>19</v>
      </c>
      <c r="B16" s="1" t="s">
        <v>10</v>
      </c>
      <c r="C16" s="1" t="s">
        <v>9</v>
      </c>
      <c r="D16" s="1" t="s">
        <v>9</v>
      </c>
      <c r="E16" s="4">
        <v>10</v>
      </c>
      <c r="F16" s="4"/>
      <c r="G16" s="4">
        <f t="shared" si="0"/>
        <v>10</v>
      </c>
      <c r="H16" s="5">
        <f t="shared" si="2"/>
        <v>40</v>
      </c>
      <c r="I16" s="89"/>
      <c r="J16" s="90"/>
    </row>
    <row r="17" spans="1:10" x14ac:dyDescent="0.35">
      <c r="A17" s="1" t="s">
        <v>19</v>
      </c>
      <c r="B17" s="1" t="s">
        <v>9</v>
      </c>
      <c r="C17" s="1" t="s">
        <v>13</v>
      </c>
      <c r="D17" s="1" t="s">
        <v>13</v>
      </c>
      <c r="E17" s="4">
        <v>9</v>
      </c>
      <c r="F17" s="4"/>
      <c r="G17" s="4">
        <f t="shared" si="0"/>
        <v>9</v>
      </c>
      <c r="H17" s="5">
        <f t="shared" si="2"/>
        <v>0</v>
      </c>
      <c r="I17" s="89"/>
      <c r="J17" s="90"/>
    </row>
    <row r="18" spans="1:10" x14ac:dyDescent="0.35">
      <c r="A18" s="1" t="s">
        <v>19</v>
      </c>
      <c r="B18" s="1" t="s">
        <v>7</v>
      </c>
      <c r="C18" s="1" t="s">
        <v>8</v>
      </c>
      <c r="D18" s="1" t="s">
        <v>8</v>
      </c>
      <c r="E18" s="4">
        <v>8</v>
      </c>
      <c r="F18" s="4"/>
      <c r="G18" s="4">
        <f t="shared" si="0"/>
        <v>8</v>
      </c>
      <c r="H18" s="5">
        <f t="shared" si="2"/>
        <v>16</v>
      </c>
      <c r="I18" s="89"/>
      <c r="J18" s="90"/>
    </row>
    <row r="19" spans="1:10" x14ac:dyDescent="0.35">
      <c r="A19" s="1" t="s">
        <v>19</v>
      </c>
      <c r="B19" s="1" t="s">
        <v>11</v>
      </c>
      <c r="C19" s="1" t="s">
        <v>6</v>
      </c>
      <c r="D19" s="1" t="s">
        <v>6</v>
      </c>
      <c r="E19" s="4">
        <v>7</v>
      </c>
      <c r="F19" s="4"/>
      <c r="G19" s="4">
        <f t="shared" si="0"/>
        <v>7</v>
      </c>
      <c r="H19" s="5">
        <f t="shared" si="2"/>
        <v>7</v>
      </c>
      <c r="I19" s="89"/>
      <c r="J19" s="90"/>
    </row>
    <row r="20" spans="1:10" x14ac:dyDescent="0.35">
      <c r="A20" s="1" t="s">
        <v>19</v>
      </c>
      <c r="B20" s="1" t="s">
        <v>12</v>
      </c>
      <c r="C20" s="1" t="s">
        <v>6</v>
      </c>
      <c r="D20" s="1" t="s">
        <v>6</v>
      </c>
      <c r="E20" s="4">
        <v>6</v>
      </c>
      <c r="F20" s="4"/>
      <c r="G20" s="4">
        <f t="shared" si="0"/>
        <v>6</v>
      </c>
      <c r="H20" s="5">
        <f t="shared" si="2"/>
        <v>6</v>
      </c>
      <c r="I20" s="89"/>
      <c r="J20" s="90"/>
    </row>
    <row r="21" spans="1:10" x14ac:dyDescent="0.35">
      <c r="A21" s="1" t="s">
        <v>19</v>
      </c>
      <c r="B21" s="1" t="s">
        <v>14</v>
      </c>
      <c r="C21" s="1" t="s">
        <v>6</v>
      </c>
      <c r="D21" s="1" t="s">
        <v>6</v>
      </c>
      <c r="E21" s="4">
        <v>5</v>
      </c>
      <c r="F21" s="4"/>
      <c r="G21" s="4">
        <f t="shared" si="0"/>
        <v>5</v>
      </c>
      <c r="H21" s="5">
        <f t="shared" si="2"/>
        <v>5</v>
      </c>
      <c r="I21" s="89"/>
      <c r="J21" s="90"/>
    </row>
    <row r="22" spans="1:10" x14ac:dyDescent="0.35">
      <c r="A22" s="1" t="s">
        <v>19</v>
      </c>
      <c r="B22" s="1" t="s">
        <v>15</v>
      </c>
      <c r="C22" s="1" t="s">
        <v>13</v>
      </c>
      <c r="D22" s="1" t="s">
        <v>13</v>
      </c>
      <c r="E22" s="4">
        <v>4</v>
      </c>
      <c r="F22" s="4"/>
      <c r="G22" s="4">
        <f t="shared" si="0"/>
        <v>4</v>
      </c>
      <c r="H22" s="5">
        <f t="shared" si="2"/>
        <v>0</v>
      </c>
      <c r="I22" s="89"/>
      <c r="J22" s="90"/>
    </row>
    <row r="23" spans="1:10" x14ac:dyDescent="0.35">
      <c r="A23" s="1" t="s">
        <v>19</v>
      </c>
      <c r="B23" s="1" t="s">
        <v>16</v>
      </c>
      <c r="C23" s="1" t="s">
        <v>6</v>
      </c>
      <c r="D23" s="1" t="s">
        <v>6</v>
      </c>
      <c r="E23" s="4">
        <v>3</v>
      </c>
      <c r="F23" s="4"/>
      <c r="G23" s="4">
        <f t="shared" si="0"/>
        <v>3</v>
      </c>
      <c r="H23" s="5">
        <f t="shared" si="2"/>
        <v>3</v>
      </c>
      <c r="I23" s="89"/>
      <c r="J23" s="90"/>
    </row>
    <row r="24" spans="1:10" x14ac:dyDescent="0.35">
      <c r="A24" s="1" t="s">
        <v>19</v>
      </c>
      <c r="B24" s="1" t="s">
        <v>17</v>
      </c>
      <c r="C24" s="1" t="s">
        <v>13</v>
      </c>
      <c r="D24" s="1" t="s">
        <v>13</v>
      </c>
      <c r="E24" s="4">
        <v>2</v>
      </c>
      <c r="F24" s="4"/>
      <c r="G24" s="4">
        <f t="shared" si="0"/>
        <v>2</v>
      </c>
      <c r="H24" s="5">
        <f t="shared" si="2"/>
        <v>0</v>
      </c>
      <c r="I24" s="89"/>
      <c r="J24" s="90"/>
    </row>
    <row r="25" spans="1:10" x14ac:dyDescent="0.35">
      <c r="A25" s="1" t="s">
        <v>19</v>
      </c>
      <c r="B25" s="1" t="s">
        <v>18</v>
      </c>
      <c r="C25" s="1" t="s">
        <v>13</v>
      </c>
      <c r="D25" s="1" t="s">
        <v>13</v>
      </c>
      <c r="E25" s="4">
        <v>1</v>
      </c>
      <c r="F25" s="4"/>
      <c r="G25" s="4">
        <f t="shared" si="0"/>
        <v>1</v>
      </c>
      <c r="H25" s="5">
        <f t="shared" si="2"/>
        <v>0</v>
      </c>
      <c r="I25" s="89"/>
      <c r="J25" s="90"/>
    </row>
    <row r="26" spans="1:10" x14ac:dyDescent="0.35">
      <c r="A26" s="1" t="s">
        <v>20</v>
      </c>
      <c r="B26" s="1" t="s">
        <v>6</v>
      </c>
      <c r="C26" s="1" t="s">
        <v>6</v>
      </c>
      <c r="D26" s="1" t="s">
        <v>6</v>
      </c>
      <c r="E26" s="4">
        <v>12</v>
      </c>
      <c r="F26" s="4"/>
      <c r="G26" s="4">
        <f t="shared" si="0"/>
        <v>12</v>
      </c>
      <c r="H26" s="5">
        <f t="shared" si="2"/>
        <v>12</v>
      </c>
      <c r="I26" s="89">
        <f>SUM(H26:H37)</f>
        <v>173</v>
      </c>
      <c r="J26" s="90">
        <f>I26/$I$1</f>
        <v>0.11673414304993253</v>
      </c>
    </row>
    <row r="27" spans="1:10" x14ac:dyDescent="0.35">
      <c r="A27" s="1" t="s">
        <v>20</v>
      </c>
      <c r="B27" s="1" t="s">
        <v>8</v>
      </c>
      <c r="C27" s="1" t="s">
        <v>12</v>
      </c>
      <c r="D27" s="1" t="s">
        <v>12</v>
      </c>
      <c r="E27" s="4">
        <v>11</v>
      </c>
      <c r="F27" s="4"/>
      <c r="G27" s="4">
        <f t="shared" si="0"/>
        <v>11</v>
      </c>
      <c r="H27" s="5">
        <f t="shared" si="2"/>
        <v>77</v>
      </c>
      <c r="I27" s="89"/>
      <c r="J27" s="90"/>
    </row>
    <row r="28" spans="1:10" x14ac:dyDescent="0.35">
      <c r="A28" s="1" t="s">
        <v>20</v>
      </c>
      <c r="B28" s="1" t="s">
        <v>10</v>
      </c>
      <c r="C28" s="1" t="s">
        <v>9</v>
      </c>
      <c r="D28" s="1" t="s">
        <v>9</v>
      </c>
      <c r="E28" s="4">
        <v>10</v>
      </c>
      <c r="F28" s="4"/>
      <c r="G28" s="4">
        <f t="shared" si="0"/>
        <v>10</v>
      </c>
      <c r="H28" s="5">
        <f t="shared" si="2"/>
        <v>40</v>
      </c>
      <c r="I28" s="89"/>
      <c r="J28" s="90"/>
    </row>
    <row r="29" spans="1:10" x14ac:dyDescent="0.35">
      <c r="A29" s="1" t="s">
        <v>20</v>
      </c>
      <c r="B29" s="1" t="s">
        <v>9</v>
      </c>
      <c r="C29" s="1" t="s">
        <v>8</v>
      </c>
      <c r="D29" s="1" t="s">
        <v>8</v>
      </c>
      <c r="E29" s="4">
        <v>9</v>
      </c>
      <c r="F29" s="4"/>
      <c r="G29" s="4">
        <f t="shared" si="0"/>
        <v>9</v>
      </c>
      <c r="H29" s="5">
        <f t="shared" si="2"/>
        <v>18</v>
      </c>
      <c r="I29" s="89"/>
      <c r="J29" s="90"/>
    </row>
    <row r="30" spans="1:10" x14ac:dyDescent="0.35">
      <c r="A30" s="1" t="s">
        <v>20</v>
      </c>
      <c r="B30" s="1" t="s">
        <v>7</v>
      </c>
      <c r="C30" s="1" t="s">
        <v>13</v>
      </c>
      <c r="D30" s="1" t="s">
        <v>13</v>
      </c>
      <c r="E30" s="4">
        <v>8</v>
      </c>
      <c r="F30" s="4"/>
      <c r="G30" s="4">
        <f t="shared" si="0"/>
        <v>8</v>
      </c>
      <c r="H30" s="5">
        <f t="shared" si="2"/>
        <v>0</v>
      </c>
      <c r="I30" s="89"/>
      <c r="J30" s="90"/>
    </row>
    <row r="31" spans="1:10" x14ac:dyDescent="0.35">
      <c r="A31" s="1" t="s">
        <v>20</v>
      </c>
      <c r="B31" s="1" t="s">
        <v>11</v>
      </c>
      <c r="C31" s="1" t="s">
        <v>6</v>
      </c>
      <c r="D31" s="1" t="s">
        <v>6</v>
      </c>
      <c r="E31" s="4">
        <v>7</v>
      </c>
      <c r="F31" s="4"/>
      <c r="G31" s="4">
        <f t="shared" si="0"/>
        <v>7</v>
      </c>
      <c r="H31" s="5">
        <f t="shared" si="2"/>
        <v>7</v>
      </c>
      <c r="I31" s="89"/>
      <c r="J31" s="90"/>
    </row>
    <row r="32" spans="1:10" x14ac:dyDescent="0.35">
      <c r="A32" s="1" t="s">
        <v>20</v>
      </c>
      <c r="B32" s="1" t="s">
        <v>12</v>
      </c>
      <c r="C32" s="1" t="s">
        <v>6</v>
      </c>
      <c r="D32" s="1" t="s">
        <v>6</v>
      </c>
      <c r="E32" s="4">
        <v>6</v>
      </c>
      <c r="F32" s="4"/>
      <c r="G32" s="4">
        <f t="shared" si="0"/>
        <v>6</v>
      </c>
      <c r="H32" s="5">
        <f t="shared" si="2"/>
        <v>6</v>
      </c>
      <c r="I32" s="89"/>
      <c r="J32" s="90"/>
    </row>
    <row r="33" spans="1:10" x14ac:dyDescent="0.35">
      <c r="A33" s="1" t="s">
        <v>20</v>
      </c>
      <c r="B33" s="1" t="s">
        <v>14</v>
      </c>
      <c r="C33" s="1" t="s">
        <v>6</v>
      </c>
      <c r="D33" s="1" t="s">
        <v>6</v>
      </c>
      <c r="E33" s="4">
        <v>5</v>
      </c>
      <c r="F33" s="4"/>
      <c r="G33" s="4">
        <f t="shared" si="0"/>
        <v>5</v>
      </c>
      <c r="H33" s="5">
        <f t="shared" si="2"/>
        <v>5</v>
      </c>
      <c r="I33" s="89"/>
      <c r="J33" s="90"/>
    </row>
    <row r="34" spans="1:10" x14ac:dyDescent="0.35">
      <c r="A34" s="1" t="s">
        <v>20</v>
      </c>
      <c r="B34" s="1" t="s">
        <v>15</v>
      </c>
      <c r="C34" s="1" t="s">
        <v>8</v>
      </c>
      <c r="D34" s="1" t="s">
        <v>8</v>
      </c>
      <c r="E34" s="4">
        <v>4</v>
      </c>
      <c r="F34" s="4"/>
      <c r="G34" s="4">
        <f t="shared" si="0"/>
        <v>4</v>
      </c>
      <c r="H34" s="5">
        <f t="shared" si="2"/>
        <v>8</v>
      </c>
      <c r="I34" s="89"/>
      <c r="J34" s="90"/>
    </row>
    <row r="35" spans="1:10" x14ac:dyDescent="0.35">
      <c r="A35" s="1" t="s">
        <v>20</v>
      </c>
      <c r="B35" s="1" t="s">
        <v>16</v>
      </c>
      <c r="C35" s="1" t="s">
        <v>13</v>
      </c>
      <c r="D35" s="1" t="s">
        <v>13</v>
      </c>
      <c r="E35" s="4">
        <v>3</v>
      </c>
      <c r="F35" s="4"/>
      <c r="G35" s="4">
        <f t="shared" si="0"/>
        <v>3</v>
      </c>
      <c r="H35" s="5">
        <f t="shared" si="2"/>
        <v>0</v>
      </c>
      <c r="I35" s="89"/>
      <c r="J35" s="90"/>
    </row>
    <row r="36" spans="1:10" x14ac:dyDescent="0.35">
      <c r="A36" s="1" t="s">
        <v>20</v>
      </c>
      <c r="B36" s="1" t="s">
        <v>17</v>
      </c>
      <c r="C36" s="1" t="s">
        <v>13</v>
      </c>
      <c r="D36" s="1" t="s">
        <v>13</v>
      </c>
      <c r="E36" s="4">
        <v>2</v>
      </c>
      <c r="F36" s="4"/>
      <c r="G36" s="4">
        <f t="shared" si="0"/>
        <v>2</v>
      </c>
      <c r="H36" s="5">
        <f t="shared" si="2"/>
        <v>0</v>
      </c>
      <c r="I36" s="89"/>
      <c r="J36" s="90"/>
    </row>
    <row r="37" spans="1:10" x14ac:dyDescent="0.35">
      <c r="A37" s="1" t="s">
        <v>20</v>
      </c>
      <c r="B37" s="1" t="s">
        <v>18</v>
      </c>
      <c r="C37" s="1" t="s">
        <v>13</v>
      </c>
      <c r="D37" s="1" t="s">
        <v>13</v>
      </c>
      <c r="E37" s="4">
        <v>1</v>
      </c>
      <c r="F37" s="4"/>
      <c r="G37" s="4">
        <f t="shared" si="0"/>
        <v>1</v>
      </c>
      <c r="H37" s="5">
        <f t="shared" si="2"/>
        <v>0</v>
      </c>
      <c r="I37" s="89"/>
      <c r="J37" s="90"/>
    </row>
    <row r="38" spans="1:10" x14ac:dyDescent="0.35">
      <c r="A38" s="1" t="s">
        <v>21</v>
      </c>
      <c r="B38" s="1" t="s">
        <v>6</v>
      </c>
      <c r="C38" s="1" t="s">
        <v>8</v>
      </c>
      <c r="D38" s="1" t="s">
        <v>8</v>
      </c>
      <c r="E38" s="4">
        <v>12</v>
      </c>
      <c r="F38" s="4"/>
      <c r="G38" s="4">
        <f t="shared" si="0"/>
        <v>12</v>
      </c>
      <c r="H38" s="5">
        <f t="shared" si="2"/>
        <v>24</v>
      </c>
      <c r="I38" s="89">
        <f>SUM(H38:H49)</f>
        <v>160</v>
      </c>
      <c r="J38" s="90">
        <f>I38/$I$1</f>
        <v>0.10796221322537113</v>
      </c>
    </row>
    <row r="39" spans="1:10" x14ac:dyDescent="0.35">
      <c r="A39" s="1" t="s">
        <v>21</v>
      </c>
      <c r="B39" s="1" t="s">
        <v>8</v>
      </c>
      <c r="C39" s="1" t="s">
        <v>10</v>
      </c>
      <c r="D39" s="1" t="s">
        <v>10</v>
      </c>
      <c r="E39" s="4">
        <v>11</v>
      </c>
      <c r="F39" s="4"/>
      <c r="G39" s="4">
        <f t="shared" si="0"/>
        <v>11</v>
      </c>
      <c r="H39" s="5">
        <f t="shared" ref="H39:H102" si="3">G39*C39</f>
        <v>33</v>
      </c>
      <c r="I39" s="89"/>
      <c r="J39" s="90"/>
    </row>
    <row r="40" spans="1:10" x14ac:dyDescent="0.35">
      <c r="A40" s="1" t="s">
        <v>21</v>
      </c>
      <c r="B40" s="1" t="s">
        <v>10</v>
      </c>
      <c r="C40" s="1" t="s">
        <v>10</v>
      </c>
      <c r="D40" s="1" t="s">
        <v>10</v>
      </c>
      <c r="E40" s="4">
        <v>10</v>
      </c>
      <c r="F40" s="4"/>
      <c r="G40" s="4">
        <f t="shared" si="0"/>
        <v>10</v>
      </c>
      <c r="H40" s="5">
        <f t="shared" si="3"/>
        <v>30</v>
      </c>
      <c r="I40" s="89"/>
      <c r="J40" s="90"/>
    </row>
    <row r="41" spans="1:10" x14ac:dyDescent="0.35">
      <c r="A41" s="1" t="s">
        <v>21</v>
      </c>
      <c r="B41" s="1" t="s">
        <v>9</v>
      </c>
      <c r="C41" s="1" t="s">
        <v>10</v>
      </c>
      <c r="D41" s="1" t="s">
        <v>10</v>
      </c>
      <c r="E41" s="4">
        <v>9</v>
      </c>
      <c r="F41" s="4"/>
      <c r="G41" s="4">
        <f t="shared" si="0"/>
        <v>9</v>
      </c>
      <c r="H41" s="5">
        <f t="shared" si="3"/>
        <v>27</v>
      </c>
      <c r="I41" s="89"/>
      <c r="J41" s="90"/>
    </row>
    <row r="42" spans="1:10" x14ac:dyDescent="0.35">
      <c r="A42" s="1" t="s">
        <v>21</v>
      </c>
      <c r="B42" s="1" t="s">
        <v>7</v>
      </c>
      <c r="C42" s="1" t="s">
        <v>9</v>
      </c>
      <c r="D42" s="1" t="s">
        <v>9</v>
      </c>
      <c r="E42" s="4">
        <v>8</v>
      </c>
      <c r="F42" s="4"/>
      <c r="G42" s="4">
        <f t="shared" si="0"/>
        <v>8</v>
      </c>
      <c r="H42" s="5">
        <f t="shared" si="3"/>
        <v>32</v>
      </c>
      <c r="I42" s="89"/>
      <c r="J42" s="90"/>
    </row>
    <row r="43" spans="1:10" x14ac:dyDescent="0.35">
      <c r="A43" s="1" t="s">
        <v>21</v>
      </c>
      <c r="B43" s="1" t="s">
        <v>11</v>
      </c>
      <c r="C43" s="1" t="s">
        <v>13</v>
      </c>
      <c r="D43" s="1" t="s">
        <v>13</v>
      </c>
      <c r="E43" s="4">
        <v>7</v>
      </c>
      <c r="F43" s="4"/>
      <c r="G43" s="4">
        <f t="shared" si="0"/>
        <v>7</v>
      </c>
      <c r="H43" s="5">
        <f t="shared" si="3"/>
        <v>0</v>
      </c>
      <c r="I43" s="89"/>
      <c r="J43" s="90"/>
    </row>
    <row r="44" spans="1:10" x14ac:dyDescent="0.35">
      <c r="A44" s="1" t="s">
        <v>21</v>
      </c>
      <c r="B44" s="1" t="s">
        <v>12</v>
      </c>
      <c r="C44" s="1" t="s">
        <v>6</v>
      </c>
      <c r="D44" s="1" t="s">
        <v>6</v>
      </c>
      <c r="E44" s="4">
        <v>6</v>
      </c>
      <c r="F44" s="4"/>
      <c r="G44" s="4">
        <f t="shared" si="0"/>
        <v>6</v>
      </c>
      <c r="H44" s="5">
        <f t="shared" si="3"/>
        <v>6</v>
      </c>
      <c r="I44" s="89"/>
      <c r="J44" s="90"/>
    </row>
    <row r="45" spans="1:10" x14ac:dyDescent="0.35">
      <c r="A45" s="1" t="s">
        <v>21</v>
      </c>
      <c r="B45" s="1" t="s">
        <v>14</v>
      </c>
      <c r="C45" s="1" t="s">
        <v>13</v>
      </c>
      <c r="D45" s="1" t="s">
        <v>13</v>
      </c>
      <c r="E45" s="4">
        <v>5</v>
      </c>
      <c r="F45" s="4"/>
      <c r="G45" s="4">
        <f t="shared" si="0"/>
        <v>5</v>
      </c>
      <c r="H45" s="5">
        <f t="shared" si="3"/>
        <v>0</v>
      </c>
      <c r="I45" s="89"/>
      <c r="J45" s="90"/>
    </row>
    <row r="46" spans="1:10" x14ac:dyDescent="0.35">
      <c r="A46" s="1" t="s">
        <v>21</v>
      </c>
      <c r="B46" s="1" t="s">
        <v>15</v>
      </c>
      <c r="C46" s="1" t="s">
        <v>13</v>
      </c>
      <c r="D46" s="1" t="s">
        <v>13</v>
      </c>
      <c r="E46" s="4">
        <v>4</v>
      </c>
      <c r="F46" s="4"/>
      <c r="G46" s="4">
        <f t="shared" si="0"/>
        <v>4</v>
      </c>
      <c r="H46" s="5">
        <f t="shared" si="3"/>
        <v>0</v>
      </c>
      <c r="I46" s="89"/>
      <c r="J46" s="90"/>
    </row>
    <row r="47" spans="1:10" x14ac:dyDescent="0.35">
      <c r="A47" s="1" t="s">
        <v>21</v>
      </c>
      <c r="B47" s="1" t="s">
        <v>16</v>
      </c>
      <c r="C47" s="1" t="s">
        <v>8</v>
      </c>
      <c r="D47" s="1" t="s">
        <v>8</v>
      </c>
      <c r="E47" s="4">
        <v>3</v>
      </c>
      <c r="F47" s="4"/>
      <c r="G47" s="4">
        <f t="shared" si="0"/>
        <v>3</v>
      </c>
      <c r="H47" s="5">
        <f t="shared" si="3"/>
        <v>6</v>
      </c>
      <c r="I47" s="89"/>
      <c r="J47" s="90"/>
    </row>
    <row r="48" spans="1:10" x14ac:dyDescent="0.35">
      <c r="A48" s="1" t="s">
        <v>21</v>
      </c>
      <c r="B48" s="1" t="s">
        <v>17</v>
      </c>
      <c r="C48" s="1" t="s">
        <v>6</v>
      </c>
      <c r="D48" s="1" t="s">
        <v>6</v>
      </c>
      <c r="E48" s="4">
        <v>2</v>
      </c>
      <c r="F48" s="4"/>
      <c r="G48" s="4">
        <f t="shared" si="0"/>
        <v>2</v>
      </c>
      <c r="H48" s="5">
        <f t="shared" si="3"/>
        <v>2</v>
      </c>
      <c r="I48" s="89"/>
      <c r="J48" s="90"/>
    </row>
    <row r="49" spans="1:10" x14ac:dyDescent="0.35">
      <c r="A49" s="1" t="s">
        <v>21</v>
      </c>
      <c r="B49" s="1" t="s">
        <v>18</v>
      </c>
      <c r="C49" s="1" t="s">
        <v>13</v>
      </c>
      <c r="D49" s="1" t="s">
        <v>13</v>
      </c>
      <c r="E49" s="4">
        <v>1</v>
      </c>
      <c r="F49" s="4"/>
      <c r="G49" s="4">
        <f t="shared" si="0"/>
        <v>1</v>
      </c>
      <c r="H49" s="5">
        <f t="shared" si="3"/>
        <v>0</v>
      </c>
      <c r="I49" s="89"/>
      <c r="J49" s="90"/>
    </row>
    <row r="50" spans="1:10" x14ac:dyDescent="0.35">
      <c r="A50" s="1" t="s">
        <v>22</v>
      </c>
      <c r="B50" s="1" t="s">
        <v>6</v>
      </c>
      <c r="C50" s="1" t="s">
        <v>13</v>
      </c>
      <c r="D50" s="1" t="s">
        <v>13</v>
      </c>
      <c r="E50" s="4">
        <v>12</v>
      </c>
      <c r="F50" s="4"/>
      <c r="G50" s="4">
        <f t="shared" si="0"/>
        <v>12</v>
      </c>
      <c r="H50" s="5">
        <f t="shared" si="3"/>
        <v>0</v>
      </c>
      <c r="I50" s="89">
        <f>SUM(H50:H61)</f>
        <v>100</v>
      </c>
      <c r="J50" s="90">
        <f>I50/$I$1</f>
        <v>6.7476383265856948E-2</v>
      </c>
    </row>
    <row r="51" spans="1:10" x14ac:dyDescent="0.35">
      <c r="A51" s="1" t="s">
        <v>22</v>
      </c>
      <c r="B51" s="1" t="s">
        <v>8</v>
      </c>
      <c r="C51" s="1" t="s">
        <v>13</v>
      </c>
      <c r="D51" s="1" t="s">
        <v>13</v>
      </c>
      <c r="E51" s="4">
        <v>11</v>
      </c>
      <c r="F51" s="4"/>
      <c r="G51" s="4">
        <f t="shared" si="0"/>
        <v>11</v>
      </c>
      <c r="H51" s="5">
        <f t="shared" si="3"/>
        <v>0</v>
      </c>
      <c r="I51" s="89"/>
      <c r="J51" s="90"/>
    </row>
    <row r="52" spans="1:10" x14ac:dyDescent="0.35">
      <c r="A52" s="1" t="s">
        <v>22</v>
      </c>
      <c r="B52" s="1" t="s">
        <v>10</v>
      </c>
      <c r="C52" s="1" t="s">
        <v>6</v>
      </c>
      <c r="D52" s="1" t="s">
        <v>6</v>
      </c>
      <c r="E52" s="4">
        <v>10</v>
      </c>
      <c r="F52" s="4"/>
      <c r="G52" s="4">
        <f t="shared" si="0"/>
        <v>10</v>
      </c>
      <c r="H52" s="5">
        <f t="shared" si="3"/>
        <v>10</v>
      </c>
      <c r="I52" s="89"/>
      <c r="J52" s="90"/>
    </row>
    <row r="53" spans="1:10" x14ac:dyDescent="0.35">
      <c r="A53" s="1" t="s">
        <v>22</v>
      </c>
      <c r="B53" s="1" t="s">
        <v>9</v>
      </c>
      <c r="C53" s="1" t="s">
        <v>6</v>
      </c>
      <c r="D53" s="1" t="s">
        <v>6</v>
      </c>
      <c r="E53" s="4">
        <v>9</v>
      </c>
      <c r="F53" s="4"/>
      <c r="G53" s="4">
        <f t="shared" si="0"/>
        <v>9</v>
      </c>
      <c r="H53" s="5">
        <f t="shared" si="3"/>
        <v>9</v>
      </c>
      <c r="I53" s="89"/>
      <c r="J53" s="90"/>
    </row>
    <row r="54" spans="1:10" x14ac:dyDescent="0.35">
      <c r="A54" s="1" t="s">
        <v>22</v>
      </c>
      <c r="B54" s="1" t="s">
        <v>7</v>
      </c>
      <c r="C54" s="1" t="s">
        <v>13</v>
      </c>
      <c r="D54" s="1" t="s">
        <v>13</v>
      </c>
      <c r="E54" s="4">
        <v>8</v>
      </c>
      <c r="F54" s="4"/>
      <c r="G54" s="4">
        <f t="shared" si="0"/>
        <v>8</v>
      </c>
      <c r="H54" s="5">
        <f t="shared" si="3"/>
        <v>0</v>
      </c>
      <c r="I54" s="89"/>
      <c r="J54" s="90"/>
    </row>
    <row r="55" spans="1:10" x14ac:dyDescent="0.35">
      <c r="A55" s="1" t="s">
        <v>22</v>
      </c>
      <c r="B55" s="1" t="s">
        <v>11</v>
      </c>
      <c r="C55" s="1" t="s">
        <v>9</v>
      </c>
      <c r="D55" s="1" t="s">
        <v>9</v>
      </c>
      <c r="E55" s="4">
        <v>7</v>
      </c>
      <c r="F55" s="4"/>
      <c r="G55" s="4">
        <f t="shared" si="0"/>
        <v>7</v>
      </c>
      <c r="H55" s="5">
        <f t="shared" si="3"/>
        <v>28</v>
      </c>
      <c r="I55" s="89"/>
      <c r="J55" s="90"/>
    </row>
    <row r="56" spans="1:10" x14ac:dyDescent="0.35">
      <c r="A56" s="1" t="s">
        <v>22</v>
      </c>
      <c r="B56" s="1" t="s">
        <v>12</v>
      </c>
      <c r="C56" s="1" t="s">
        <v>10</v>
      </c>
      <c r="D56" s="1" t="s">
        <v>10</v>
      </c>
      <c r="E56" s="4">
        <v>6</v>
      </c>
      <c r="F56" s="4"/>
      <c r="G56" s="4">
        <f t="shared" si="0"/>
        <v>6</v>
      </c>
      <c r="H56" s="5">
        <f t="shared" si="3"/>
        <v>18</v>
      </c>
      <c r="I56" s="89"/>
      <c r="J56" s="90"/>
    </row>
    <row r="57" spans="1:10" x14ac:dyDescent="0.35">
      <c r="A57" s="1" t="s">
        <v>22</v>
      </c>
      <c r="B57" s="1" t="s">
        <v>14</v>
      </c>
      <c r="C57" s="1" t="s">
        <v>10</v>
      </c>
      <c r="D57" s="1" t="s">
        <v>10</v>
      </c>
      <c r="E57" s="4">
        <v>5</v>
      </c>
      <c r="F57" s="4"/>
      <c r="G57" s="4">
        <f t="shared" si="0"/>
        <v>5</v>
      </c>
      <c r="H57" s="5">
        <f t="shared" si="3"/>
        <v>15</v>
      </c>
      <c r="I57" s="89"/>
      <c r="J57" s="90"/>
    </row>
    <row r="58" spans="1:10" x14ac:dyDescent="0.35">
      <c r="A58" s="1" t="s">
        <v>22</v>
      </c>
      <c r="B58" s="1" t="s">
        <v>15</v>
      </c>
      <c r="C58" s="1" t="s">
        <v>9</v>
      </c>
      <c r="D58" s="1" t="s">
        <v>9</v>
      </c>
      <c r="E58" s="4">
        <v>4</v>
      </c>
      <c r="F58" s="4"/>
      <c r="G58" s="4">
        <f t="shared" si="0"/>
        <v>4</v>
      </c>
      <c r="H58" s="5">
        <f t="shared" si="3"/>
        <v>16</v>
      </c>
      <c r="I58" s="89"/>
      <c r="J58" s="90"/>
    </row>
    <row r="59" spans="1:10" x14ac:dyDescent="0.35">
      <c r="A59" s="1" t="s">
        <v>22</v>
      </c>
      <c r="B59" s="1" t="s">
        <v>16</v>
      </c>
      <c r="C59" s="1" t="s">
        <v>13</v>
      </c>
      <c r="D59" s="1" t="s">
        <v>13</v>
      </c>
      <c r="E59" s="4">
        <v>3</v>
      </c>
      <c r="F59" s="4"/>
      <c r="G59" s="4">
        <f t="shared" si="0"/>
        <v>3</v>
      </c>
      <c r="H59" s="5">
        <f t="shared" si="3"/>
        <v>0</v>
      </c>
      <c r="I59" s="89"/>
      <c r="J59" s="90"/>
    </row>
    <row r="60" spans="1:10" x14ac:dyDescent="0.35">
      <c r="A60" s="1" t="s">
        <v>22</v>
      </c>
      <c r="B60" s="1" t="s">
        <v>17</v>
      </c>
      <c r="C60" s="1" t="s">
        <v>6</v>
      </c>
      <c r="D60" s="1" t="s">
        <v>6</v>
      </c>
      <c r="E60" s="4">
        <v>2</v>
      </c>
      <c r="F60" s="4"/>
      <c r="G60" s="4">
        <f t="shared" si="0"/>
        <v>2</v>
      </c>
      <c r="H60" s="5">
        <f t="shared" si="3"/>
        <v>2</v>
      </c>
      <c r="I60" s="89"/>
      <c r="J60" s="90"/>
    </row>
    <row r="61" spans="1:10" x14ac:dyDescent="0.35">
      <c r="A61" s="1" t="s">
        <v>22</v>
      </c>
      <c r="B61" s="1" t="s">
        <v>18</v>
      </c>
      <c r="C61" s="1" t="s">
        <v>8</v>
      </c>
      <c r="D61" s="1" t="s">
        <v>8</v>
      </c>
      <c r="E61" s="4">
        <v>1</v>
      </c>
      <c r="F61" s="4"/>
      <c r="G61" s="4">
        <f t="shared" si="0"/>
        <v>1</v>
      </c>
      <c r="H61" s="5">
        <f t="shared" si="3"/>
        <v>2</v>
      </c>
      <c r="I61" s="89"/>
      <c r="J61" s="90"/>
    </row>
    <row r="62" spans="1:10" x14ac:dyDescent="0.35">
      <c r="A62" s="1" t="s">
        <v>23</v>
      </c>
      <c r="B62" s="1" t="s">
        <v>6</v>
      </c>
      <c r="C62" s="1" t="s">
        <v>13</v>
      </c>
      <c r="D62" s="1" t="s">
        <v>13</v>
      </c>
      <c r="E62" s="4">
        <v>12</v>
      </c>
      <c r="F62" s="4"/>
      <c r="G62" s="4">
        <f t="shared" si="0"/>
        <v>12</v>
      </c>
      <c r="H62" s="5">
        <f t="shared" si="3"/>
        <v>0</v>
      </c>
      <c r="I62" s="89">
        <f>SUM(H62:H73)</f>
        <v>108</v>
      </c>
      <c r="J62" s="90">
        <f>I62/$I$1</f>
        <v>7.28744939271255E-2</v>
      </c>
    </row>
    <row r="63" spans="1:10" x14ac:dyDescent="0.35">
      <c r="A63" s="1" t="s">
        <v>23</v>
      </c>
      <c r="B63" s="1" t="s">
        <v>8</v>
      </c>
      <c r="C63" s="1" t="s">
        <v>13</v>
      </c>
      <c r="D63" s="1" t="s">
        <v>13</v>
      </c>
      <c r="E63" s="4">
        <v>11</v>
      </c>
      <c r="F63" s="4"/>
      <c r="G63" s="4">
        <f t="shared" si="0"/>
        <v>11</v>
      </c>
      <c r="H63" s="5">
        <f t="shared" si="3"/>
        <v>0</v>
      </c>
      <c r="I63" s="89"/>
      <c r="J63" s="90"/>
    </row>
    <row r="64" spans="1:10" x14ac:dyDescent="0.35">
      <c r="A64" s="1" t="s">
        <v>23</v>
      </c>
      <c r="B64" s="1" t="s">
        <v>10</v>
      </c>
      <c r="C64" s="1" t="s">
        <v>6</v>
      </c>
      <c r="D64" s="1" t="s">
        <v>6</v>
      </c>
      <c r="E64" s="4">
        <v>10</v>
      </c>
      <c r="F64" s="4"/>
      <c r="G64" s="4">
        <f t="shared" si="0"/>
        <v>10</v>
      </c>
      <c r="H64" s="5">
        <f t="shared" si="3"/>
        <v>10</v>
      </c>
      <c r="I64" s="89"/>
      <c r="J64" s="90"/>
    </row>
    <row r="65" spans="1:10" x14ac:dyDescent="0.35">
      <c r="A65" s="1" t="s">
        <v>23</v>
      </c>
      <c r="B65" s="1" t="s">
        <v>9</v>
      </c>
      <c r="C65" s="1" t="s">
        <v>6</v>
      </c>
      <c r="D65" s="1" t="s">
        <v>6</v>
      </c>
      <c r="E65" s="4">
        <v>9</v>
      </c>
      <c r="F65" s="4"/>
      <c r="G65" s="4">
        <f t="shared" si="0"/>
        <v>9</v>
      </c>
      <c r="H65" s="5">
        <f t="shared" si="3"/>
        <v>9</v>
      </c>
      <c r="I65" s="89"/>
      <c r="J65" s="90"/>
    </row>
    <row r="66" spans="1:10" x14ac:dyDescent="0.35">
      <c r="A66" s="1" t="s">
        <v>23</v>
      </c>
      <c r="B66" s="1" t="s">
        <v>7</v>
      </c>
      <c r="C66" s="1" t="s">
        <v>10</v>
      </c>
      <c r="D66" s="1" t="s">
        <v>10</v>
      </c>
      <c r="E66" s="4">
        <v>8</v>
      </c>
      <c r="F66" s="4"/>
      <c r="G66" s="4">
        <f t="shared" si="0"/>
        <v>8</v>
      </c>
      <c r="H66" s="5">
        <f t="shared" si="3"/>
        <v>24</v>
      </c>
      <c r="I66" s="89"/>
      <c r="J66" s="90"/>
    </row>
    <row r="67" spans="1:10" x14ac:dyDescent="0.35">
      <c r="A67" s="1" t="s">
        <v>23</v>
      </c>
      <c r="B67" s="1" t="s">
        <v>11</v>
      </c>
      <c r="C67" s="1" t="s">
        <v>6</v>
      </c>
      <c r="D67" s="1" t="s">
        <v>6</v>
      </c>
      <c r="E67" s="4">
        <v>7</v>
      </c>
      <c r="F67" s="4"/>
      <c r="G67" s="4">
        <f t="shared" ref="G67:G130" si="4">IF(C67&gt;=1,E67,0)</f>
        <v>7</v>
      </c>
      <c r="H67" s="5">
        <f t="shared" si="3"/>
        <v>7</v>
      </c>
      <c r="I67" s="89"/>
      <c r="J67" s="90"/>
    </row>
    <row r="68" spans="1:10" x14ac:dyDescent="0.35">
      <c r="A68" s="1" t="s">
        <v>23</v>
      </c>
      <c r="B68" s="1" t="s">
        <v>12</v>
      </c>
      <c r="C68" s="1" t="s">
        <v>9</v>
      </c>
      <c r="D68" s="1" t="s">
        <v>9</v>
      </c>
      <c r="E68" s="4">
        <v>6</v>
      </c>
      <c r="F68" s="4"/>
      <c r="G68" s="4">
        <f t="shared" si="4"/>
        <v>6</v>
      </c>
      <c r="H68" s="5">
        <f t="shared" si="3"/>
        <v>24</v>
      </c>
      <c r="I68" s="89"/>
      <c r="J68" s="90"/>
    </row>
    <row r="69" spans="1:10" x14ac:dyDescent="0.35">
      <c r="A69" s="1" t="s">
        <v>23</v>
      </c>
      <c r="B69" s="1" t="s">
        <v>14</v>
      </c>
      <c r="C69" s="1" t="s">
        <v>8</v>
      </c>
      <c r="D69" s="1" t="s">
        <v>8</v>
      </c>
      <c r="E69" s="4">
        <v>5</v>
      </c>
      <c r="F69" s="4"/>
      <c r="G69" s="4">
        <f t="shared" si="4"/>
        <v>5</v>
      </c>
      <c r="H69" s="5">
        <f t="shared" si="3"/>
        <v>10</v>
      </c>
      <c r="I69" s="89"/>
      <c r="J69" s="90"/>
    </row>
    <row r="70" spans="1:10" x14ac:dyDescent="0.35">
      <c r="A70" s="1" t="s">
        <v>23</v>
      </c>
      <c r="B70" s="1" t="s">
        <v>15</v>
      </c>
      <c r="C70" s="1" t="s">
        <v>9</v>
      </c>
      <c r="D70" s="1" t="s">
        <v>9</v>
      </c>
      <c r="E70" s="4">
        <v>4</v>
      </c>
      <c r="F70" s="4"/>
      <c r="G70" s="4">
        <f t="shared" si="4"/>
        <v>4</v>
      </c>
      <c r="H70" s="5">
        <f t="shared" si="3"/>
        <v>16</v>
      </c>
      <c r="I70" s="89"/>
      <c r="J70" s="90"/>
    </row>
    <row r="71" spans="1:10" x14ac:dyDescent="0.35">
      <c r="A71" s="1" t="s">
        <v>23</v>
      </c>
      <c r="B71" s="1" t="s">
        <v>16</v>
      </c>
      <c r="C71" s="1" t="s">
        <v>8</v>
      </c>
      <c r="D71" s="1" t="s">
        <v>8</v>
      </c>
      <c r="E71" s="4">
        <v>3</v>
      </c>
      <c r="F71" s="4"/>
      <c r="G71" s="4">
        <f t="shared" si="4"/>
        <v>3</v>
      </c>
      <c r="H71" s="5">
        <f t="shared" si="3"/>
        <v>6</v>
      </c>
      <c r="I71" s="89"/>
      <c r="J71" s="90"/>
    </row>
    <row r="72" spans="1:10" x14ac:dyDescent="0.35">
      <c r="A72" s="1" t="s">
        <v>23</v>
      </c>
      <c r="B72" s="1" t="s">
        <v>17</v>
      </c>
      <c r="C72" s="1" t="s">
        <v>6</v>
      </c>
      <c r="D72" s="1" t="s">
        <v>6</v>
      </c>
      <c r="E72" s="4">
        <v>2</v>
      </c>
      <c r="F72" s="4"/>
      <c r="G72" s="4">
        <f t="shared" si="4"/>
        <v>2</v>
      </c>
      <c r="H72" s="5">
        <f t="shared" si="3"/>
        <v>2</v>
      </c>
      <c r="I72" s="89"/>
      <c r="J72" s="90"/>
    </row>
    <row r="73" spans="1:10" x14ac:dyDescent="0.35">
      <c r="A73" s="1" t="s">
        <v>23</v>
      </c>
      <c r="B73" s="1" t="s">
        <v>18</v>
      </c>
      <c r="C73" s="1" t="s">
        <v>13</v>
      </c>
      <c r="D73" s="1" t="s">
        <v>13</v>
      </c>
      <c r="E73" s="4">
        <v>1</v>
      </c>
      <c r="F73" s="4"/>
      <c r="G73" s="4">
        <f t="shared" si="4"/>
        <v>1</v>
      </c>
      <c r="H73" s="5">
        <f t="shared" si="3"/>
        <v>0</v>
      </c>
      <c r="I73" s="89"/>
      <c r="J73" s="90"/>
    </row>
    <row r="74" spans="1:10" x14ac:dyDescent="0.35">
      <c r="A74" s="1" t="s">
        <v>24</v>
      </c>
      <c r="B74" s="1" t="s">
        <v>6</v>
      </c>
      <c r="C74" s="1" t="s">
        <v>10</v>
      </c>
      <c r="D74" s="1" t="s">
        <v>10</v>
      </c>
      <c r="E74" s="4">
        <v>12</v>
      </c>
      <c r="F74" s="4"/>
      <c r="G74" s="4">
        <f t="shared" si="4"/>
        <v>12</v>
      </c>
      <c r="H74" s="5">
        <f t="shared" si="3"/>
        <v>36</v>
      </c>
      <c r="I74" s="89">
        <f>SUM(H74:H85)</f>
        <v>157</v>
      </c>
      <c r="J74" s="90">
        <f>I74/$I$1</f>
        <v>0.10593792172739541</v>
      </c>
    </row>
    <row r="75" spans="1:10" x14ac:dyDescent="0.35">
      <c r="A75" s="1" t="s">
        <v>24</v>
      </c>
      <c r="B75" s="1" t="s">
        <v>8</v>
      </c>
      <c r="C75" s="1" t="s">
        <v>6</v>
      </c>
      <c r="D75" s="1" t="s">
        <v>6</v>
      </c>
      <c r="E75" s="4">
        <v>11</v>
      </c>
      <c r="F75" s="4"/>
      <c r="G75" s="4">
        <f t="shared" si="4"/>
        <v>11</v>
      </c>
      <c r="H75" s="5">
        <f t="shared" si="3"/>
        <v>11</v>
      </c>
      <c r="I75" s="89"/>
      <c r="J75" s="90"/>
    </row>
    <row r="76" spans="1:10" x14ac:dyDescent="0.35">
      <c r="A76" s="1" t="s">
        <v>24</v>
      </c>
      <c r="B76" s="1" t="s">
        <v>10</v>
      </c>
      <c r="C76" s="1" t="s">
        <v>6</v>
      </c>
      <c r="D76" s="1" t="s">
        <v>6</v>
      </c>
      <c r="E76" s="4">
        <v>10</v>
      </c>
      <c r="F76" s="4"/>
      <c r="G76" s="4">
        <f t="shared" si="4"/>
        <v>10</v>
      </c>
      <c r="H76" s="5">
        <f t="shared" si="3"/>
        <v>10</v>
      </c>
      <c r="I76" s="89"/>
      <c r="J76" s="90"/>
    </row>
    <row r="77" spans="1:10" x14ac:dyDescent="0.35">
      <c r="A77" s="1" t="s">
        <v>24</v>
      </c>
      <c r="B77" s="1" t="s">
        <v>9</v>
      </c>
      <c r="C77" s="1" t="s">
        <v>9</v>
      </c>
      <c r="D77" s="1" t="s">
        <v>9</v>
      </c>
      <c r="E77" s="4">
        <v>9</v>
      </c>
      <c r="F77" s="4"/>
      <c r="G77" s="4">
        <f t="shared" si="4"/>
        <v>9</v>
      </c>
      <c r="H77" s="5">
        <f t="shared" si="3"/>
        <v>36</v>
      </c>
      <c r="I77" s="89"/>
      <c r="J77" s="90"/>
    </row>
    <row r="78" spans="1:10" x14ac:dyDescent="0.35">
      <c r="A78" s="1" t="s">
        <v>24</v>
      </c>
      <c r="B78" s="1" t="s">
        <v>7</v>
      </c>
      <c r="C78" s="1" t="s">
        <v>9</v>
      </c>
      <c r="D78" s="1" t="s">
        <v>9</v>
      </c>
      <c r="E78" s="4">
        <v>8</v>
      </c>
      <c r="F78" s="4"/>
      <c r="G78" s="4">
        <f t="shared" si="4"/>
        <v>8</v>
      </c>
      <c r="H78" s="5">
        <f t="shared" si="3"/>
        <v>32</v>
      </c>
      <c r="I78" s="89"/>
      <c r="J78" s="90"/>
    </row>
    <row r="79" spans="1:10" x14ac:dyDescent="0.35">
      <c r="A79" s="1" t="s">
        <v>24</v>
      </c>
      <c r="B79" s="1" t="s">
        <v>11</v>
      </c>
      <c r="C79" s="1" t="s">
        <v>8</v>
      </c>
      <c r="D79" s="1" t="s">
        <v>8</v>
      </c>
      <c r="E79" s="4">
        <v>7</v>
      </c>
      <c r="F79" s="4"/>
      <c r="G79" s="4">
        <f t="shared" si="4"/>
        <v>7</v>
      </c>
      <c r="H79" s="5">
        <f t="shared" si="3"/>
        <v>14</v>
      </c>
      <c r="I79" s="89"/>
      <c r="J79" s="90"/>
    </row>
    <row r="80" spans="1:10" x14ac:dyDescent="0.35">
      <c r="A80" s="1" t="s">
        <v>24</v>
      </c>
      <c r="B80" s="1" t="s">
        <v>12</v>
      </c>
      <c r="C80" s="1" t="s">
        <v>6</v>
      </c>
      <c r="D80" s="1" t="s">
        <v>6</v>
      </c>
      <c r="E80" s="4">
        <v>6</v>
      </c>
      <c r="F80" s="4"/>
      <c r="G80" s="4">
        <f t="shared" si="4"/>
        <v>6</v>
      </c>
      <c r="H80" s="5">
        <f t="shared" si="3"/>
        <v>6</v>
      </c>
      <c r="I80" s="89"/>
      <c r="J80" s="90"/>
    </row>
    <row r="81" spans="1:10" x14ac:dyDescent="0.35">
      <c r="A81" s="1" t="s">
        <v>24</v>
      </c>
      <c r="B81" s="1" t="s">
        <v>14</v>
      </c>
      <c r="C81" s="1" t="s">
        <v>6</v>
      </c>
      <c r="D81" s="1" t="s">
        <v>6</v>
      </c>
      <c r="E81" s="4">
        <v>5</v>
      </c>
      <c r="F81" s="4"/>
      <c r="G81" s="4">
        <f t="shared" si="4"/>
        <v>5</v>
      </c>
      <c r="H81" s="5">
        <f t="shared" si="3"/>
        <v>5</v>
      </c>
      <c r="I81" s="89"/>
      <c r="J81" s="90"/>
    </row>
    <row r="82" spans="1:10" x14ac:dyDescent="0.35">
      <c r="A82" s="1" t="s">
        <v>24</v>
      </c>
      <c r="B82" s="1" t="s">
        <v>15</v>
      </c>
      <c r="C82" s="1" t="s">
        <v>6</v>
      </c>
      <c r="D82" s="1" t="s">
        <v>6</v>
      </c>
      <c r="E82" s="4">
        <v>4</v>
      </c>
      <c r="F82" s="4"/>
      <c r="G82" s="4">
        <f t="shared" si="4"/>
        <v>4</v>
      </c>
      <c r="H82" s="5">
        <f t="shared" si="3"/>
        <v>4</v>
      </c>
      <c r="I82" s="89"/>
      <c r="J82" s="90"/>
    </row>
    <row r="83" spans="1:10" x14ac:dyDescent="0.35">
      <c r="A83" s="1" t="s">
        <v>24</v>
      </c>
      <c r="B83" s="1" t="s">
        <v>16</v>
      </c>
      <c r="C83" s="1" t="s">
        <v>6</v>
      </c>
      <c r="D83" s="1" t="s">
        <v>6</v>
      </c>
      <c r="E83" s="4">
        <v>3</v>
      </c>
      <c r="F83" s="4"/>
      <c r="G83" s="4">
        <f t="shared" si="4"/>
        <v>3</v>
      </c>
      <c r="H83" s="5">
        <f t="shared" si="3"/>
        <v>3</v>
      </c>
      <c r="I83" s="89"/>
      <c r="J83" s="90"/>
    </row>
    <row r="84" spans="1:10" x14ac:dyDescent="0.35">
      <c r="A84" s="1" t="s">
        <v>24</v>
      </c>
      <c r="B84" s="1" t="s">
        <v>17</v>
      </c>
      <c r="C84" s="1" t="s">
        <v>13</v>
      </c>
      <c r="D84" s="1" t="s">
        <v>13</v>
      </c>
      <c r="E84" s="4">
        <v>2</v>
      </c>
      <c r="F84" s="4"/>
      <c r="G84" s="4">
        <f t="shared" si="4"/>
        <v>2</v>
      </c>
      <c r="H84" s="5">
        <f t="shared" si="3"/>
        <v>0</v>
      </c>
      <c r="I84" s="89"/>
      <c r="J84" s="90"/>
    </row>
    <row r="85" spans="1:10" x14ac:dyDescent="0.35">
      <c r="A85" s="1" t="s">
        <v>24</v>
      </c>
      <c r="B85" s="1" t="s">
        <v>18</v>
      </c>
      <c r="C85" s="1" t="s">
        <v>13</v>
      </c>
      <c r="D85" s="1" t="s">
        <v>13</v>
      </c>
      <c r="E85" s="4">
        <v>1</v>
      </c>
      <c r="F85" s="4"/>
      <c r="G85" s="4">
        <f t="shared" si="4"/>
        <v>1</v>
      </c>
      <c r="H85" s="5">
        <f t="shared" si="3"/>
        <v>0</v>
      </c>
      <c r="I85" s="89"/>
      <c r="J85" s="90"/>
    </row>
    <row r="86" spans="1:10" x14ac:dyDescent="0.35">
      <c r="A86" s="1" t="s">
        <v>25</v>
      </c>
      <c r="B86" s="1" t="s">
        <v>6</v>
      </c>
      <c r="C86" s="1" t="s">
        <v>13</v>
      </c>
      <c r="D86" s="1" t="s">
        <v>13</v>
      </c>
      <c r="E86" s="4">
        <v>12</v>
      </c>
      <c r="F86" s="4"/>
      <c r="G86" s="4">
        <f t="shared" si="4"/>
        <v>12</v>
      </c>
      <c r="H86" s="5">
        <f t="shared" si="3"/>
        <v>0</v>
      </c>
      <c r="I86" s="89">
        <f>SUM(H86:H97)</f>
        <v>71</v>
      </c>
      <c r="J86" s="90">
        <f>I86/$I$1</f>
        <v>4.7908232118758436E-2</v>
      </c>
    </row>
    <row r="87" spans="1:10" x14ac:dyDescent="0.35">
      <c r="A87" s="1" t="s">
        <v>25</v>
      </c>
      <c r="B87" s="1" t="s">
        <v>8</v>
      </c>
      <c r="C87" s="1" t="s">
        <v>13</v>
      </c>
      <c r="D87" s="1" t="s">
        <v>13</v>
      </c>
      <c r="E87" s="4">
        <v>11</v>
      </c>
      <c r="F87" s="4"/>
      <c r="G87" s="4">
        <f t="shared" si="4"/>
        <v>11</v>
      </c>
      <c r="H87" s="5">
        <f t="shared" si="3"/>
        <v>0</v>
      </c>
      <c r="I87" s="89"/>
      <c r="J87" s="90"/>
    </row>
    <row r="88" spans="1:10" x14ac:dyDescent="0.35">
      <c r="A88" s="1" t="s">
        <v>25</v>
      </c>
      <c r="B88" s="1" t="s">
        <v>10</v>
      </c>
      <c r="C88" s="1" t="s">
        <v>13</v>
      </c>
      <c r="D88" s="1" t="s">
        <v>13</v>
      </c>
      <c r="E88" s="4">
        <v>10</v>
      </c>
      <c r="F88" s="4"/>
      <c r="G88" s="4">
        <f t="shared" si="4"/>
        <v>10</v>
      </c>
      <c r="H88" s="5">
        <f t="shared" si="3"/>
        <v>0</v>
      </c>
      <c r="I88" s="89"/>
      <c r="J88" s="90"/>
    </row>
    <row r="89" spans="1:10" x14ac:dyDescent="0.35">
      <c r="A89" s="1" t="s">
        <v>25</v>
      </c>
      <c r="B89" s="1" t="s">
        <v>9</v>
      </c>
      <c r="C89" s="1" t="s">
        <v>6</v>
      </c>
      <c r="D89" s="1" t="s">
        <v>6</v>
      </c>
      <c r="E89" s="4">
        <v>9</v>
      </c>
      <c r="F89" s="4"/>
      <c r="G89" s="4">
        <f t="shared" si="4"/>
        <v>9</v>
      </c>
      <c r="H89" s="5">
        <f t="shared" si="3"/>
        <v>9</v>
      </c>
      <c r="I89" s="89"/>
      <c r="J89" s="90"/>
    </row>
    <row r="90" spans="1:10" x14ac:dyDescent="0.35">
      <c r="A90" s="1" t="s">
        <v>25</v>
      </c>
      <c r="B90" s="1" t="s">
        <v>7</v>
      </c>
      <c r="C90" s="1" t="s">
        <v>13</v>
      </c>
      <c r="D90" s="1" t="s">
        <v>13</v>
      </c>
      <c r="E90" s="4">
        <v>8</v>
      </c>
      <c r="F90" s="4"/>
      <c r="G90" s="4">
        <f t="shared" si="4"/>
        <v>8</v>
      </c>
      <c r="H90" s="5">
        <f t="shared" si="3"/>
        <v>0</v>
      </c>
      <c r="I90" s="89"/>
      <c r="J90" s="90"/>
    </row>
    <row r="91" spans="1:10" x14ac:dyDescent="0.35">
      <c r="A91" s="1" t="s">
        <v>25</v>
      </c>
      <c r="B91" s="1" t="s">
        <v>11</v>
      </c>
      <c r="C91" s="1" t="s">
        <v>6</v>
      </c>
      <c r="D91" s="1" t="s">
        <v>6</v>
      </c>
      <c r="E91" s="4">
        <v>7</v>
      </c>
      <c r="F91" s="4"/>
      <c r="G91" s="4">
        <f t="shared" si="4"/>
        <v>7</v>
      </c>
      <c r="H91" s="5">
        <f t="shared" si="3"/>
        <v>7</v>
      </c>
      <c r="I91" s="89"/>
      <c r="J91" s="90"/>
    </row>
    <row r="92" spans="1:10" x14ac:dyDescent="0.35">
      <c r="A92" s="1" t="s">
        <v>25</v>
      </c>
      <c r="B92" s="1" t="s">
        <v>12</v>
      </c>
      <c r="C92" s="1" t="s">
        <v>6</v>
      </c>
      <c r="D92" s="1" t="s">
        <v>6</v>
      </c>
      <c r="E92" s="4">
        <v>6</v>
      </c>
      <c r="F92" s="4"/>
      <c r="G92" s="4">
        <f t="shared" si="4"/>
        <v>6</v>
      </c>
      <c r="H92" s="5">
        <f t="shared" si="3"/>
        <v>6</v>
      </c>
      <c r="I92" s="89"/>
      <c r="J92" s="90"/>
    </row>
    <row r="93" spans="1:10" x14ac:dyDescent="0.35">
      <c r="A93" s="1" t="s">
        <v>25</v>
      </c>
      <c r="B93" s="1" t="s">
        <v>14</v>
      </c>
      <c r="C93" s="1" t="s">
        <v>7</v>
      </c>
      <c r="D93" s="1" t="s">
        <v>7</v>
      </c>
      <c r="E93" s="4">
        <v>5</v>
      </c>
      <c r="F93" s="4"/>
      <c r="G93" s="4">
        <f t="shared" si="4"/>
        <v>5</v>
      </c>
      <c r="H93" s="5">
        <f t="shared" si="3"/>
        <v>25</v>
      </c>
      <c r="I93" s="89"/>
      <c r="J93" s="90"/>
    </row>
    <row r="94" spans="1:10" x14ac:dyDescent="0.35">
      <c r="A94" s="1" t="s">
        <v>25</v>
      </c>
      <c r="B94" s="1" t="s">
        <v>15</v>
      </c>
      <c r="C94" s="1" t="s">
        <v>8</v>
      </c>
      <c r="D94" s="1" t="s">
        <v>8</v>
      </c>
      <c r="E94" s="4">
        <v>4</v>
      </c>
      <c r="F94" s="4"/>
      <c r="G94" s="4">
        <f t="shared" si="4"/>
        <v>4</v>
      </c>
      <c r="H94" s="5">
        <f t="shared" si="3"/>
        <v>8</v>
      </c>
      <c r="I94" s="89"/>
      <c r="J94" s="90"/>
    </row>
    <row r="95" spans="1:10" x14ac:dyDescent="0.35">
      <c r="A95" s="1" t="s">
        <v>25</v>
      </c>
      <c r="B95" s="1" t="s">
        <v>16</v>
      </c>
      <c r="C95" s="1" t="s">
        <v>8</v>
      </c>
      <c r="D95" s="1" t="s">
        <v>8</v>
      </c>
      <c r="E95" s="4">
        <v>3</v>
      </c>
      <c r="F95" s="4"/>
      <c r="G95" s="4">
        <f t="shared" si="4"/>
        <v>3</v>
      </c>
      <c r="H95" s="5">
        <f t="shared" si="3"/>
        <v>6</v>
      </c>
      <c r="I95" s="89"/>
      <c r="J95" s="90"/>
    </row>
    <row r="96" spans="1:10" x14ac:dyDescent="0.35">
      <c r="A96" s="1" t="s">
        <v>25</v>
      </c>
      <c r="B96" s="1" t="s">
        <v>17</v>
      </c>
      <c r="C96" s="1" t="s">
        <v>10</v>
      </c>
      <c r="D96" s="1" t="s">
        <v>10</v>
      </c>
      <c r="E96" s="4">
        <v>2</v>
      </c>
      <c r="F96" s="4"/>
      <c r="G96" s="4">
        <f t="shared" si="4"/>
        <v>2</v>
      </c>
      <c r="H96" s="5">
        <f t="shared" si="3"/>
        <v>6</v>
      </c>
      <c r="I96" s="89"/>
      <c r="J96" s="90"/>
    </row>
    <row r="97" spans="1:10" x14ac:dyDescent="0.35">
      <c r="A97" s="1" t="s">
        <v>25</v>
      </c>
      <c r="B97" s="1" t="s">
        <v>18</v>
      </c>
      <c r="C97" s="1" t="s">
        <v>9</v>
      </c>
      <c r="D97" s="1" t="s">
        <v>9</v>
      </c>
      <c r="E97" s="4">
        <v>1</v>
      </c>
      <c r="F97" s="4"/>
      <c r="G97" s="4">
        <f t="shared" si="4"/>
        <v>1</v>
      </c>
      <c r="H97" s="5">
        <f t="shared" si="3"/>
        <v>4</v>
      </c>
      <c r="I97" s="89"/>
      <c r="J97" s="90"/>
    </row>
    <row r="98" spans="1:10" x14ac:dyDescent="0.35">
      <c r="A98" s="1" t="s">
        <v>26</v>
      </c>
      <c r="B98" s="1" t="s">
        <v>6</v>
      </c>
      <c r="C98" s="1" t="s">
        <v>13</v>
      </c>
      <c r="D98" s="1" t="s">
        <v>13</v>
      </c>
      <c r="E98" s="4">
        <v>12</v>
      </c>
      <c r="F98" s="4"/>
      <c r="G98" s="4">
        <f t="shared" si="4"/>
        <v>12</v>
      </c>
      <c r="H98" s="5">
        <f t="shared" si="3"/>
        <v>0</v>
      </c>
      <c r="I98" s="89">
        <f>SUM(H98:H109)</f>
        <v>95</v>
      </c>
      <c r="J98" s="90">
        <f>I98/$I$1</f>
        <v>6.4102564102564097E-2</v>
      </c>
    </row>
    <row r="99" spans="1:10" x14ac:dyDescent="0.35">
      <c r="A99" s="1" t="s">
        <v>26</v>
      </c>
      <c r="B99" s="1" t="s">
        <v>8</v>
      </c>
      <c r="C99" s="1" t="s">
        <v>6</v>
      </c>
      <c r="D99" s="1" t="s">
        <v>6</v>
      </c>
      <c r="E99" s="4">
        <v>11</v>
      </c>
      <c r="F99" s="4"/>
      <c r="G99" s="4">
        <f t="shared" si="4"/>
        <v>11</v>
      </c>
      <c r="H99" s="5">
        <f t="shared" si="3"/>
        <v>11</v>
      </c>
      <c r="I99" s="89"/>
      <c r="J99" s="90"/>
    </row>
    <row r="100" spans="1:10" x14ac:dyDescent="0.35">
      <c r="A100" s="1" t="s">
        <v>26</v>
      </c>
      <c r="B100" s="1" t="s">
        <v>10</v>
      </c>
      <c r="C100" s="1" t="s">
        <v>13</v>
      </c>
      <c r="D100" s="1" t="s">
        <v>13</v>
      </c>
      <c r="E100" s="4">
        <v>10</v>
      </c>
      <c r="F100" s="4"/>
      <c r="G100" s="4">
        <f t="shared" si="4"/>
        <v>10</v>
      </c>
      <c r="H100" s="5">
        <f t="shared" si="3"/>
        <v>0</v>
      </c>
      <c r="I100" s="89"/>
      <c r="J100" s="90"/>
    </row>
    <row r="101" spans="1:10" x14ac:dyDescent="0.35">
      <c r="A101" s="1" t="s">
        <v>26</v>
      </c>
      <c r="B101" s="1" t="s">
        <v>9</v>
      </c>
      <c r="C101" s="1" t="s">
        <v>8</v>
      </c>
      <c r="D101" s="1" t="s">
        <v>8</v>
      </c>
      <c r="E101" s="4">
        <v>9</v>
      </c>
      <c r="F101" s="4"/>
      <c r="G101" s="4">
        <f t="shared" si="4"/>
        <v>9</v>
      </c>
      <c r="H101" s="5">
        <f t="shared" si="3"/>
        <v>18</v>
      </c>
      <c r="I101" s="89"/>
      <c r="J101" s="90"/>
    </row>
    <row r="102" spans="1:10" x14ac:dyDescent="0.35">
      <c r="A102" s="1" t="s">
        <v>26</v>
      </c>
      <c r="B102" s="1" t="s">
        <v>7</v>
      </c>
      <c r="C102" s="1" t="s">
        <v>13</v>
      </c>
      <c r="D102" s="1" t="s">
        <v>13</v>
      </c>
      <c r="E102" s="4">
        <v>8</v>
      </c>
      <c r="F102" s="4"/>
      <c r="G102" s="4">
        <f t="shared" si="4"/>
        <v>8</v>
      </c>
      <c r="H102" s="5">
        <f t="shared" si="3"/>
        <v>0</v>
      </c>
      <c r="I102" s="89"/>
      <c r="J102" s="90"/>
    </row>
    <row r="103" spans="1:10" x14ac:dyDescent="0.35">
      <c r="A103" s="1" t="s">
        <v>26</v>
      </c>
      <c r="B103" s="1" t="s">
        <v>11</v>
      </c>
      <c r="C103" s="1" t="s">
        <v>9</v>
      </c>
      <c r="D103" s="1" t="s">
        <v>9</v>
      </c>
      <c r="E103" s="4">
        <v>7</v>
      </c>
      <c r="F103" s="4"/>
      <c r="G103" s="4">
        <f t="shared" si="4"/>
        <v>7</v>
      </c>
      <c r="H103" s="5">
        <f t="shared" ref="H103:H145" si="5">G103*C103</f>
        <v>28</v>
      </c>
      <c r="I103" s="89"/>
      <c r="J103" s="90"/>
    </row>
    <row r="104" spans="1:10" x14ac:dyDescent="0.35">
      <c r="A104" s="1" t="s">
        <v>26</v>
      </c>
      <c r="B104" s="1" t="s">
        <v>12</v>
      </c>
      <c r="C104" s="1" t="s">
        <v>6</v>
      </c>
      <c r="D104" s="1" t="s">
        <v>6</v>
      </c>
      <c r="E104" s="4">
        <v>6</v>
      </c>
      <c r="F104" s="4"/>
      <c r="G104" s="4">
        <f t="shared" si="4"/>
        <v>6</v>
      </c>
      <c r="H104" s="5">
        <f t="shared" si="5"/>
        <v>6</v>
      </c>
      <c r="I104" s="89"/>
      <c r="J104" s="90"/>
    </row>
    <row r="105" spans="1:10" x14ac:dyDescent="0.35">
      <c r="A105" s="1" t="s">
        <v>26</v>
      </c>
      <c r="B105" s="1" t="s">
        <v>14</v>
      </c>
      <c r="C105" s="1" t="s">
        <v>6</v>
      </c>
      <c r="D105" s="1" t="s">
        <v>6</v>
      </c>
      <c r="E105" s="4">
        <v>5</v>
      </c>
      <c r="F105" s="4"/>
      <c r="G105" s="4">
        <f t="shared" si="4"/>
        <v>5</v>
      </c>
      <c r="H105" s="5">
        <f t="shared" si="5"/>
        <v>5</v>
      </c>
      <c r="I105" s="89"/>
      <c r="J105" s="90"/>
    </row>
    <row r="106" spans="1:10" x14ac:dyDescent="0.35">
      <c r="A106" s="1" t="s">
        <v>26</v>
      </c>
      <c r="B106" s="1" t="s">
        <v>15</v>
      </c>
      <c r="C106" s="1" t="s">
        <v>10</v>
      </c>
      <c r="D106" s="1" t="s">
        <v>10</v>
      </c>
      <c r="E106" s="4">
        <v>4</v>
      </c>
      <c r="F106" s="4"/>
      <c r="G106" s="4">
        <f t="shared" si="4"/>
        <v>4</v>
      </c>
      <c r="H106" s="5">
        <f t="shared" si="5"/>
        <v>12</v>
      </c>
      <c r="I106" s="89"/>
      <c r="J106" s="90"/>
    </row>
    <row r="107" spans="1:10" x14ac:dyDescent="0.35">
      <c r="A107" s="1" t="s">
        <v>26</v>
      </c>
      <c r="B107" s="1" t="s">
        <v>16</v>
      </c>
      <c r="C107" s="1" t="s">
        <v>10</v>
      </c>
      <c r="D107" s="1" t="s">
        <v>10</v>
      </c>
      <c r="E107" s="4">
        <v>3</v>
      </c>
      <c r="F107" s="4"/>
      <c r="G107" s="4">
        <f t="shared" si="4"/>
        <v>3</v>
      </c>
      <c r="H107" s="5">
        <f t="shared" si="5"/>
        <v>9</v>
      </c>
      <c r="I107" s="89"/>
      <c r="J107" s="90"/>
    </row>
    <row r="108" spans="1:10" x14ac:dyDescent="0.35">
      <c r="A108" s="1" t="s">
        <v>26</v>
      </c>
      <c r="B108" s="1" t="s">
        <v>17</v>
      </c>
      <c r="C108" s="1" t="s">
        <v>8</v>
      </c>
      <c r="D108" s="1" t="s">
        <v>8</v>
      </c>
      <c r="E108" s="4">
        <v>2</v>
      </c>
      <c r="F108" s="4"/>
      <c r="G108" s="4">
        <f t="shared" si="4"/>
        <v>2</v>
      </c>
      <c r="H108" s="5">
        <f t="shared" si="5"/>
        <v>4</v>
      </c>
      <c r="I108" s="89"/>
      <c r="J108" s="90"/>
    </row>
    <row r="109" spans="1:10" x14ac:dyDescent="0.35">
      <c r="A109" s="1" t="s">
        <v>26</v>
      </c>
      <c r="B109" s="1" t="s">
        <v>18</v>
      </c>
      <c r="C109" s="1" t="s">
        <v>8</v>
      </c>
      <c r="D109" s="1" t="s">
        <v>8</v>
      </c>
      <c r="E109" s="4">
        <v>1</v>
      </c>
      <c r="F109" s="4"/>
      <c r="G109" s="4">
        <f t="shared" si="4"/>
        <v>1</v>
      </c>
      <c r="H109" s="5">
        <f t="shared" si="5"/>
        <v>2</v>
      </c>
      <c r="I109" s="89"/>
      <c r="J109" s="90"/>
    </row>
    <row r="110" spans="1:10" x14ac:dyDescent="0.35">
      <c r="A110" s="1" t="s">
        <v>27</v>
      </c>
      <c r="B110" s="1" t="s">
        <v>6</v>
      </c>
      <c r="C110" s="1" t="s">
        <v>13</v>
      </c>
      <c r="D110" s="1" t="s">
        <v>13</v>
      </c>
      <c r="E110" s="4">
        <v>12</v>
      </c>
      <c r="F110" s="4"/>
      <c r="G110" s="4">
        <f t="shared" si="4"/>
        <v>12</v>
      </c>
      <c r="H110" s="5">
        <f t="shared" si="5"/>
        <v>0</v>
      </c>
      <c r="I110" s="89">
        <f>SUM(H110:H121)</f>
        <v>102</v>
      </c>
      <c r="J110" s="90">
        <f>I110/$I$1</f>
        <v>6.8825910931174086E-2</v>
      </c>
    </row>
    <row r="111" spans="1:10" x14ac:dyDescent="0.35">
      <c r="A111" s="1" t="s">
        <v>27</v>
      </c>
      <c r="B111" s="1" t="s">
        <v>8</v>
      </c>
      <c r="C111" s="1" t="s">
        <v>8</v>
      </c>
      <c r="D111" s="1" t="s">
        <v>8</v>
      </c>
      <c r="E111" s="4">
        <v>11</v>
      </c>
      <c r="F111" s="4"/>
      <c r="G111" s="4">
        <f t="shared" si="4"/>
        <v>11</v>
      </c>
      <c r="H111" s="5">
        <f t="shared" si="5"/>
        <v>22</v>
      </c>
      <c r="I111" s="89"/>
      <c r="J111" s="90"/>
    </row>
    <row r="112" spans="1:10" x14ac:dyDescent="0.35">
      <c r="A112" s="1" t="s">
        <v>27</v>
      </c>
      <c r="B112" s="1" t="s">
        <v>10</v>
      </c>
      <c r="C112" s="1" t="s">
        <v>6</v>
      </c>
      <c r="D112" s="1" t="s">
        <v>6</v>
      </c>
      <c r="E112" s="4">
        <v>10</v>
      </c>
      <c r="F112" s="4"/>
      <c r="G112" s="4">
        <f t="shared" si="4"/>
        <v>10</v>
      </c>
      <c r="H112" s="5">
        <f t="shared" si="5"/>
        <v>10</v>
      </c>
      <c r="I112" s="89"/>
      <c r="J112" s="90"/>
    </row>
    <row r="113" spans="1:10" x14ac:dyDescent="0.35">
      <c r="A113" s="1" t="s">
        <v>27</v>
      </c>
      <c r="B113" s="1" t="s">
        <v>9</v>
      </c>
      <c r="C113" s="1" t="s">
        <v>8</v>
      </c>
      <c r="D113" s="1" t="s">
        <v>8</v>
      </c>
      <c r="E113" s="4">
        <v>9</v>
      </c>
      <c r="F113" s="4"/>
      <c r="G113" s="4">
        <f t="shared" si="4"/>
        <v>9</v>
      </c>
      <c r="H113" s="5">
        <f t="shared" si="5"/>
        <v>18</v>
      </c>
      <c r="I113" s="89"/>
      <c r="J113" s="90"/>
    </row>
    <row r="114" spans="1:10" x14ac:dyDescent="0.35">
      <c r="A114" s="1" t="s">
        <v>27</v>
      </c>
      <c r="B114" s="1" t="s">
        <v>7</v>
      </c>
      <c r="C114" s="1" t="s">
        <v>8</v>
      </c>
      <c r="D114" s="1" t="s">
        <v>8</v>
      </c>
      <c r="E114" s="4">
        <v>8</v>
      </c>
      <c r="F114" s="4"/>
      <c r="G114" s="4">
        <f t="shared" si="4"/>
        <v>8</v>
      </c>
      <c r="H114" s="5">
        <f t="shared" si="5"/>
        <v>16</v>
      </c>
      <c r="I114" s="89"/>
      <c r="J114" s="90"/>
    </row>
    <row r="115" spans="1:10" x14ac:dyDescent="0.35">
      <c r="A115" s="1" t="s">
        <v>27</v>
      </c>
      <c r="B115" s="1" t="s">
        <v>11</v>
      </c>
      <c r="C115" s="1" t="s">
        <v>6</v>
      </c>
      <c r="D115" s="1" t="s">
        <v>6</v>
      </c>
      <c r="E115" s="4">
        <v>7</v>
      </c>
      <c r="F115" s="4"/>
      <c r="G115" s="4">
        <f t="shared" si="4"/>
        <v>7</v>
      </c>
      <c r="H115" s="5">
        <f t="shared" si="5"/>
        <v>7</v>
      </c>
      <c r="I115" s="89"/>
      <c r="J115" s="90"/>
    </row>
    <row r="116" spans="1:10" x14ac:dyDescent="0.35">
      <c r="A116" s="1" t="s">
        <v>27</v>
      </c>
      <c r="B116" s="1" t="s">
        <v>12</v>
      </c>
      <c r="C116" s="1" t="s">
        <v>13</v>
      </c>
      <c r="D116" s="1" t="s">
        <v>13</v>
      </c>
      <c r="E116" s="4">
        <v>6</v>
      </c>
      <c r="F116" s="4"/>
      <c r="G116" s="4">
        <f t="shared" si="4"/>
        <v>6</v>
      </c>
      <c r="H116" s="5">
        <f t="shared" si="5"/>
        <v>0</v>
      </c>
      <c r="I116" s="89"/>
      <c r="J116" s="90"/>
    </row>
    <row r="117" spans="1:10" x14ac:dyDescent="0.35">
      <c r="A117" s="1" t="s">
        <v>27</v>
      </c>
      <c r="B117" s="1" t="s">
        <v>14</v>
      </c>
      <c r="C117" s="1" t="s">
        <v>6</v>
      </c>
      <c r="D117" s="1" t="s">
        <v>6</v>
      </c>
      <c r="E117" s="4">
        <v>5</v>
      </c>
      <c r="F117" s="4"/>
      <c r="G117" s="4">
        <f t="shared" si="4"/>
        <v>5</v>
      </c>
      <c r="H117" s="5">
        <f t="shared" si="5"/>
        <v>5</v>
      </c>
      <c r="I117" s="89"/>
      <c r="J117" s="90"/>
    </row>
    <row r="118" spans="1:10" x14ac:dyDescent="0.35">
      <c r="A118" s="1" t="s">
        <v>27</v>
      </c>
      <c r="B118" s="1" t="s">
        <v>15</v>
      </c>
      <c r="C118" s="1" t="s">
        <v>13</v>
      </c>
      <c r="D118" s="1" t="s">
        <v>13</v>
      </c>
      <c r="E118" s="4">
        <v>4</v>
      </c>
      <c r="F118" s="4"/>
      <c r="G118" s="4">
        <f t="shared" si="4"/>
        <v>4</v>
      </c>
      <c r="H118" s="5">
        <f t="shared" si="5"/>
        <v>0</v>
      </c>
      <c r="I118" s="89"/>
      <c r="J118" s="90"/>
    </row>
    <row r="119" spans="1:10" x14ac:dyDescent="0.35">
      <c r="A119" s="1" t="s">
        <v>27</v>
      </c>
      <c r="B119" s="1" t="s">
        <v>16</v>
      </c>
      <c r="C119" s="1" t="s">
        <v>9</v>
      </c>
      <c r="D119" s="1" t="s">
        <v>9</v>
      </c>
      <c r="E119" s="4">
        <v>3</v>
      </c>
      <c r="F119" s="4"/>
      <c r="G119" s="4">
        <f t="shared" si="4"/>
        <v>3</v>
      </c>
      <c r="H119" s="5">
        <f t="shared" si="5"/>
        <v>12</v>
      </c>
      <c r="I119" s="89"/>
      <c r="J119" s="90"/>
    </row>
    <row r="120" spans="1:10" x14ac:dyDescent="0.35">
      <c r="A120" s="1" t="s">
        <v>27</v>
      </c>
      <c r="B120" s="1" t="s">
        <v>17</v>
      </c>
      <c r="C120" s="1" t="s">
        <v>11</v>
      </c>
      <c r="D120" s="1" t="s">
        <v>11</v>
      </c>
      <c r="E120" s="4">
        <v>2</v>
      </c>
      <c r="F120" s="4"/>
      <c r="G120" s="4">
        <f t="shared" si="4"/>
        <v>2</v>
      </c>
      <c r="H120" s="5">
        <f t="shared" si="5"/>
        <v>12</v>
      </c>
      <c r="I120" s="89"/>
      <c r="J120" s="90"/>
    </row>
    <row r="121" spans="1:10" x14ac:dyDescent="0.35">
      <c r="A121" s="1" t="s">
        <v>27</v>
      </c>
      <c r="B121" s="1" t="s">
        <v>18</v>
      </c>
      <c r="C121" s="1" t="s">
        <v>13</v>
      </c>
      <c r="D121" s="1" t="s">
        <v>13</v>
      </c>
      <c r="E121" s="4">
        <v>1</v>
      </c>
      <c r="F121" s="4"/>
      <c r="G121" s="4">
        <f t="shared" si="4"/>
        <v>1</v>
      </c>
      <c r="H121" s="5">
        <f t="shared" si="5"/>
        <v>0</v>
      </c>
      <c r="I121" s="89"/>
      <c r="J121" s="90"/>
    </row>
    <row r="122" spans="1:10" x14ac:dyDescent="0.35">
      <c r="A122" s="1" t="s">
        <v>28</v>
      </c>
      <c r="B122" s="1" t="s">
        <v>6</v>
      </c>
      <c r="C122" s="1" t="s">
        <v>13</v>
      </c>
      <c r="D122" s="1" t="s">
        <v>13</v>
      </c>
      <c r="E122" s="4">
        <v>12</v>
      </c>
      <c r="F122" s="4"/>
      <c r="G122" s="4">
        <f t="shared" si="4"/>
        <v>12</v>
      </c>
      <c r="H122" s="5">
        <f t="shared" si="5"/>
        <v>0</v>
      </c>
      <c r="I122" s="89">
        <f>SUM(H122:H133)</f>
        <v>99</v>
      </c>
      <c r="J122" s="90">
        <f>I122/$I$1</f>
        <v>6.6801619433198386E-2</v>
      </c>
    </row>
    <row r="123" spans="1:10" x14ac:dyDescent="0.35">
      <c r="A123" s="1" t="s">
        <v>28</v>
      </c>
      <c r="B123" s="1" t="s">
        <v>8</v>
      </c>
      <c r="C123" s="1" t="s">
        <v>13</v>
      </c>
      <c r="D123" s="1" t="s">
        <v>13</v>
      </c>
      <c r="E123" s="4">
        <v>11</v>
      </c>
      <c r="F123" s="4"/>
      <c r="G123" s="4">
        <f t="shared" si="4"/>
        <v>11</v>
      </c>
      <c r="H123" s="5">
        <f t="shared" si="5"/>
        <v>0</v>
      </c>
      <c r="I123" s="89"/>
      <c r="J123" s="90"/>
    </row>
    <row r="124" spans="1:10" x14ac:dyDescent="0.35">
      <c r="A124" s="1" t="s">
        <v>28</v>
      </c>
      <c r="B124" s="1" t="s">
        <v>10</v>
      </c>
      <c r="C124" s="1" t="s">
        <v>10</v>
      </c>
      <c r="D124" s="1" t="s">
        <v>10</v>
      </c>
      <c r="E124" s="4">
        <v>10</v>
      </c>
      <c r="F124" s="4"/>
      <c r="G124" s="4">
        <f t="shared" si="4"/>
        <v>10</v>
      </c>
      <c r="H124" s="5">
        <f t="shared" si="5"/>
        <v>30</v>
      </c>
      <c r="I124" s="89"/>
      <c r="J124" s="90"/>
    </row>
    <row r="125" spans="1:10" x14ac:dyDescent="0.35">
      <c r="A125" s="1" t="s">
        <v>28</v>
      </c>
      <c r="B125" s="1" t="s">
        <v>9</v>
      </c>
      <c r="C125" s="1" t="s">
        <v>13</v>
      </c>
      <c r="D125" s="1" t="s">
        <v>13</v>
      </c>
      <c r="E125" s="4">
        <v>9</v>
      </c>
      <c r="F125" s="4"/>
      <c r="G125" s="4">
        <f t="shared" si="4"/>
        <v>9</v>
      </c>
      <c r="H125" s="5">
        <f t="shared" si="5"/>
        <v>0</v>
      </c>
      <c r="I125" s="89"/>
      <c r="J125" s="90"/>
    </row>
    <row r="126" spans="1:10" x14ac:dyDescent="0.35">
      <c r="A126" s="1" t="s">
        <v>28</v>
      </c>
      <c r="B126" s="1" t="s">
        <v>7</v>
      </c>
      <c r="C126" s="1" t="s">
        <v>8</v>
      </c>
      <c r="D126" s="1" t="s">
        <v>8</v>
      </c>
      <c r="E126" s="4">
        <v>8</v>
      </c>
      <c r="F126" s="4"/>
      <c r="G126" s="4">
        <f t="shared" si="4"/>
        <v>8</v>
      </c>
      <c r="H126" s="5">
        <f t="shared" si="5"/>
        <v>16</v>
      </c>
      <c r="I126" s="89"/>
      <c r="J126" s="90"/>
    </row>
    <row r="127" spans="1:10" x14ac:dyDescent="0.35">
      <c r="A127" s="1" t="s">
        <v>28</v>
      </c>
      <c r="B127" s="1" t="s">
        <v>11</v>
      </c>
      <c r="C127" s="1" t="s">
        <v>6</v>
      </c>
      <c r="D127" s="1" t="s">
        <v>6</v>
      </c>
      <c r="E127" s="4">
        <v>7</v>
      </c>
      <c r="F127" s="4"/>
      <c r="G127" s="4">
        <f t="shared" si="4"/>
        <v>7</v>
      </c>
      <c r="H127" s="5">
        <f t="shared" si="5"/>
        <v>7</v>
      </c>
      <c r="I127" s="89"/>
      <c r="J127" s="90"/>
    </row>
    <row r="128" spans="1:10" x14ac:dyDescent="0.35">
      <c r="A128" s="1" t="s">
        <v>28</v>
      </c>
      <c r="B128" s="1" t="s">
        <v>12</v>
      </c>
      <c r="C128" s="1" t="s">
        <v>10</v>
      </c>
      <c r="D128" s="1" t="s">
        <v>10</v>
      </c>
      <c r="E128" s="4">
        <v>6</v>
      </c>
      <c r="F128" s="4"/>
      <c r="G128" s="4">
        <f t="shared" si="4"/>
        <v>6</v>
      </c>
      <c r="H128" s="5">
        <f t="shared" si="5"/>
        <v>18</v>
      </c>
      <c r="I128" s="89"/>
      <c r="J128" s="90"/>
    </row>
    <row r="129" spans="1:10" x14ac:dyDescent="0.35">
      <c r="A129" s="1" t="s">
        <v>28</v>
      </c>
      <c r="B129" s="1" t="s">
        <v>14</v>
      </c>
      <c r="C129" s="1" t="s">
        <v>8</v>
      </c>
      <c r="D129" s="1" t="s">
        <v>8</v>
      </c>
      <c r="E129" s="4">
        <v>5</v>
      </c>
      <c r="F129" s="4"/>
      <c r="G129" s="4">
        <f t="shared" si="4"/>
        <v>5</v>
      </c>
      <c r="H129" s="5">
        <f t="shared" si="5"/>
        <v>10</v>
      </c>
      <c r="I129" s="89"/>
      <c r="J129" s="90"/>
    </row>
    <row r="130" spans="1:10" x14ac:dyDescent="0.35">
      <c r="A130" s="1" t="s">
        <v>28</v>
      </c>
      <c r="B130" s="1" t="s">
        <v>15</v>
      </c>
      <c r="C130" s="1" t="s">
        <v>8</v>
      </c>
      <c r="D130" s="1" t="s">
        <v>8</v>
      </c>
      <c r="E130" s="4">
        <v>4</v>
      </c>
      <c r="F130" s="4"/>
      <c r="G130" s="4">
        <f t="shared" si="4"/>
        <v>4</v>
      </c>
      <c r="H130" s="5">
        <f t="shared" si="5"/>
        <v>8</v>
      </c>
      <c r="I130" s="89"/>
      <c r="J130" s="90"/>
    </row>
    <row r="131" spans="1:10" x14ac:dyDescent="0.35">
      <c r="A131" s="1" t="s">
        <v>28</v>
      </c>
      <c r="B131" s="1" t="s">
        <v>16</v>
      </c>
      <c r="C131" s="1" t="s">
        <v>6</v>
      </c>
      <c r="D131" s="1" t="s">
        <v>6</v>
      </c>
      <c r="E131" s="4">
        <v>3</v>
      </c>
      <c r="F131" s="4"/>
      <c r="G131" s="4">
        <f t="shared" ref="G131:G145" si="6">IF(C131&gt;=1,E131,0)</f>
        <v>3</v>
      </c>
      <c r="H131" s="5">
        <f t="shared" si="5"/>
        <v>3</v>
      </c>
      <c r="I131" s="89"/>
      <c r="J131" s="90"/>
    </row>
    <row r="132" spans="1:10" x14ac:dyDescent="0.35">
      <c r="A132" s="1" t="s">
        <v>28</v>
      </c>
      <c r="B132" s="1" t="s">
        <v>17</v>
      </c>
      <c r="C132" s="1" t="s">
        <v>8</v>
      </c>
      <c r="D132" s="1" t="s">
        <v>8</v>
      </c>
      <c r="E132" s="4">
        <v>2</v>
      </c>
      <c r="F132" s="4"/>
      <c r="G132" s="4">
        <f t="shared" si="6"/>
        <v>2</v>
      </c>
      <c r="H132" s="5">
        <f t="shared" si="5"/>
        <v>4</v>
      </c>
      <c r="I132" s="89"/>
      <c r="J132" s="90"/>
    </row>
    <row r="133" spans="1:10" x14ac:dyDescent="0.35">
      <c r="A133" s="1" t="s">
        <v>28</v>
      </c>
      <c r="B133" s="1" t="s">
        <v>18</v>
      </c>
      <c r="C133" s="1" t="s">
        <v>10</v>
      </c>
      <c r="D133" s="1" t="s">
        <v>10</v>
      </c>
      <c r="E133" s="4">
        <v>1</v>
      </c>
      <c r="F133" s="4"/>
      <c r="G133" s="4">
        <f t="shared" si="6"/>
        <v>1</v>
      </c>
      <c r="H133" s="5">
        <f t="shared" si="5"/>
        <v>3</v>
      </c>
      <c r="I133" s="89"/>
      <c r="J133" s="90"/>
    </row>
    <row r="134" spans="1:10" x14ac:dyDescent="0.35">
      <c r="A134" s="1" t="s">
        <v>29</v>
      </c>
      <c r="B134" s="1" t="s">
        <v>6</v>
      </c>
      <c r="C134" s="1" t="s">
        <v>13</v>
      </c>
      <c r="D134" s="1" t="s">
        <v>13</v>
      </c>
      <c r="E134" s="4">
        <v>12</v>
      </c>
      <c r="F134" s="4"/>
      <c r="G134" s="4">
        <f t="shared" si="6"/>
        <v>12</v>
      </c>
      <c r="H134" s="5">
        <f t="shared" si="5"/>
        <v>0</v>
      </c>
      <c r="I134" s="89">
        <f>SUM(H134:H145)</f>
        <v>54</v>
      </c>
      <c r="J134" s="90">
        <f>I134/$I$1</f>
        <v>3.643724696356275E-2</v>
      </c>
    </row>
    <row r="135" spans="1:10" x14ac:dyDescent="0.35">
      <c r="A135" s="1" t="s">
        <v>29</v>
      </c>
      <c r="B135" s="1" t="s">
        <v>8</v>
      </c>
      <c r="C135" s="1" t="s">
        <v>13</v>
      </c>
      <c r="D135" s="1" t="s">
        <v>13</v>
      </c>
      <c r="E135" s="4">
        <v>11</v>
      </c>
      <c r="F135" s="4"/>
      <c r="G135" s="4">
        <f t="shared" si="6"/>
        <v>11</v>
      </c>
      <c r="H135" s="5">
        <f t="shared" si="5"/>
        <v>0</v>
      </c>
      <c r="I135" s="89"/>
      <c r="J135" s="90"/>
    </row>
    <row r="136" spans="1:10" x14ac:dyDescent="0.35">
      <c r="A136" s="1" t="s">
        <v>29</v>
      </c>
      <c r="B136" s="1" t="s">
        <v>10</v>
      </c>
      <c r="C136" s="1" t="s">
        <v>13</v>
      </c>
      <c r="D136" s="1" t="s">
        <v>13</v>
      </c>
      <c r="E136" s="4">
        <v>10</v>
      </c>
      <c r="F136" s="4"/>
      <c r="G136" s="4">
        <f t="shared" si="6"/>
        <v>10</v>
      </c>
      <c r="H136" s="5">
        <f t="shared" si="5"/>
        <v>0</v>
      </c>
      <c r="I136" s="89"/>
      <c r="J136" s="90"/>
    </row>
    <row r="137" spans="1:10" x14ac:dyDescent="0.35">
      <c r="A137" s="1" t="s">
        <v>29</v>
      </c>
      <c r="B137" s="1" t="s">
        <v>9</v>
      </c>
      <c r="C137" s="1" t="s">
        <v>13</v>
      </c>
      <c r="D137" s="1" t="s">
        <v>13</v>
      </c>
      <c r="E137" s="4">
        <v>9</v>
      </c>
      <c r="F137" s="4"/>
      <c r="G137" s="4">
        <f t="shared" si="6"/>
        <v>9</v>
      </c>
      <c r="H137" s="5">
        <f t="shared" si="5"/>
        <v>0</v>
      </c>
      <c r="I137" s="89"/>
      <c r="J137" s="90"/>
    </row>
    <row r="138" spans="1:10" x14ac:dyDescent="0.35">
      <c r="A138" s="1" t="s">
        <v>29</v>
      </c>
      <c r="B138" s="1" t="s">
        <v>7</v>
      </c>
      <c r="C138" s="1" t="s">
        <v>13</v>
      </c>
      <c r="D138" s="1" t="s">
        <v>13</v>
      </c>
      <c r="E138" s="4">
        <v>8</v>
      </c>
      <c r="F138" s="4"/>
      <c r="G138" s="4">
        <f t="shared" si="6"/>
        <v>8</v>
      </c>
      <c r="H138" s="5">
        <f t="shared" si="5"/>
        <v>0</v>
      </c>
      <c r="I138" s="89"/>
      <c r="J138" s="90"/>
    </row>
    <row r="139" spans="1:10" x14ac:dyDescent="0.35">
      <c r="A139" s="1" t="s">
        <v>29</v>
      </c>
      <c r="B139" s="1" t="s">
        <v>11</v>
      </c>
      <c r="C139" s="1" t="s">
        <v>6</v>
      </c>
      <c r="D139" s="1" t="s">
        <v>6</v>
      </c>
      <c r="E139" s="4">
        <v>7</v>
      </c>
      <c r="F139" s="4"/>
      <c r="G139" s="4">
        <f t="shared" si="6"/>
        <v>7</v>
      </c>
      <c r="H139" s="5">
        <f t="shared" si="5"/>
        <v>7</v>
      </c>
      <c r="I139" s="89"/>
      <c r="J139" s="90"/>
    </row>
    <row r="140" spans="1:10" x14ac:dyDescent="0.35">
      <c r="A140" s="1" t="s">
        <v>29</v>
      </c>
      <c r="B140" s="1" t="s">
        <v>12</v>
      </c>
      <c r="C140" s="1" t="s">
        <v>10</v>
      </c>
      <c r="D140" s="1" t="s">
        <v>10</v>
      </c>
      <c r="E140" s="4">
        <v>6</v>
      </c>
      <c r="F140" s="4"/>
      <c r="G140" s="4">
        <f t="shared" si="6"/>
        <v>6</v>
      </c>
      <c r="H140" s="5">
        <f t="shared" si="5"/>
        <v>18</v>
      </c>
      <c r="I140" s="89"/>
      <c r="J140" s="90"/>
    </row>
    <row r="141" spans="1:10" x14ac:dyDescent="0.35">
      <c r="A141" s="1" t="s">
        <v>29</v>
      </c>
      <c r="B141" s="1" t="s">
        <v>14</v>
      </c>
      <c r="C141" s="1" t="s">
        <v>6</v>
      </c>
      <c r="D141" s="1" t="s">
        <v>6</v>
      </c>
      <c r="E141" s="4">
        <v>5</v>
      </c>
      <c r="F141" s="4"/>
      <c r="G141" s="4">
        <f t="shared" si="6"/>
        <v>5</v>
      </c>
      <c r="H141" s="5">
        <f t="shared" si="5"/>
        <v>5</v>
      </c>
      <c r="I141" s="89"/>
      <c r="J141" s="90"/>
    </row>
    <row r="142" spans="1:10" x14ac:dyDescent="0.35">
      <c r="A142" s="1" t="s">
        <v>29</v>
      </c>
      <c r="B142" s="1" t="s">
        <v>15</v>
      </c>
      <c r="C142" s="1" t="s">
        <v>6</v>
      </c>
      <c r="D142" s="1" t="s">
        <v>6</v>
      </c>
      <c r="E142" s="4">
        <v>4</v>
      </c>
      <c r="F142" s="4"/>
      <c r="G142" s="4">
        <f t="shared" si="6"/>
        <v>4</v>
      </c>
      <c r="H142" s="5">
        <f t="shared" si="5"/>
        <v>4</v>
      </c>
      <c r="I142" s="89"/>
      <c r="J142" s="90"/>
    </row>
    <row r="143" spans="1:10" x14ac:dyDescent="0.35">
      <c r="A143" s="1" t="s">
        <v>29</v>
      </c>
      <c r="B143" s="1" t="s">
        <v>16</v>
      </c>
      <c r="C143" s="1" t="s">
        <v>8</v>
      </c>
      <c r="D143" s="1" t="s">
        <v>8</v>
      </c>
      <c r="E143" s="4">
        <v>3</v>
      </c>
      <c r="F143" s="4"/>
      <c r="G143" s="4">
        <f t="shared" si="6"/>
        <v>3</v>
      </c>
      <c r="H143" s="5">
        <f t="shared" si="5"/>
        <v>6</v>
      </c>
      <c r="I143" s="89"/>
      <c r="J143" s="90"/>
    </row>
    <row r="144" spans="1:10" x14ac:dyDescent="0.35">
      <c r="A144" s="1" t="s">
        <v>29</v>
      </c>
      <c r="B144" s="1" t="s">
        <v>17</v>
      </c>
      <c r="C144" s="1" t="s">
        <v>10</v>
      </c>
      <c r="D144" s="1" t="s">
        <v>10</v>
      </c>
      <c r="E144" s="4">
        <v>2</v>
      </c>
      <c r="F144" s="4"/>
      <c r="G144" s="4">
        <f t="shared" si="6"/>
        <v>2</v>
      </c>
      <c r="H144" s="5">
        <f t="shared" si="5"/>
        <v>6</v>
      </c>
      <c r="I144" s="89"/>
      <c r="J144" s="90"/>
    </row>
    <row r="145" spans="1:10" x14ac:dyDescent="0.35">
      <c r="A145" s="1" t="s">
        <v>29</v>
      </c>
      <c r="B145" s="1" t="s">
        <v>18</v>
      </c>
      <c r="C145" s="1" t="s">
        <v>14</v>
      </c>
      <c r="D145" s="1" t="s">
        <v>14</v>
      </c>
      <c r="E145" s="4">
        <v>1</v>
      </c>
      <c r="F145" s="4"/>
      <c r="G145" s="4">
        <f t="shared" si="6"/>
        <v>1</v>
      </c>
      <c r="H145" s="5">
        <f t="shared" si="5"/>
        <v>8</v>
      </c>
      <c r="I145" s="89"/>
      <c r="J145" s="90"/>
    </row>
    <row r="147" spans="1:10" x14ac:dyDescent="0.35">
      <c r="J147" s="7">
        <f>SUM(J2:J145)</f>
        <v>1</v>
      </c>
    </row>
  </sheetData>
  <autoFilter ref="A1:L145" xr:uid="{00000000-0001-0000-0000-000000000000}"/>
  <mergeCells count="24">
    <mergeCell ref="I2:I13"/>
    <mergeCell ref="J2:J13"/>
    <mergeCell ref="I14:I25"/>
    <mergeCell ref="J14:J25"/>
    <mergeCell ref="I26:I37"/>
    <mergeCell ref="J26:J37"/>
    <mergeCell ref="I38:I49"/>
    <mergeCell ref="J38:J49"/>
    <mergeCell ref="I50:I61"/>
    <mergeCell ref="J50:J61"/>
    <mergeCell ref="I62:I73"/>
    <mergeCell ref="J62:J73"/>
    <mergeCell ref="I74:I85"/>
    <mergeCell ref="J74:J85"/>
    <mergeCell ref="I86:I97"/>
    <mergeCell ref="J86:J97"/>
    <mergeCell ref="I98:I109"/>
    <mergeCell ref="J98:J109"/>
    <mergeCell ref="I110:I121"/>
    <mergeCell ref="J110:J121"/>
    <mergeCell ref="I122:I133"/>
    <mergeCell ref="J122:J133"/>
    <mergeCell ref="I134:I145"/>
    <mergeCell ref="J134:J145"/>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9042C-A213-476C-A6D9-981999D88832}">
  <dimension ref="A1:J5"/>
  <sheetViews>
    <sheetView zoomScale="85" zoomScaleNormal="85" workbookViewId="0">
      <selection activeCell="H2" sqref="H2"/>
    </sheetView>
  </sheetViews>
  <sheetFormatPr baseColWidth="10" defaultColWidth="31.1796875" defaultRowHeight="14.5" x14ac:dyDescent="0.35"/>
  <cols>
    <col min="1" max="1" width="60.1796875" bestFit="1" customWidth="1"/>
    <col min="2" max="2" width="13.81640625" bestFit="1" customWidth="1"/>
    <col min="3" max="3" width="9" bestFit="1" customWidth="1"/>
    <col min="4" max="4" width="6" customWidth="1"/>
    <col min="5" max="5" width="10.453125" bestFit="1" customWidth="1"/>
    <col min="6" max="6" width="6.26953125" customWidth="1"/>
    <col min="7" max="7" width="17" bestFit="1" customWidth="1"/>
    <col min="8" max="8" width="8.26953125" customWidth="1"/>
    <col min="9" max="9" width="3.81640625" bestFit="1" customWidth="1"/>
    <col min="10" max="10" width="7.81640625" bestFit="1" customWidth="1"/>
  </cols>
  <sheetData>
    <row r="1" spans="1:10" x14ac:dyDescent="0.35">
      <c r="A1" s="2" t="s">
        <v>0</v>
      </c>
      <c r="B1" s="3" t="s">
        <v>1</v>
      </c>
      <c r="C1" s="3" t="s">
        <v>2</v>
      </c>
      <c r="D1" s="3"/>
      <c r="E1" s="3" t="s">
        <v>3</v>
      </c>
      <c r="F1" s="4"/>
      <c r="G1" s="4" t="s">
        <v>4</v>
      </c>
      <c r="H1" s="6">
        <f>SUM(C2:C5)</f>
        <v>0</v>
      </c>
      <c r="I1" s="6">
        <f>SUM(I2:I5)</f>
        <v>39</v>
      </c>
    </row>
    <row r="2" spans="1:10" x14ac:dyDescent="0.35">
      <c r="A2" t="s">
        <v>30</v>
      </c>
      <c r="B2" t="s">
        <v>6</v>
      </c>
      <c r="C2" t="s">
        <v>14</v>
      </c>
      <c r="E2" s="4">
        <v>2</v>
      </c>
      <c r="F2" s="4"/>
      <c r="G2" s="4">
        <f>IF(C2&gt;=1,E2,0)</f>
        <v>2</v>
      </c>
      <c r="H2" s="5">
        <f>G2*C2</f>
        <v>16</v>
      </c>
      <c r="I2" s="91">
        <f>SUM(H2:H3)</f>
        <v>21</v>
      </c>
      <c r="J2" s="93">
        <f>I2/$I$1</f>
        <v>0.53846153846153844</v>
      </c>
    </row>
    <row r="3" spans="1:10" x14ac:dyDescent="0.35">
      <c r="A3" t="s">
        <v>30</v>
      </c>
      <c r="B3" t="s">
        <v>8</v>
      </c>
      <c r="C3" t="s">
        <v>7</v>
      </c>
      <c r="E3" s="4">
        <v>1</v>
      </c>
      <c r="F3" s="4"/>
      <c r="G3" s="4">
        <f>IF(C3&gt;=1,E3,0)</f>
        <v>1</v>
      </c>
      <c r="H3" s="5">
        <f>G3*C3</f>
        <v>5</v>
      </c>
      <c r="I3" s="92"/>
      <c r="J3" s="94"/>
    </row>
    <row r="4" spans="1:10" x14ac:dyDescent="0.35">
      <c r="A4" t="s">
        <v>31</v>
      </c>
      <c r="B4" t="s">
        <v>6</v>
      </c>
      <c r="C4" t="s">
        <v>7</v>
      </c>
      <c r="E4" s="4">
        <v>2</v>
      </c>
      <c r="F4" s="4"/>
      <c r="G4" s="4">
        <f>IF(C4&gt;=1,E4,0)</f>
        <v>2</v>
      </c>
      <c r="H4" s="5">
        <f>G4*C4</f>
        <v>10</v>
      </c>
      <c r="I4" s="91">
        <f>SUM(H4:H5)</f>
        <v>18</v>
      </c>
      <c r="J4" s="93">
        <f>I4/$I$1</f>
        <v>0.46153846153846156</v>
      </c>
    </row>
    <row r="5" spans="1:10" x14ac:dyDescent="0.35">
      <c r="A5" t="s">
        <v>31</v>
      </c>
      <c r="B5" t="s">
        <v>8</v>
      </c>
      <c r="C5" t="s">
        <v>14</v>
      </c>
      <c r="E5" s="4">
        <v>1</v>
      </c>
      <c r="F5" s="4"/>
      <c r="G5" s="4">
        <f>IF(C5&gt;=1,E5,0)</f>
        <v>1</v>
      </c>
      <c r="H5" s="5">
        <f>G5*C5</f>
        <v>8</v>
      </c>
      <c r="I5" s="92"/>
      <c r="J5" s="94"/>
    </row>
  </sheetData>
  <mergeCells count="4">
    <mergeCell ref="I2:I3"/>
    <mergeCell ref="I4:I5"/>
    <mergeCell ref="J2:J3"/>
    <mergeCell ref="J4:J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507A-57C9-4E11-BCE6-E7CAAF28F391}">
  <sheetPr filterMode="1"/>
  <dimension ref="A1:J26"/>
  <sheetViews>
    <sheetView workbookViewId="0">
      <selection activeCell="B29" sqref="B29"/>
    </sheetView>
  </sheetViews>
  <sheetFormatPr baseColWidth="10" defaultColWidth="11.453125" defaultRowHeight="14.5" x14ac:dyDescent="0.35"/>
  <cols>
    <col min="1" max="1" width="43.453125" bestFit="1" customWidth="1"/>
    <col min="2" max="2" width="8.54296875" bestFit="1" customWidth="1"/>
    <col min="3" max="3" width="9" bestFit="1" customWidth="1"/>
    <col min="5" max="5" width="10.453125" bestFit="1" customWidth="1"/>
    <col min="7" max="7" width="17" bestFit="1" customWidth="1"/>
    <col min="8" max="8" width="2.81640625" bestFit="1" customWidth="1"/>
    <col min="9" max="9" width="3.81640625" bestFit="1" customWidth="1"/>
    <col min="10" max="10" width="6.81640625" bestFit="1" customWidth="1"/>
  </cols>
  <sheetData>
    <row r="1" spans="1:10" ht="43.5" x14ac:dyDescent="0.35">
      <c r="A1" s="2" t="s">
        <v>0</v>
      </c>
      <c r="B1" s="3" t="s">
        <v>1</v>
      </c>
      <c r="C1" s="3" t="s">
        <v>2</v>
      </c>
      <c r="D1" s="3"/>
      <c r="E1" s="3" t="s">
        <v>3</v>
      </c>
      <c r="F1" s="4"/>
      <c r="G1" s="4" t="s">
        <v>4</v>
      </c>
      <c r="H1" s="6">
        <f>SUM(C2:C6)</f>
        <v>0</v>
      </c>
      <c r="I1" s="6">
        <f>SUM(I2:I26)</f>
        <v>172</v>
      </c>
      <c r="J1" s="5"/>
    </row>
    <row r="2" spans="1:10" x14ac:dyDescent="0.35">
      <c r="A2" s="5" t="s">
        <v>32</v>
      </c>
      <c r="B2" s="5" t="s">
        <v>6</v>
      </c>
      <c r="C2" s="5" t="s">
        <v>7</v>
      </c>
      <c r="D2" s="5"/>
      <c r="E2" s="4">
        <v>5</v>
      </c>
      <c r="F2" s="4"/>
      <c r="G2" s="4">
        <f t="shared" ref="G2:G26" si="0">IF(C2&gt;=1,E2,0)</f>
        <v>5</v>
      </c>
      <c r="H2" s="5">
        <f t="shared" ref="H2:H26" si="1">G2*C2</f>
        <v>25</v>
      </c>
      <c r="I2" s="89">
        <f>SUM(H2:H6)</f>
        <v>57</v>
      </c>
      <c r="J2" s="90">
        <f>I2/$I$1</f>
        <v>0.33139534883720928</v>
      </c>
    </row>
    <row r="3" spans="1:10" hidden="1" x14ac:dyDescent="0.35">
      <c r="A3" s="5" t="s">
        <v>32</v>
      </c>
      <c r="B3" s="5" t="s">
        <v>8</v>
      </c>
      <c r="C3" s="5" t="s">
        <v>9</v>
      </c>
      <c r="D3" s="5"/>
      <c r="E3" s="4">
        <v>4</v>
      </c>
      <c r="F3" s="4"/>
      <c r="G3" s="4">
        <f t="shared" si="0"/>
        <v>4</v>
      </c>
      <c r="H3" s="5">
        <f t="shared" si="1"/>
        <v>16</v>
      </c>
      <c r="I3" s="89"/>
      <c r="J3" s="90"/>
    </row>
    <row r="4" spans="1:10" hidden="1" x14ac:dyDescent="0.35">
      <c r="A4" s="5" t="s">
        <v>32</v>
      </c>
      <c r="B4" s="5" t="s">
        <v>10</v>
      </c>
      <c r="C4" s="5" t="s">
        <v>10</v>
      </c>
      <c r="D4" s="5"/>
      <c r="E4" s="4">
        <v>3</v>
      </c>
      <c r="F4" s="4"/>
      <c r="G4" s="4">
        <f t="shared" si="0"/>
        <v>3</v>
      </c>
      <c r="H4" s="5">
        <f t="shared" si="1"/>
        <v>9</v>
      </c>
      <c r="I4" s="89"/>
      <c r="J4" s="90"/>
    </row>
    <row r="5" spans="1:10" hidden="1" x14ac:dyDescent="0.35">
      <c r="A5" s="5" t="s">
        <v>32</v>
      </c>
      <c r="B5" s="5" t="s">
        <v>9</v>
      </c>
      <c r="C5" s="5" t="s">
        <v>8</v>
      </c>
      <c r="D5" s="5"/>
      <c r="E5" s="4">
        <v>2</v>
      </c>
      <c r="F5" s="4"/>
      <c r="G5" s="4">
        <f t="shared" si="0"/>
        <v>2</v>
      </c>
      <c r="H5" s="5">
        <f t="shared" si="1"/>
        <v>4</v>
      </c>
      <c r="I5" s="89"/>
      <c r="J5" s="90"/>
    </row>
    <row r="6" spans="1:10" hidden="1" x14ac:dyDescent="0.35">
      <c r="A6" s="5" t="s">
        <v>32</v>
      </c>
      <c r="B6" s="5" t="s">
        <v>7</v>
      </c>
      <c r="C6" s="5" t="s">
        <v>10</v>
      </c>
      <c r="D6" s="5"/>
      <c r="E6" s="4">
        <v>1</v>
      </c>
      <c r="F6" s="5"/>
      <c r="G6" s="4">
        <f t="shared" si="0"/>
        <v>1</v>
      </c>
      <c r="H6" s="5">
        <f t="shared" si="1"/>
        <v>3</v>
      </c>
      <c r="I6" s="89"/>
      <c r="J6" s="90"/>
    </row>
    <row r="7" spans="1:10" x14ac:dyDescent="0.35">
      <c r="A7" s="5" t="s">
        <v>33</v>
      </c>
      <c r="B7" s="5" t="s">
        <v>6</v>
      </c>
      <c r="C7" s="5" t="s">
        <v>10</v>
      </c>
      <c r="D7" s="5"/>
      <c r="E7" s="4">
        <v>3</v>
      </c>
      <c r="F7" s="5"/>
      <c r="G7" s="4">
        <f t="shared" si="0"/>
        <v>3</v>
      </c>
      <c r="H7" s="5">
        <f t="shared" si="1"/>
        <v>9</v>
      </c>
      <c r="I7" s="89">
        <f>SUM(H7:H10)</f>
        <v>31</v>
      </c>
      <c r="J7" s="90">
        <f>I7/$I$1</f>
        <v>0.18023255813953487</v>
      </c>
    </row>
    <row r="8" spans="1:10" hidden="1" x14ac:dyDescent="0.35">
      <c r="A8" s="5" t="s">
        <v>33</v>
      </c>
      <c r="B8" s="5" t="s">
        <v>8</v>
      </c>
      <c r="C8" s="5" t="s">
        <v>10</v>
      </c>
      <c r="D8" s="5"/>
      <c r="E8" s="4">
        <v>2</v>
      </c>
      <c r="F8" s="5"/>
      <c r="G8" s="4">
        <f t="shared" si="0"/>
        <v>2</v>
      </c>
      <c r="H8" s="5">
        <f t="shared" si="1"/>
        <v>6</v>
      </c>
      <c r="I8" s="89"/>
      <c r="J8" s="90"/>
    </row>
    <row r="9" spans="1:10" hidden="1" x14ac:dyDescent="0.35">
      <c r="A9" s="5" t="s">
        <v>33</v>
      </c>
      <c r="B9" s="5" t="s">
        <v>10</v>
      </c>
      <c r="C9" s="5" t="s">
        <v>14</v>
      </c>
      <c r="D9" s="5"/>
      <c r="E9" s="4">
        <v>1</v>
      </c>
      <c r="F9" s="5"/>
      <c r="G9" s="4">
        <f t="shared" si="0"/>
        <v>1</v>
      </c>
      <c r="H9" s="5">
        <f t="shared" si="1"/>
        <v>8</v>
      </c>
      <c r="I9" s="89"/>
      <c r="J9" s="90"/>
    </row>
    <row r="10" spans="1:10" hidden="1" x14ac:dyDescent="0.35">
      <c r="A10" s="5" t="s">
        <v>33</v>
      </c>
      <c r="B10" s="5" t="s">
        <v>9</v>
      </c>
      <c r="C10" s="5" t="s">
        <v>8</v>
      </c>
      <c r="D10" s="5"/>
      <c r="E10" s="4">
        <v>4</v>
      </c>
      <c r="F10" s="5"/>
      <c r="G10" s="4">
        <f t="shared" si="0"/>
        <v>4</v>
      </c>
      <c r="H10" s="5">
        <f t="shared" si="1"/>
        <v>8</v>
      </c>
      <c r="I10" s="89"/>
      <c r="J10" s="90"/>
    </row>
    <row r="11" spans="1:10" hidden="1" x14ac:dyDescent="0.35">
      <c r="A11" s="5" t="s">
        <v>33</v>
      </c>
      <c r="B11" s="5" t="s">
        <v>7</v>
      </c>
      <c r="C11" s="5" t="s">
        <v>6</v>
      </c>
      <c r="D11" s="5"/>
      <c r="E11" s="4">
        <v>3</v>
      </c>
      <c r="F11" s="5"/>
      <c r="G11" s="4">
        <f t="shared" si="0"/>
        <v>3</v>
      </c>
      <c r="H11" s="5">
        <f t="shared" si="1"/>
        <v>3</v>
      </c>
      <c r="I11" s="89"/>
      <c r="J11" s="90"/>
    </row>
    <row r="12" spans="1:10" x14ac:dyDescent="0.35">
      <c r="A12" s="5" t="s">
        <v>34</v>
      </c>
      <c r="B12" s="5" t="s">
        <v>6</v>
      </c>
      <c r="C12" s="5" t="s">
        <v>13</v>
      </c>
      <c r="D12" s="5"/>
      <c r="E12" s="4">
        <v>2</v>
      </c>
      <c r="F12" s="5"/>
      <c r="G12" s="4">
        <f t="shared" si="0"/>
        <v>2</v>
      </c>
      <c r="H12" s="5">
        <f t="shared" si="1"/>
        <v>0</v>
      </c>
      <c r="I12" s="89">
        <f>SUM(H12:H15)</f>
        <v>33</v>
      </c>
      <c r="J12" s="90">
        <f>I12/$I$1</f>
        <v>0.19186046511627908</v>
      </c>
    </row>
    <row r="13" spans="1:10" hidden="1" x14ac:dyDescent="0.35">
      <c r="A13" s="5" t="s">
        <v>34</v>
      </c>
      <c r="B13" s="5" t="s">
        <v>8</v>
      </c>
      <c r="C13" s="5" t="s">
        <v>9</v>
      </c>
      <c r="D13" s="5"/>
      <c r="E13" s="4">
        <v>1</v>
      </c>
      <c r="F13" s="5"/>
      <c r="G13" s="4">
        <f t="shared" si="0"/>
        <v>1</v>
      </c>
      <c r="H13" s="5">
        <f t="shared" si="1"/>
        <v>4</v>
      </c>
      <c r="I13" s="89"/>
      <c r="J13" s="90"/>
    </row>
    <row r="14" spans="1:10" hidden="1" x14ac:dyDescent="0.35">
      <c r="A14" s="5" t="s">
        <v>34</v>
      </c>
      <c r="B14" s="5" t="s">
        <v>10</v>
      </c>
      <c r="C14" s="5" t="s">
        <v>7</v>
      </c>
      <c r="D14" s="5"/>
      <c r="E14" s="4">
        <v>4</v>
      </c>
      <c r="F14" s="5"/>
      <c r="G14" s="4">
        <f t="shared" si="0"/>
        <v>4</v>
      </c>
      <c r="H14" s="5">
        <f t="shared" si="1"/>
        <v>20</v>
      </c>
      <c r="I14" s="89"/>
      <c r="J14" s="90"/>
    </row>
    <row r="15" spans="1:10" hidden="1" x14ac:dyDescent="0.35">
      <c r="A15" s="5" t="s">
        <v>34</v>
      </c>
      <c r="B15" s="5" t="s">
        <v>9</v>
      </c>
      <c r="C15" s="5" t="s">
        <v>10</v>
      </c>
      <c r="D15" s="5"/>
      <c r="E15" s="4">
        <v>3</v>
      </c>
      <c r="F15" s="5"/>
      <c r="G15" s="4">
        <f t="shared" si="0"/>
        <v>3</v>
      </c>
      <c r="H15" s="5">
        <f t="shared" si="1"/>
        <v>9</v>
      </c>
      <c r="I15" s="89"/>
      <c r="J15" s="90"/>
    </row>
    <row r="16" spans="1:10" hidden="1" x14ac:dyDescent="0.35">
      <c r="A16" s="5" t="s">
        <v>34</v>
      </c>
      <c r="B16" s="5" t="s">
        <v>7</v>
      </c>
      <c r="C16" s="5" t="s">
        <v>7</v>
      </c>
      <c r="D16" s="5"/>
      <c r="E16" s="4">
        <v>2</v>
      </c>
      <c r="F16" s="5"/>
      <c r="G16" s="4">
        <f t="shared" si="0"/>
        <v>2</v>
      </c>
      <c r="H16" s="5">
        <f t="shared" si="1"/>
        <v>10</v>
      </c>
      <c r="I16" s="89"/>
      <c r="J16" s="90"/>
    </row>
    <row r="17" spans="1:10" x14ac:dyDescent="0.35">
      <c r="A17" s="5" t="s">
        <v>35</v>
      </c>
      <c r="B17" s="5" t="s">
        <v>6</v>
      </c>
      <c r="C17" s="5" t="s">
        <v>12</v>
      </c>
      <c r="D17" s="5"/>
      <c r="E17" s="4">
        <v>1</v>
      </c>
      <c r="F17" s="5"/>
      <c r="G17" s="4">
        <f t="shared" si="0"/>
        <v>1</v>
      </c>
      <c r="H17" s="5">
        <f t="shared" si="1"/>
        <v>7</v>
      </c>
      <c r="I17" s="89">
        <f>SUM(H17:H20)</f>
        <v>23</v>
      </c>
      <c r="J17" s="90">
        <f>I17/$I$1</f>
        <v>0.13372093023255813</v>
      </c>
    </row>
    <row r="18" spans="1:10" hidden="1" x14ac:dyDescent="0.35">
      <c r="A18" s="5" t="s">
        <v>35</v>
      </c>
      <c r="B18" s="5" t="s">
        <v>8</v>
      </c>
      <c r="C18" s="5" t="s">
        <v>8</v>
      </c>
      <c r="D18" s="5"/>
      <c r="E18" s="4">
        <v>4</v>
      </c>
      <c r="F18" s="5"/>
      <c r="G18" s="4">
        <f t="shared" si="0"/>
        <v>4</v>
      </c>
      <c r="H18" s="5">
        <f t="shared" si="1"/>
        <v>8</v>
      </c>
      <c r="I18" s="89"/>
      <c r="J18" s="90"/>
    </row>
    <row r="19" spans="1:10" hidden="1" x14ac:dyDescent="0.35">
      <c r="A19" s="5" t="s">
        <v>35</v>
      </c>
      <c r="B19" s="5" t="s">
        <v>10</v>
      </c>
      <c r="C19" s="5" t="s">
        <v>13</v>
      </c>
      <c r="D19" s="5"/>
      <c r="E19" s="4">
        <v>3</v>
      </c>
      <c r="F19" s="5"/>
      <c r="G19" s="4">
        <f t="shared" si="0"/>
        <v>3</v>
      </c>
      <c r="H19" s="5">
        <f t="shared" si="1"/>
        <v>0</v>
      </c>
      <c r="I19" s="89"/>
      <c r="J19" s="90"/>
    </row>
    <row r="20" spans="1:10" hidden="1" x14ac:dyDescent="0.35">
      <c r="A20" s="5" t="s">
        <v>35</v>
      </c>
      <c r="B20" s="5" t="s">
        <v>9</v>
      </c>
      <c r="C20" s="5" t="s">
        <v>9</v>
      </c>
      <c r="D20" s="5"/>
      <c r="E20" s="4">
        <v>2</v>
      </c>
      <c r="F20" s="5"/>
      <c r="G20" s="4">
        <f t="shared" si="0"/>
        <v>2</v>
      </c>
      <c r="H20" s="5">
        <f t="shared" si="1"/>
        <v>8</v>
      </c>
      <c r="I20" s="89"/>
      <c r="J20" s="90"/>
    </row>
    <row r="21" spans="1:10" hidden="1" x14ac:dyDescent="0.35">
      <c r="A21" s="5" t="s">
        <v>35</v>
      </c>
      <c r="B21" s="5" t="s">
        <v>7</v>
      </c>
      <c r="C21" s="5" t="s">
        <v>9</v>
      </c>
      <c r="D21" s="5"/>
      <c r="E21" s="4">
        <v>1</v>
      </c>
      <c r="F21" s="5"/>
      <c r="G21" s="4">
        <f t="shared" si="0"/>
        <v>1</v>
      </c>
      <c r="H21" s="5">
        <f t="shared" si="1"/>
        <v>4</v>
      </c>
      <c r="I21" s="89"/>
      <c r="J21" s="90"/>
    </row>
    <row r="22" spans="1:10" x14ac:dyDescent="0.35">
      <c r="A22" s="5" t="s">
        <v>36</v>
      </c>
      <c r="B22" s="5" t="s">
        <v>6</v>
      </c>
      <c r="C22" s="5" t="s">
        <v>8</v>
      </c>
      <c r="D22" s="5"/>
      <c r="E22" s="4">
        <v>4</v>
      </c>
      <c r="F22" s="5"/>
      <c r="G22" s="4">
        <f t="shared" si="0"/>
        <v>4</v>
      </c>
      <c r="H22" s="5">
        <f t="shared" si="1"/>
        <v>8</v>
      </c>
      <c r="I22" s="89">
        <f>SUM(H22:H25)</f>
        <v>28</v>
      </c>
      <c r="J22" s="90">
        <f>I22/$I$1</f>
        <v>0.16279069767441862</v>
      </c>
    </row>
    <row r="23" spans="1:10" hidden="1" x14ac:dyDescent="0.35">
      <c r="A23" s="5" t="s">
        <v>36</v>
      </c>
      <c r="B23" s="5" t="s">
        <v>8</v>
      </c>
      <c r="C23" s="5" t="s">
        <v>9</v>
      </c>
      <c r="D23" s="5"/>
      <c r="E23" s="4">
        <v>3</v>
      </c>
      <c r="F23" s="5"/>
      <c r="G23" s="4">
        <f t="shared" si="0"/>
        <v>3</v>
      </c>
      <c r="H23" s="5">
        <f t="shared" si="1"/>
        <v>12</v>
      </c>
      <c r="I23" s="89"/>
      <c r="J23" s="90"/>
    </row>
    <row r="24" spans="1:10" hidden="1" x14ac:dyDescent="0.35">
      <c r="A24" s="5" t="s">
        <v>36</v>
      </c>
      <c r="B24" s="5" t="s">
        <v>10</v>
      </c>
      <c r="C24" s="5" t="s">
        <v>6</v>
      </c>
      <c r="D24" s="5"/>
      <c r="E24" s="4">
        <v>2</v>
      </c>
      <c r="F24" s="5"/>
      <c r="G24" s="4">
        <f t="shared" si="0"/>
        <v>2</v>
      </c>
      <c r="H24" s="5">
        <f t="shared" si="1"/>
        <v>2</v>
      </c>
      <c r="I24" s="89"/>
      <c r="J24" s="90"/>
    </row>
    <row r="25" spans="1:10" hidden="1" x14ac:dyDescent="0.35">
      <c r="A25" s="5" t="s">
        <v>36</v>
      </c>
      <c r="B25" s="5" t="s">
        <v>9</v>
      </c>
      <c r="C25" s="5" t="s">
        <v>11</v>
      </c>
      <c r="D25" s="5"/>
      <c r="E25" s="4">
        <v>1</v>
      </c>
      <c r="F25" s="5"/>
      <c r="G25" s="4">
        <f t="shared" si="0"/>
        <v>1</v>
      </c>
      <c r="H25" s="5">
        <f t="shared" si="1"/>
        <v>6</v>
      </c>
      <c r="I25" s="89"/>
      <c r="J25" s="90"/>
    </row>
    <row r="26" spans="1:10" hidden="1" x14ac:dyDescent="0.35">
      <c r="A26" s="5" t="s">
        <v>36</v>
      </c>
      <c r="B26" s="5" t="s">
        <v>7</v>
      </c>
      <c r="C26" s="5" t="s">
        <v>9</v>
      </c>
      <c r="D26" s="5"/>
      <c r="E26" s="4">
        <v>4</v>
      </c>
      <c r="F26" s="5"/>
      <c r="G26" s="4">
        <f t="shared" si="0"/>
        <v>4</v>
      </c>
      <c r="H26" s="5">
        <f t="shared" si="1"/>
        <v>16</v>
      </c>
      <c r="I26" s="89"/>
      <c r="J26" s="90"/>
    </row>
  </sheetData>
  <autoFilter ref="A1:J26" xr:uid="{4299507A-57C9-4E11-BCE6-E7CAAF28F391}">
    <filterColumn colId="1">
      <filters>
        <filter val="1"/>
      </filters>
    </filterColumn>
  </autoFilter>
  <mergeCells count="10">
    <mergeCell ref="I2:I6"/>
    <mergeCell ref="J2:J6"/>
    <mergeCell ref="I7:I11"/>
    <mergeCell ref="J7:J11"/>
    <mergeCell ref="I22:I26"/>
    <mergeCell ref="J22:J26"/>
    <mergeCell ref="I12:I16"/>
    <mergeCell ref="J12:J16"/>
    <mergeCell ref="I17:I21"/>
    <mergeCell ref="J17:J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3CF63-4B50-456C-80E8-59AD7A0F44D3}">
  <sheetPr filterMode="1"/>
  <dimension ref="A1:J65"/>
  <sheetViews>
    <sheetView workbookViewId="0">
      <selection activeCell="F2" sqref="F2"/>
    </sheetView>
  </sheetViews>
  <sheetFormatPr baseColWidth="10" defaultColWidth="11.453125" defaultRowHeight="14.5" x14ac:dyDescent="0.35"/>
  <cols>
    <col min="1" max="1" width="58.453125" bestFit="1" customWidth="1"/>
  </cols>
  <sheetData>
    <row r="1" spans="1:10" ht="29" x14ac:dyDescent="0.35">
      <c r="A1" s="2" t="s">
        <v>0</v>
      </c>
      <c r="B1" s="3" t="s">
        <v>1</v>
      </c>
      <c r="C1" s="3" t="s">
        <v>2</v>
      </c>
      <c r="D1" s="3"/>
      <c r="E1" s="3" t="s">
        <v>3</v>
      </c>
      <c r="F1" s="4"/>
      <c r="G1" s="4" t="s">
        <v>4</v>
      </c>
      <c r="H1" s="6">
        <f>SUM(C2:C9)</f>
        <v>0</v>
      </c>
      <c r="I1" s="6">
        <f>SUM(I2:I65)</f>
        <v>648</v>
      </c>
      <c r="J1" s="5"/>
    </row>
    <row r="2" spans="1:10" x14ac:dyDescent="0.35">
      <c r="A2" s="5" t="s">
        <v>37</v>
      </c>
      <c r="B2" s="5" t="s">
        <v>6</v>
      </c>
      <c r="C2" s="5" t="s">
        <v>11</v>
      </c>
      <c r="D2" s="5"/>
      <c r="E2" s="4">
        <v>8</v>
      </c>
      <c r="F2" s="4"/>
      <c r="G2" s="4">
        <f t="shared" ref="G2:G33" si="0">IF(C2&gt;=1,E2,0)</f>
        <v>8</v>
      </c>
      <c r="H2" s="5">
        <f t="shared" ref="H2:H33" si="1">G2*C2</f>
        <v>48</v>
      </c>
      <c r="I2" s="89">
        <f>SUM(H2:H9)</f>
        <v>111</v>
      </c>
      <c r="J2" s="90">
        <f>I2/$I$1</f>
        <v>0.17129629629629631</v>
      </c>
    </row>
    <row r="3" spans="1:10" hidden="1" x14ac:dyDescent="0.35">
      <c r="A3" s="5" t="s">
        <v>37</v>
      </c>
      <c r="B3" s="5" t="s">
        <v>8</v>
      </c>
      <c r="C3" s="5" t="s">
        <v>9</v>
      </c>
      <c r="D3" s="5"/>
      <c r="E3" s="4">
        <v>7</v>
      </c>
      <c r="F3" s="4"/>
      <c r="G3" s="4">
        <f t="shared" si="0"/>
        <v>7</v>
      </c>
      <c r="H3" s="5">
        <f t="shared" si="1"/>
        <v>28</v>
      </c>
      <c r="I3" s="89"/>
      <c r="J3" s="90"/>
    </row>
    <row r="4" spans="1:10" hidden="1" x14ac:dyDescent="0.35">
      <c r="A4" s="5" t="s">
        <v>37</v>
      </c>
      <c r="B4" s="5" t="s">
        <v>10</v>
      </c>
      <c r="C4" s="5" t="s">
        <v>6</v>
      </c>
      <c r="D4" s="5"/>
      <c r="E4" s="4">
        <v>6</v>
      </c>
      <c r="F4" s="4"/>
      <c r="G4" s="4">
        <f t="shared" si="0"/>
        <v>6</v>
      </c>
      <c r="H4" s="5">
        <f t="shared" si="1"/>
        <v>6</v>
      </c>
      <c r="I4" s="89"/>
      <c r="J4" s="90"/>
    </row>
    <row r="5" spans="1:10" hidden="1" x14ac:dyDescent="0.35">
      <c r="A5" s="5" t="s">
        <v>37</v>
      </c>
      <c r="B5" s="5" t="s">
        <v>9</v>
      </c>
      <c r="C5" s="5" t="s">
        <v>10</v>
      </c>
      <c r="D5" s="5"/>
      <c r="E5" s="4">
        <v>5</v>
      </c>
      <c r="F5" s="4"/>
      <c r="G5" s="4">
        <f t="shared" si="0"/>
        <v>5</v>
      </c>
      <c r="H5" s="5">
        <f t="shared" si="1"/>
        <v>15</v>
      </c>
      <c r="I5" s="89"/>
      <c r="J5" s="90"/>
    </row>
    <row r="6" spans="1:10" hidden="1" x14ac:dyDescent="0.35">
      <c r="A6" s="5" t="s">
        <v>37</v>
      </c>
      <c r="B6" s="5" t="s">
        <v>7</v>
      </c>
      <c r="C6" s="5" t="s">
        <v>10</v>
      </c>
      <c r="D6" s="5"/>
      <c r="E6" s="4">
        <v>4</v>
      </c>
      <c r="F6" s="5"/>
      <c r="G6" s="4">
        <f t="shared" si="0"/>
        <v>4</v>
      </c>
      <c r="H6" s="5">
        <f t="shared" si="1"/>
        <v>12</v>
      </c>
      <c r="I6" s="89"/>
      <c r="J6" s="90"/>
    </row>
    <row r="7" spans="1:10" hidden="1" x14ac:dyDescent="0.35">
      <c r="A7" s="5" t="s">
        <v>37</v>
      </c>
      <c r="B7" s="5" t="s">
        <v>11</v>
      </c>
      <c r="C7" s="5" t="s">
        <v>13</v>
      </c>
      <c r="D7" s="5"/>
      <c r="E7" s="4">
        <v>3</v>
      </c>
      <c r="F7" s="5"/>
      <c r="G7" s="4">
        <f t="shared" si="0"/>
        <v>3</v>
      </c>
      <c r="H7" s="5">
        <f t="shared" si="1"/>
        <v>0</v>
      </c>
      <c r="I7" s="89"/>
      <c r="J7" s="90"/>
    </row>
    <row r="8" spans="1:10" hidden="1" x14ac:dyDescent="0.35">
      <c r="A8" s="5" t="s">
        <v>37</v>
      </c>
      <c r="B8" s="5" t="s">
        <v>12</v>
      </c>
      <c r="C8" s="5" t="s">
        <v>6</v>
      </c>
      <c r="D8" s="5"/>
      <c r="E8" s="4">
        <v>2</v>
      </c>
      <c r="F8" s="5"/>
      <c r="G8" s="4">
        <f t="shared" si="0"/>
        <v>2</v>
      </c>
      <c r="H8" s="5">
        <f t="shared" si="1"/>
        <v>2</v>
      </c>
      <c r="I8" s="89"/>
      <c r="J8" s="90"/>
    </row>
    <row r="9" spans="1:10" hidden="1" x14ac:dyDescent="0.35">
      <c r="A9" s="5" t="s">
        <v>37</v>
      </c>
      <c r="B9" s="5" t="s">
        <v>14</v>
      </c>
      <c r="C9" s="5" t="s">
        <v>13</v>
      </c>
      <c r="D9" s="5"/>
      <c r="E9" s="4">
        <v>1</v>
      </c>
      <c r="F9" s="5"/>
      <c r="G9" s="4">
        <f t="shared" si="0"/>
        <v>1</v>
      </c>
      <c r="H9" s="5">
        <f t="shared" si="1"/>
        <v>0</v>
      </c>
      <c r="I9" s="89"/>
      <c r="J9" s="90"/>
    </row>
    <row r="10" spans="1:10" x14ac:dyDescent="0.35">
      <c r="A10" s="5" t="s">
        <v>38</v>
      </c>
      <c r="B10" s="5" t="s">
        <v>6</v>
      </c>
      <c r="C10" s="5" t="s">
        <v>9</v>
      </c>
      <c r="D10" s="5"/>
      <c r="E10" s="4">
        <v>8</v>
      </c>
      <c r="F10" s="4"/>
      <c r="G10" s="4">
        <f t="shared" si="0"/>
        <v>8</v>
      </c>
      <c r="H10" s="5">
        <f t="shared" si="1"/>
        <v>32</v>
      </c>
      <c r="I10" s="89">
        <f>SUM(H10:H17)</f>
        <v>89</v>
      </c>
      <c r="J10" s="90">
        <f>I10/$I$1</f>
        <v>0.13734567901234568</v>
      </c>
    </row>
    <row r="11" spans="1:10" hidden="1" x14ac:dyDescent="0.35">
      <c r="A11" s="5" t="s">
        <v>38</v>
      </c>
      <c r="B11" s="5" t="s">
        <v>8</v>
      </c>
      <c r="C11" s="5" t="s">
        <v>10</v>
      </c>
      <c r="D11" s="5"/>
      <c r="E11" s="4">
        <v>7</v>
      </c>
      <c r="F11" s="4"/>
      <c r="G11" s="4">
        <f t="shared" si="0"/>
        <v>7</v>
      </c>
      <c r="H11" s="5">
        <f t="shared" si="1"/>
        <v>21</v>
      </c>
      <c r="I11" s="89"/>
      <c r="J11" s="90"/>
    </row>
    <row r="12" spans="1:10" hidden="1" x14ac:dyDescent="0.35">
      <c r="A12" s="5" t="s">
        <v>38</v>
      </c>
      <c r="B12" s="5" t="s">
        <v>10</v>
      </c>
      <c r="C12" s="5" t="s">
        <v>10</v>
      </c>
      <c r="D12" s="5"/>
      <c r="E12" s="4">
        <v>6</v>
      </c>
      <c r="F12" s="4"/>
      <c r="G12" s="4">
        <f t="shared" si="0"/>
        <v>6</v>
      </c>
      <c r="H12" s="5">
        <f t="shared" si="1"/>
        <v>18</v>
      </c>
      <c r="I12" s="89"/>
      <c r="J12" s="90"/>
    </row>
    <row r="13" spans="1:10" hidden="1" x14ac:dyDescent="0.35">
      <c r="A13" s="5" t="s">
        <v>38</v>
      </c>
      <c r="B13" s="5" t="s">
        <v>9</v>
      </c>
      <c r="C13" s="5" t="s">
        <v>13</v>
      </c>
      <c r="D13" s="5"/>
      <c r="E13" s="4">
        <v>5</v>
      </c>
      <c r="F13" s="4"/>
      <c r="G13" s="4">
        <f t="shared" si="0"/>
        <v>5</v>
      </c>
      <c r="H13" s="5">
        <f t="shared" si="1"/>
        <v>0</v>
      </c>
      <c r="I13" s="89"/>
      <c r="J13" s="90"/>
    </row>
    <row r="14" spans="1:10" hidden="1" x14ac:dyDescent="0.35">
      <c r="A14" s="5" t="s">
        <v>38</v>
      </c>
      <c r="B14" s="5" t="s">
        <v>7</v>
      </c>
      <c r="C14" s="5" t="s">
        <v>8</v>
      </c>
      <c r="D14" s="5"/>
      <c r="E14" s="4">
        <v>4</v>
      </c>
      <c r="F14" s="5"/>
      <c r="G14" s="4">
        <f t="shared" si="0"/>
        <v>4</v>
      </c>
      <c r="H14" s="5">
        <f t="shared" si="1"/>
        <v>8</v>
      </c>
      <c r="I14" s="89"/>
      <c r="J14" s="90"/>
    </row>
    <row r="15" spans="1:10" hidden="1" x14ac:dyDescent="0.35">
      <c r="A15" s="5" t="s">
        <v>38</v>
      </c>
      <c r="B15" s="5" t="s">
        <v>11</v>
      </c>
      <c r="C15" s="5" t="s">
        <v>8</v>
      </c>
      <c r="D15" s="5"/>
      <c r="E15" s="4">
        <v>3</v>
      </c>
      <c r="F15" s="5"/>
      <c r="G15" s="4">
        <f t="shared" si="0"/>
        <v>3</v>
      </c>
      <c r="H15" s="5">
        <f t="shared" si="1"/>
        <v>6</v>
      </c>
      <c r="I15" s="89"/>
      <c r="J15" s="90"/>
    </row>
    <row r="16" spans="1:10" hidden="1" x14ac:dyDescent="0.35">
      <c r="A16" s="5" t="s">
        <v>38</v>
      </c>
      <c r="B16" s="5" t="s">
        <v>12</v>
      </c>
      <c r="C16" s="5" t="s">
        <v>13</v>
      </c>
      <c r="D16" s="5"/>
      <c r="E16" s="4">
        <v>2</v>
      </c>
      <c r="F16" s="5"/>
      <c r="G16" s="4">
        <f t="shared" si="0"/>
        <v>2</v>
      </c>
      <c r="H16" s="5">
        <f t="shared" si="1"/>
        <v>0</v>
      </c>
      <c r="I16" s="89"/>
      <c r="J16" s="90"/>
    </row>
    <row r="17" spans="1:10" hidden="1" x14ac:dyDescent="0.35">
      <c r="A17" s="5" t="s">
        <v>38</v>
      </c>
      <c r="B17" s="5" t="s">
        <v>14</v>
      </c>
      <c r="C17" s="5" t="s">
        <v>9</v>
      </c>
      <c r="D17" s="5"/>
      <c r="E17" s="4">
        <v>1</v>
      </c>
      <c r="F17" s="5"/>
      <c r="G17" s="4">
        <f t="shared" si="0"/>
        <v>1</v>
      </c>
      <c r="H17" s="5">
        <f t="shared" si="1"/>
        <v>4</v>
      </c>
      <c r="I17" s="89"/>
      <c r="J17" s="90"/>
    </row>
    <row r="18" spans="1:10" x14ac:dyDescent="0.35">
      <c r="A18" s="5" t="s">
        <v>39</v>
      </c>
      <c r="B18" s="5" t="s">
        <v>6</v>
      </c>
      <c r="C18" s="5" t="s">
        <v>10</v>
      </c>
      <c r="D18" s="5"/>
      <c r="E18" s="4">
        <v>8</v>
      </c>
      <c r="F18" s="4"/>
      <c r="G18" s="4">
        <f t="shared" si="0"/>
        <v>8</v>
      </c>
      <c r="H18" s="5">
        <f t="shared" si="1"/>
        <v>24</v>
      </c>
      <c r="I18" s="89">
        <f>SUM(H18:H25)</f>
        <v>102</v>
      </c>
      <c r="J18" s="90">
        <f>I18/$I$1</f>
        <v>0.15740740740740741</v>
      </c>
    </row>
    <row r="19" spans="1:10" hidden="1" x14ac:dyDescent="0.35">
      <c r="A19" s="5" t="s">
        <v>39</v>
      </c>
      <c r="B19" s="5" t="s">
        <v>8</v>
      </c>
      <c r="C19" s="5" t="s">
        <v>7</v>
      </c>
      <c r="D19" s="5"/>
      <c r="E19" s="4">
        <v>7</v>
      </c>
      <c r="F19" s="4"/>
      <c r="G19" s="4">
        <f t="shared" si="0"/>
        <v>7</v>
      </c>
      <c r="H19" s="5">
        <f t="shared" si="1"/>
        <v>35</v>
      </c>
      <c r="I19" s="89"/>
      <c r="J19" s="90"/>
    </row>
    <row r="20" spans="1:10" hidden="1" x14ac:dyDescent="0.35">
      <c r="A20" s="5" t="s">
        <v>39</v>
      </c>
      <c r="B20" s="5" t="s">
        <v>10</v>
      </c>
      <c r="C20" s="5" t="s">
        <v>6</v>
      </c>
      <c r="D20" s="5"/>
      <c r="E20" s="4">
        <v>6</v>
      </c>
      <c r="F20" s="4"/>
      <c r="G20" s="4">
        <f t="shared" si="0"/>
        <v>6</v>
      </c>
      <c r="H20" s="5">
        <f t="shared" si="1"/>
        <v>6</v>
      </c>
      <c r="I20" s="89"/>
      <c r="J20" s="90"/>
    </row>
    <row r="21" spans="1:10" hidden="1" x14ac:dyDescent="0.35">
      <c r="A21" s="5" t="s">
        <v>39</v>
      </c>
      <c r="B21" s="5" t="s">
        <v>9</v>
      </c>
      <c r="C21" s="5" t="s">
        <v>7</v>
      </c>
      <c r="D21" s="5"/>
      <c r="E21" s="4">
        <v>5</v>
      </c>
      <c r="F21" s="4"/>
      <c r="G21" s="4">
        <f t="shared" si="0"/>
        <v>5</v>
      </c>
      <c r="H21" s="5">
        <f t="shared" si="1"/>
        <v>25</v>
      </c>
      <c r="I21" s="89"/>
      <c r="J21" s="90"/>
    </row>
    <row r="22" spans="1:10" hidden="1" x14ac:dyDescent="0.35">
      <c r="A22" s="5" t="s">
        <v>39</v>
      </c>
      <c r="B22" s="5" t="s">
        <v>7</v>
      </c>
      <c r="C22" s="5" t="s">
        <v>8</v>
      </c>
      <c r="D22" s="5"/>
      <c r="E22" s="4">
        <v>4</v>
      </c>
      <c r="F22" s="5"/>
      <c r="G22" s="4">
        <f t="shared" si="0"/>
        <v>4</v>
      </c>
      <c r="H22" s="5">
        <f t="shared" si="1"/>
        <v>8</v>
      </c>
      <c r="I22" s="89"/>
      <c r="J22" s="90"/>
    </row>
    <row r="23" spans="1:10" hidden="1" x14ac:dyDescent="0.35">
      <c r="A23" s="5" t="s">
        <v>39</v>
      </c>
      <c r="B23" s="5" t="s">
        <v>11</v>
      </c>
      <c r="C23" s="5" t="s">
        <v>6</v>
      </c>
      <c r="D23" s="5"/>
      <c r="E23" s="4">
        <v>3</v>
      </c>
      <c r="F23" s="5"/>
      <c r="G23" s="4">
        <f t="shared" si="0"/>
        <v>3</v>
      </c>
      <c r="H23" s="5">
        <f t="shared" si="1"/>
        <v>3</v>
      </c>
      <c r="I23" s="89"/>
      <c r="J23" s="90"/>
    </row>
    <row r="24" spans="1:10" hidden="1" x14ac:dyDescent="0.35">
      <c r="A24" s="5" t="s">
        <v>39</v>
      </c>
      <c r="B24" s="5" t="s">
        <v>12</v>
      </c>
      <c r="C24" s="5" t="s">
        <v>13</v>
      </c>
      <c r="D24" s="5"/>
      <c r="E24" s="4">
        <v>2</v>
      </c>
      <c r="F24" s="5"/>
      <c r="G24" s="4">
        <f t="shared" si="0"/>
        <v>2</v>
      </c>
      <c r="H24" s="5">
        <f t="shared" si="1"/>
        <v>0</v>
      </c>
      <c r="I24" s="89"/>
      <c r="J24" s="90"/>
    </row>
    <row r="25" spans="1:10" hidden="1" x14ac:dyDescent="0.35">
      <c r="A25" s="5" t="s">
        <v>39</v>
      </c>
      <c r="B25" s="5" t="s">
        <v>14</v>
      </c>
      <c r="C25" s="5" t="s">
        <v>6</v>
      </c>
      <c r="D25" s="5"/>
      <c r="E25" s="4">
        <v>1</v>
      </c>
      <c r="F25" s="5"/>
      <c r="G25" s="4">
        <f t="shared" si="0"/>
        <v>1</v>
      </c>
      <c r="H25" s="5">
        <f t="shared" si="1"/>
        <v>1</v>
      </c>
      <c r="I25" s="89"/>
      <c r="J25" s="90"/>
    </row>
    <row r="26" spans="1:10" x14ac:dyDescent="0.35">
      <c r="A26" s="5" t="s">
        <v>40</v>
      </c>
      <c r="B26" s="5" t="s">
        <v>6</v>
      </c>
      <c r="C26" s="5" t="s">
        <v>10</v>
      </c>
      <c r="D26" s="5"/>
      <c r="E26" s="4">
        <v>8</v>
      </c>
      <c r="F26" s="4"/>
      <c r="G26" s="4">
        <f t="shared" si="0"/>
        <v>8</v>
      </c>
      <c r="H26" s="5">
        <f t="shared" si="1"/>
        <v>24</v>
      </c>
      <c r="I26" s="89">
        <f>SUM(H26:H33)</f>
        <v>99</v>
      </c>
      <c r="J26" s="90">
        <f>I26/$I$1</f>
        <v>0.15277777777777779</v>
      </c>
    </row>
    <row r="27" spans="1:10" hidden="1" x14ac:dyDescent="0.35">
      <c r="A27" s="5" t="s">
        <v>40</v>
      </c>
      <c r="B27" s="5" t="s">
        <v>8</v>
      </c>
      <c r="C27" s="5" t="s">
        <v>8</v>
      </c>
      <c r="D27" s="5"/>
      <c r="E27" s="4">
        <v>7</v>
      </c>
      <c r="F27" s="4"/>
      <c r="G27" s="4">
        <f t="shared" si="0"/>
        <v>7</v>
      </c>
      <c r="H27" s="5">
        <f t="shared" si="1"/>
        <v>14</v>
      </c>
      <c r="I27" s="89"/>
      <c r="J27" s="90"/>
    </row>
    <row r="28" spans="1:10" hidden="1" x14ac:dyDescent="0.35">
      <c r="A28" s="5" t="s">
        <v>40</v>
      </c>
      <c r="B28" s="5" t="s">
        <v>10</v>
      </c>
      <c r="C28" s="5" t="s">
        <v>11</v>
      </c>
      <c r="D28" s="5"/>
      <c r="E28" s="4">
        <v>6</v>
      </c>
      <c r="F28" s="4"/>
      <c r="G28" s="4">
        <f t="shared" si="0"/>
        <v>6</v>
      </c>
      <c r="H28" s="5">
        <f t="shared" si="1"/>
        <v>36</v>
      </c>
      <c r="I28" s="89"/>
      <c r="J28" s="90"/>
    </row>
    <row r="29" spans="1:10" hidden="1" x14ac:dyDescent="0.35">
      <c r="A29" s="5" t="s">
        <v>40</v>
      </c>
      <c r="B29" s="5" t="s">
        <v>9</v>
      </c>
      <c r="C29" s="5" t="s">
        <v>8</v>
      </c>
      <c r="D29" s="5"/>
      <c r="E29" s="4">
        <v>5</v>
      </c>
      <c r="F29" s="4"/>
      <c r="G29" s="4">
        <f t="shared" si="0"/>
        <v>5</v>
      </c>
      <c r="H29" s="5">
        <f t="shared" si="1"/>
        <v>10</v>
      </c>
      <c r="I29" s="89"/>
      <c r="J29" s="90"/>
    </row>
    <row r="30" spans="1:10" hidden="1" x14ac:dyDescent="0.35">
      <c r="A30" s="5" t="s">
        <v>40</v>
      </c>
      <c r="B30" s="5" t="s">
        <v>7</v>
      </c>
      <c r="C30" s="5" t="s">
        <v>6</v>
      </c>
      <c r="D30" s="5"/>
      <c r="E30" s="4">
        <v>4</v>
      </c>
      <c r="F30" s="5"/>
      <c r="G30" s="4">
        <f t="shared" si="0"/>
        <v>4</v>
      </c>
      <c r="H30" s="5">
        <f t="shared" si="1"/>
        <v>4</v>
      </c>
      <c r="I30" s="89"/>
      <c r="J30" s="90"/>
    </row>
    <row r="31" spans="1:10" hidden="1" x14ac:dyDescent="0.35">
      <c r="A31" s="5" t="s">
        <v>40</v>
      </c>
      <c r="B31" s="5" t="s">
        <v>11</v>
      </c>
      <c r="C31" s="5" t="s">
        <v>10</v>
      </c>
      <c r="D31" s="5"/>
      <c r="E31" s="4">
        <v>3</v>
      </c>
      <c r="F31" s="5"/>
      <c r="G31" s="4">
        <f t="shared" si="0"/>
        <v>3</v>
      </c>
      <c r="H31" s="5">
        <f t="shared" si="1"/>
        <v>9</v>
      </c>
      <c r="I31" s="89"/>
      <c r="J31" s="90"/>
    </row>
    <row r="32" spans="1:10" hidden="1" x14ac:dyDescent="0.35">
      <c r="A32" s="5" t="s">
        <v>40</v>
      </c>
      <c r="B32" s="5" t="s">
        <v>12</v>
      </c>
      <c r="C32" s="5" t="s">
        <v>6</v>
      </c>
      <c r="D32" s="5"/>
      <c r="E32" s="4">
        <v>2</v>
      </c>
      <c r="F32" s="5"/>
      <c r="G32" s="4">
        <f t="shared" si="0"/>
        <v>2</v>
      </c>
      <c r="H32" s="5">
        <f t="shared" si="1"/>
        <v>2</v>
      </c>
      <c r="I32" s="89"/>
      <c r="J32" s="90"/>
    </row>
    <row r="33" spans="1:10" hidden="1" x14ac:dyDescent="0.35">
      <c r="A33" s="5" t="s">
        <v>40</v>
      </c>
      <c r="B33" s="5" t="s">
        <v>14</v>
      </c>
      <c r="C33" s="5" t="s">
        <v>13</v>
      </c>
      <c r="D33" s="5"/>
      <c r="E33" s="4">
        <v>1</v>
      </c>
      <c r="F33" s="5"/>
      <c r="G33" s="4">
        <f t="shared" si="0"/>
        <v>1</v>
      </c>
      <c r="H33" s="5">
        <f t="shared" si="1"/>
        <v>0</v>
      </c>
      <c r="I33" s="89"/>
      <c r="J33" s="90"/>
    </row>
    <row r="34" spans="1:10" x14ac:dyDescent="0.35">
      <c r="A34" s="5" t="s">
        <v>41</v>
      </c>
      <c r="B34" s="5" t="s">
        <v>6</v>
      </c>
      <c r="C34" s="5" t="s">
        <v>13</v>
      </c>
      <c r="D34" s="5"/>
      <c r="E34" s="4">
        <v>8</v>
      </c>
      <c r="F34" s="4"/>
      <c r="G34" s="4">
        <f t="shared" ref="G34:G65" si="2">IF(C34&gt;=1,E34,0)</f>
        <v>8</v>
      </c>
      <c r="H34" s="5">
        <f t="shared" ref="H34:H65" si="3">G34*C34</f>
        <v>0</v>
      </c>
      <c r="I34" s="89">
        <f>SUM(H34:H41)</f>
        <v>67</v>
      </c>
      <c r="J34" s="90">
        <f>I34/$I$1</f>
        <v>0.10339506172839506</v>
      </c>
    </row>
    <row r="35" spans="1:10" hidden="1" x14ac:dyDescent="0.35">
      <c r="A35" s="5" t="s">
        <v>41</v>
      </c>
      <c r="B35" s="5" t="s">
        <v>8</v>
      </c>
      <c r="C35" s="5" t="s">
        <v>6</v>
      </c>
      <c r="D35" s="5"/>
      <c r="E35" s="4">
        <v>7</v>
      </c>
      <c r="F35" s="4"/>
      <c r="G35" s="4">
        <f t="shared" si="2"/>
        <v>7</v>
      </c>
      <c r="H35" s="5">
        <f t="shared" si="3"/>
        <v>7</v>
      </c>
      <c r="I35" s="89"/>
      <c r="J35" s="90"/>
    </row>
    <row r="36" spans="1:10" hidden="1" x14ac:dyDescent="0.35">
      <c r="A36" s="5" t="s">
        <v>41</v>
      </c>
      <c r="B36" s="5" t="s">
        <v>10</v>
      </c>
      <c r="C36" s="5" t="s">
        <v>6</v>
      </c>
      <c r="D36" s="5"/>
      <c r="E36" s="4">
        <v>6</v>
      </c>
      <c r="F36" s="4"/>
      <c r="G36" s="4">
        <f t="shared" si="2"/>
        <v>6</v>
      </c>
      <c r="H36" s="5">
        <f t="shared" si="3"/>
        <v>6</v>
      </c>
      <c r="I36" s="89"/>
      <c r="J36" s="90"/>
    </row>
    <row r="37" spans="1:10" hidden="1" x14ac:dyDescent="0.35">
      <c r="A37" s="5" t="s">
        <v>41</v>
      </c>
      <c r="B37" s="5" t="s">
        <v>9</v>
      </c>
      <c r="C37" s="5" t="s">
        <v>9</v>
      </c>
      <c r="D37" s="5"/>
      <c r="E37" s="4">
        <v>5</v>
      </c>
      <c r="F37" s="4"/>
      <c r="G37" s="4">
        <f t="shared" si="2"/>
        <v>5</v>
      </c>
      <c r="H37" s="5">
        <f t="shared" si="3"/>
        <v>20</v>
      </c>
      <c r="I37" s="89"/>
      <c r="J37" s="90"/>
    </row>
    <row r="38" spans="1:10" hidden="1" x14ac:dyDescent="0.35">
      <c r="A38" s="5" t="s">
        <v>41</v>
      </c>
      <c r="B38" s="5" t="s">
        <v>7</v>
      </c>
      <c r="C38" s="5" t="s">
        <v>10</v>
      </c>
      <c r="D38" s="5"/>
      <c r="E38" s="4">
        <v>4</v>
      </c>
      <c r="F38" s="5"/>
      <c r="G38" s="4">
        <f t="shared" si="2"/>
        <v>4</v>
      </c>
      <c r="H38" s="5">
        <f t="shared" si="3"/>
        <v>12</v>
      </c>
      <c r="I38" s="89"/>
      <c r="J38" s="90"/>
    </row>
    <row r="39" spans="1:10" hidden="1" x14ac:dyDescent="0.35">
      <c r="A39" s="5" t="s">
        <v>41</v>
      </c>
      <c r="B39" s="5" t="s">
        <v>11</v>
      </c>
      <c r="C39" s="5" t="s">
        <v>9</v>
      </c>
      <c r="D39" s="5"/>
      <c r="E39" s="4">
        <v>3</v>
      </c>
      <c r="F39" s="5"/>
      <c r="G39" s="4">
        <f t="shared" si="2"/>
        <v>3</v>
      </c>
      <c r="H39" s="5">
        <f t="shared" si="3"/>
        <v>12</v>
      </c>
      <c r="I39" s="89"/>
      <c r="J39" s="90"/>
    </row>
    <row r="40" spans="1:10" hidden="1" x14ac:dyDescent="0.35">
      <c r="A40" s="5" t="s">
        <v>41</v>
      </c>
      <c r="B40" s="5" t="s">
        <v>12</v>
      </c>
      <c r="C40" s="5" t="s">
        <v>7</v>
      </c>
      <c r="D40" s="5"/>
      <c r="E40" s="4">
        <v>2</v>
      </c>
      <c r="F40" s="5"/>
      <c r="G40" s="4">
        <f t="shared" si="2"/>
        <v>2</v>
      </c>
      <c r="H40" s="5">
        <f t="shared" si="3"/>
        <v>10</v>
      </c>
      <c r="I40" s="89"/>
      <c r="J40" s="90"/>
    </row>
    <row r="41" spans="1:10" hidden="1" x14ac:dyDescent="0.35">
      <c r="A41" s="5" t="s">
        <v>41</v>
      </c>
      <c r="B41" s="5" t="s">
        <v>14</v>
      </c>
      <c r="C41" s="5" t="s">
        <v>13</v>
      </c>
      <c r="D41" s="5"/>
      <c r="E41" s="4">
        <v>1</v>
      </c>
      <c r="F41" s="5"/>
      <c r="G41" s="4">
        <f t="shared" si="2"/>
        <v>1</v>
      </c>
      <c r="H41" s="5">
        <f t="shared" si="3"/>
        <v>0</v>
      </c>
      <c r="I41" s="89"/>
      <c r="J41" s="90"/>
    </row>
    <row r="42" spans="1:10" x14ac:dyDescent="0.35">
      <c r="A42" s="5" t="s">
        <v>42</v>
      </c>
      <c r="B42" s="5" t="s">
        <v>6</v>
      </c>
      <c r="C42" s="5" t="s">
        <v>8</v>
      </c>
      <c r="D42" s="5"/>
      <c r="E42" s="4">
        <v>8</v>
      </c>
      <c r="F42" s="4"/>
      <c r="G42" s="4">
        <f t="shared" si="2"/>
        <v>8</v>
      </c>
      <c r="H42" s="5">
        <f t="shared" si="3"/>
        <v>16</v>
      </c>
      <c r="I42" s="89">
        <f>SUM(H42:H49)</f>
        <v>76</v>
      </c>
      <c r="J42" s="90">
        <f>I42/$I$1</f>
        <v>0.11728395061728394</v>
      </c>
    </row>
    <row r="43" spans="1:10" hidden="1" x14ac:dyDescent="0.35">
      <c r="A43" s="5" t="s">
        <v>42</v>
      </c>
      <c r="B43" s="5" t="s">
        <v>8</v>
      </c>
      <c r="C43" s="5" t="s">
        <v>6</v>
      </c>
      <c r="D43" s="5"/>
      <c r="E43" s="4">
        <v>7</v>
      </c>
      <c r="F43" s="4"/>
      <c r="G43" s="4">
        <f t="shared" si="2"/>
        <v>7</v>
      </c>
      <c r="H43" s="5">
        <f t="shared" si="3"/>
        <v>7</v>
      </c>
      <c r="I43" s="89"/>
      <c r="J43" s="90"/>
    </row>
    <row r="44" spans="1:10" hidden="1" x14ac:dyDescent="0.35">
      <c r="A44" s="5" t="s">
        <v>42</v>
      </c>
      <c r="B44" s="5" t="s">
        <v>10</v>
      </c>
      <c r="C44" s="5" t="s">
        <v>8</v>
      </c>
      <c r="D44" s="5"/>
      <c r="E44" s="4">
        <v>6</v>
      </c>
      <c r="F44" s="4"/>
      <c r="G44" s="4">
        <f t="shared" si="2"/>
        <v>6</v>
      </c>
      <c r="H44" s="5">
        <f t="shared" si="3"/>
        <v>12</v>
      </c>
      <c r="I44" s="89"/>
      <c r="J44" s="90"/>
    </row>
    <row r="45" spans="1:10" hidden="1" x14ac:dyDescent="0.35">
      <c r="A45" s="5" t="s">
        <v>42</v>
      </c>
      <c r="B45" s="5" t="s">
        <v>9</v>
      </c>
      <c r="C45" s="5" t="s">
        <v>8</v>
      </c>
      <c r="D45" s="5"/>
      <c r="E45" s="4">
        <v>5</v>
      </c>
      <c r="F45" s="4"/>
      <c r="G45" s="4">
        <f t="shared" si="2"/>
        <v>5</v>
      </c>
      <c r="H45" s="5">
        <f t="shared" si="3"/>
        <v>10</v>
      </c>
      <c r="I45" s="89"/>
      <c r="J45" s="90"/>
    </row>
    <row r="46" spans="1:10" hidden="1" x14ac:dyDescent="0.35">
      <c r="A46" s="5" t="s">
        <v>42</v>
      </c>
      <c r="B46" s="5" t="s">
        <v>7</v>
      </c>
      <c r="C46" s="5" t="s">
        <v>10</v>
      </c>
      <c r="D46" s="5"/>
      <c r="E46" s="4">
        <v>4</v>
      </c>
      <c r="F46" s="5"/>
      <c r="G46" s="4">
        <f t="shared" si="2"/>
        <v>4</v>
      </c>
      <c r="H46" s="5">
        <f t="shared" si="3"/>
        <v>12</v>
      </c>
      <c r="I46" s="89"/>
      <c r="J46" s="90"/>
    </row>
    <row r="47" spans="1:10" hidden="1" x14ac:dyDescent="0.35">
      <c r="A47" s="5" t="s">
        <v>42</v>
      </c>
      <c r="B47" s="5" t="s">
        <v>11</v>
      </c>
      <c r="C47" s="5" t="s">
        <v>10</v>
      </c>
      <c r="D47" s="5"/>
      <c r="E47" s="4">
        <v>3</v>
      </c>
      <c r="F47" s="5"/>
      <c r="G47" s="4">
        <f t="shared" si="2"/>
        <v>3</v>
      </c>
      <c r="H47" s="5">
        <f t="shared" si="3"/>
        <v>9</v>
      </c>
      <c r="I47" s="89"/>
      <c r="J47" s="90"/>
    </row>
    <row r="48" spans="1:10" hidden="1" x14ac:dyDescent="0.35">
      <c r="A48" s="5" t="s">
        <v>42</v>
      </c>
      <c r="B48" s="5" t="s">
        <v>12</v>
      </c>
      <c r="C48" s="5" t="s">
        <v>7</v>
      </c>
      <c r="D48" s="5"/>
      <c r="E48" s="4">
        <v>2</v>
      </c>
      <c r="F48" s="5"/>
      <c r="G48" s="4">
        <f t="shared" si="2"/>
        <v>2</v>
      </c>
      <c r="H48" s="5">
        <f t="shared" si="3"/>
        <v>10</v>
      </c>
      <c r="I48" s="89"/>
      <c r="J48" s="90"/>
    </row>
    <row r="49" spans="1:10" hidden="1" x14ac:dyDescent="0.35">
      <c r="A49" s="5" t="s">
        <v>42</v>
      </c>
      <c r="B49" s="5" t="s">
        <v>14</v>
      </c>
      <c r="C49" s="5" t="s">
        <v>13</v>
      </c>
      <c r="D49" s="5"/>
      <c r="E49" s="4">
        <v>1</v>
      </c>
      <c r="F49" s="5"/>
      <c r="G49" s="4">
        <f t="shared" si="2"/>
        <v>1</v>
      </c>
      <c r="H49" s="5">
        <f t="shared" si="3"/>
        <v>0</v>
      </c>
      <c r="I49" s="89"/>
      <c r="J49" s="90"/>
    </row>
    <row r="50" spans="1:10" x14ac:dyDescent="0.35">
      <c r="A50" s="5" t="s">
        <v>43</v>
      </c>
      <c r="B50" s="5" t="s">
        <v>6</v>
      </c>
      <c r="C50" s="5" t="s">
        <v>13</v>
      </c>
      <c r="D50" s="5"/>
      <c r="E50" s="4">
        <v>8</v>
      </c>
      <c r="F50" s="4"/>
      <c r="G50" s="4">
        <f t="shared" si="2"/>
        <v>8</v>
      </c>
      <c r="H50" s="5">
        <f t="shared" si="3"/>
        <v>0</v>
      </c>
      <c r="I50" s="89">
        <f>SUM(H50:H57)</f>
        <v>61</v>
      </c>
      <c r="J50" s="90">
        <f>I50/$I$1</f>
        <v>9.4135802469135804E-2</v>
      </c>
    </row>
    <row r="51" spans="1:10" hidden="1" x14ac:dyDescent="0.35">
      <c r="A51" s="5" t="s">
        <v>43</v>
      </c>
      <c r="B51" s="5" t="s">
        <v>8</v>
      </c>
      <c r="C51" s="5" t="s">
        <v>6</v>
      </c>
      <c r="D51" s="5"/>
      <c r="E51" s="4">
        <v>7</v>
      </c>
      <c r="F51" s="4"/>
      <c r="G51" s="4">
        <f t="shared" si="2"/>
        <v>7</v>
      </c>
      <c r="H51" s="5">
        <f t="shared" si="3"/>
        <v>7</v>
      </c>
      <c r="I51" s="89"/>
      <c r="J51" s="90"/>
    </row>
    <row r="52" spans="1:10" hidden="1" x14ac:dyDescent="0.35">
      <c r="A52" s="5" t="s">
        <v>43</v>
      </c>
      <c r="B52" s="5" t="s">
        <v>10</v>
      </c>
      <c r="C52" s="5" t="s">
        <v>10</v>
      </c>
      <c r="D52" s="5"/>
      <c r="E52" s="4">
        <v>6</v>
      </c>
      <c r="F52" s="4"/>
      <c r="G52" s="4">
        <f t="shared" si="2"/>
        <v>6</v>
      </c>
      <c r="H52" s="5">
        <f t="shared" si="3"/>
        <v>18</v>
      </c>
      <c r="I52" s="89"/>
      <c r="J52" s="90"/>
    </row>
    <row r="53" spans="1:10" hidden="1" x14ac:dyDescent="0.35">
      <c r="A53" s="5" t="s">
        <v>43</v>
      </c>
      <c r="B53" s="5" t="s">
        <v>9</v>
      </c>
      <c r="C53" s="5" t="s">
        <v>8</v>
      </c>
      <c r="D53" s="5"/>
      <c r="E53" s="4">
        <v>5</v>
      </c>
      <c r="F53" s="4"/>
      <c r="G53" s="4">
        <f t="shared" si="2"/>
        <v>5</v>
      </c>
      <c r="H53" s="5">
        <f t="shared" si="3"/>
        <v>10</v>
      </c>
      <c r="I53" s="89"/>
      <c r="J53" s="90"/>
    </row>
    <row r="54" spans="1:10" hidden="1" x14ac:dyDescent="0.35">
      <c r="A54" s="5" t="s">
        <v>43</v>
      </c>
      <c r="B54" s="5" t="s">
        <v>7</v>
      </c>
      <c r="C54" s="5" t="s">
        <v>8</v>
      </c>
      <c r="D54" s="5"/>
      <c r="E54" s="4">
        <v>4</v>
      </c>
      <c r="F54" s="5"/>
      <c r="G54" s="4">
        <f t="shared" si="2"/>
        <v>4</v>
      </c>
      <c r="H54" s="5">
        <f t="shared" si="3"/>
        <v>8</v>
      </c>
      <c r="I54" s="89"/>
      <c r="J54" s="90"/>
    </row>
    <row r="55" spans="1:10" hidden="1" x14ac:dyDescent="0.35">
      <c r="A55" s="5" t="s">
        <v>43</v>
      </c>
      <c r="B55" s="5" t="s">
        <v>11</v>
      </c>
      <c r="C55" s="5" t="s">
        <v>6</v>
      </c>
      <c r="D55" s="5"/>
      <c r="E55" s="4">
        <v>3</v>
      </c>
      <c r="F55" s="5"/>
      <c r="G55" s="4">
        <f t="shared" si="2"/>
        <v>3</v>
      </c>
      <c r="H55" s="5">
        <f t="shared" si="3"/>
        <v>3</v>
      </c>
      <c r="I55" s="89"/>
      <c r="J55" s="90"/>
    </row>
    <row r="56" spans="1:10" hidden="1" x14ac:dyDescent="0.35">
      <c r="A56" s="5" t="s">
        <v>43</v>
      </c>
      <c r="B56" s="5" t="s">
        <v>12</v>
      </c>
      <c r="C56" s="5" t="s">
        <v>11</v>
      </c>
      <c r="D56" s="5"/>
      <c r="E56" s="4">
        <v>2</v>
      </c>
      <c r="F56" s="5"/>
      <c r="G56" s="4">
        <f t="shared" si="2"/>
        <v>2</v>
      </c>
      <c r="H56" s="5">
        <f t="shared" si="3"/>
        <v>12</v>
      </c>
      <c r="I56" s="89"/>
      <c r="J56" s="90"/>
    </row>
    <row r="57" spans="1:10" hidden="1" x14ac:dyDescent="0.35">
      <c r="A57" s="5" t="s">
        <v>43</v>
      </c>
      <c r="B57" s="5" t="s">
        <v>14</v>
      </c>
      <c r="C57" s="5" t="s">
        <v>10</v>
      </c>
      <c r="D57" s="5"/>
      <c r="E57" s="4">
        <v>1</v>
      </c>
      <c r="F57" s="5"/>
      <c r="G57" s="4">
        <f t="shared" si="2"/>
        <v>1</v>
      </c>
      <c r="H57" s="5">
        <f t="shared" si="3"/>
        <v>3</v>
      </c>
      <c r="I57" s="89"/>
      <c r="J57" s="90"/>
    </row>
    <row r="58" spans="1:10" x14ac:dyDescent="0.35">
      <c r="A58" s="5" t="s">
        <v>44</v>
      </c>
      <c r="B58" s="5" t="s">
        <v>6</v>
      </c>
      <c r="C58" s="5" t="s">
        <v>13</v>
      </c>
      <c r="D58" s="5"/>
      <c r="E58" s="4">
        <v>8</v>
      </c>
      <c r="F58" s="4"/>
      <c r="G58" s="4">
        <f t="shared" si="2"/>
        <v>8</v>
      </c>
      <c r="H58" s="5">
        <f t="shared" si="3"/>
        <v>0</v>
      </c>
      <c r="I58" s="89">
        <f>SUM(H58:H65)</f>
        <v>43</v>
      </c>
      <c r="J58" s="90">
        <f>I58/$I$1</f>
        <v>6.6358024691358028E-2</v>
      </c>
    </row>
    <row r="59" spans="1:10" hidden="1" x14ac:dyDescent="0.35">
      <c r="A59" s="5" t="s">
        <v>44</v>
      </c>
      <c r="B59" s="5" t="s">
        <v>8</v>
      </c>
      <c r="C59" s="5" t="s">
        <v>6</v>
      </c>
      <c r="D59" s="5"/>
      <c r="E59" s="4">
        <v>7</v>
      </c>
      <c r="F59" s="4"/>
      <c r="G59" s="4">
        <f t="shared" si="2"/>
        <v>7</v>
      </c>
      <c r="H59" s="5">
        <f t="shared" si="3"/>
        <v>7</v>
      </c>
      <c r="I59" s="89"/>
      <c r="J59" s="90"/>
    </row>
    <row r="60" spans="1:10" hidden="1" x14ac:dyDescent="0.35">
      <c r="A60" s="5" t="s">
        <v>44</v>
      </c>
      <c r="B60" s="5" t="s">
        <v>10</v>
      </c>
      <c r="C60" s="5" t="s">
        <v>6</v>
      </c>
      <c r="D60" s="5"/>
      <c r="E60" s="4">
        <v>6</v>
      </c>
      <c r="F60" s="4"/>
      <c r="G60" s="4">
        <f t="shared" si="2"/>
        <v>6</v>
      </c>
      <c r="H60" s="5">
        <f t="shared" si="3"/>
        <v>6</v>
      </c>
      <c r="I60" s="89"/>
      <c r="J60" s="90"/>
    </row>
    <row r="61" spans="1:10" hidden="1" x14ac:dyDescent="0.35">
      <c r="A61" s="5" t="s">
        <v>44</v>
      </c>
      <c r="B61" s="5" t="s">
        <v>9</v>
      </c>
      <c r="C61" s="5" t="s">
        <v>13</v>
      </c>
      <c r="D61" s="5"/>
      <c r="E61" s="4">
        <v>5</v>
      </c>
      <c r="F61" s="4"/>
      <c r="G61" s="4">
        <f t="shared" si="2"/>
        <v>5</v>
      </c>
      <c r="H61" s="5">
        <f t="shared" si="3"/>
        <v>0</v>
      </c>
      <c r="I61" s="89"/>
      <c r="J61" s="90"/>
    </row>
    <row r="62" spans="1:10" hidden="1" x14ac:dyDescent="0.35">
      <c r="A62" s="5" t="s">
        <v>44</v>
      </c>
      <c r="B62" s="5" t="s">
        <v>7</v>
      </c>
      <c r="C62" s="5" t="s">
        <v>8</v>
      </c>
      <c r="D62" s="5"/>
      <c r="E62" s="4">
        <v>4</v>
      </c>
      <c r="F62" s="5"/>
      <c r="G62" s="4">
        <f t="shared" si="2"/>
        <v>4</v>
      </c>
      <c r="H62" s="5">
        <f t="shared" si="3"/>
        <v>8</v>
      </c>
      <c r="I62" s="89"/>
      <c r="J62" s="90"/>
    </row>
    <row r="63" spans="1:10" hidden="1" x14ac:dyDescent="0.35">
      <c r="A63" s="5" t="s">
        <v>44</v>
      </c>
      <c r="B63" s="5" t="s">
        <v>11</v>
      </c>
      <c r="C63" s="5" t="s">
        <v>9</v>
      </c>
      <c r="D63" s="5"/>
      <c r="E63" s="4">
        <v>3</v>
      </c>
      <c r="F63" s="5"/>
      <c r="G63" s="4">
        <f t="shared" si="2"/>
        <v>3</v>
      </c>
      <c r="H63" s="5">
        <f t="shared" si="3"/>
        <v>12</v>
      </c>
      <c r="I63" s="89"/>
      <c r="J63" s="90"/>
    </row>
    <row r="64" spans="1:10" hidden="1" x14ac:dyDescent="0.35">
      <c r="A64" s="5" t="s">
        <v>44</v>
      </c>
      <c r="B64" s="5" t="s">
        <v>12</v>
      </c>
      <c r="C64" s="5" t="s">
        <v>13</v>
      </c>
      <c r="D64" s="5"/>
      <c r="E64" s="4">
        <v>2</v>
      </c>
      <c r="F64" s="5"/>
      <c r="G64" s="4">
        <f t="shared" si="2"/>
        <v>2</v>
      </c>
      <c r="H64" s="5">
        <f t="shared" si="3"/>
        <v>0</v>
      </c>
      <c r="I64" s="89"/>
      <c r="J64" s="90"/>
    </row>
    <row r="65" spans="1:10" hidden="1" x14ac:dyDescent="0.35">
      <c r="A65" s="5" t="s">
        <v>44</v>
      </c>
      <c r="B65" s="5" t="s">
        <v>14</v>
      </c>
      <c r="C65" s="5" t="s">
        <v>16</v>
      </c>
      <c r="D65" s="5"/>
      <c r="E65" s="4">
        <v>1</v>
      </c>
      <c r="F65" s="5"/>
      <c r="G65" s="4">
        <f t="shared" si="2"/>
        <v>1</v>
      </c>
      <c r="H65" s="5">
        <f t="shared" si="3"/>
        <v>10</v>
      </c>
      <c r="I65" s="89"/>
      <c r="J65" s="90"/>
    </row>
  </sheetData>
  <autoFilter ref="A1:J65" xr:uid="{EB53CF63-4B50-456C-80E8-59AD7A0F44D3}">
    <filterColumn colId="1">
      <filters>
        <filter val="1"/>
      </filters>
    </filterColumn>
  </autoFilter>
  <mergeCells count="16">
    <mergeCell ref="I2:I9"/>
    <mergeCell ref="J2:J9"/>
    <mergeCell ref="I10:I17"/>
    <mergeCell ref="J10:J17"/>
    <mergeCell ref="I18:I25"/>
    <mergeCell ref="J18:J25"/>
    <mergeCell ref="I26:I33"/>
    <mergeCell ref="J26:J33"/>
    <mergeCell ref="I58:I65"/>
    <mergeCell ref="J58:J65"/>
    <mergeCell ref="I34:I41"/>
    <mergeCell ref="J34:J41"/>
    <mergeCell ref="I42:I49"/>
    <mergeCell ref="J42:J49"/>
    <mergeCell ref="I50:I57"/>
    <mergeCell ref="J50:J5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8D57E-FBE2-4D21-BE99-633031052529}">
  <sheetPr filterMode="1"/>
  <dimension ref="A1:J82"/>
  <sheetViews>
    <sheetView workbookViewId="0">
      <selection activeCell="C84" sqref="C84"/>
    </sheetView>
  </sheetViews>
  <sheetFormatPr baseColWidth="10" defaultColWidth="11.453125" defaultRowHeight="14.5" x14ac:dyDescent="0.35"/>
  <cols>
    <col min="1" max="1" width="47" bestFit="1" customWidth="1"/>
  </cols>
  <sheetData>
    <row r="1" spans="1:10" ht="29" x14ac:dyDescent="0.35">
      <c r="A1" s="2" t="s">
        <v>0</v>
      </c>
      <c r="B1" s="3" t="s">
        <v>1</v>
      </c>
      <c r="C1" s="3" t="s">
        <v>2</v>
      </c>
      <c r="D1" s="3"/>
      <c r="E1" s="3" t="s">
        <v>3</v>
      </c>
      <c r="F1" s="4"/>
      <c r="G1" s="3" t="s">
        <v>4</v>
      </c>
      <c r="H1" s="6">
        <f>SUM(C2:C10)</f>
        <v>0</v>
      </c>
      <c r="I1" s="6">
        <f>SUM(I2:I82)</f>
        <v>810</v>
      </c>
      <c r="J1" s="5"/>
    </row>
    <row r="2" spans="1:10" x14ac:dyDescent="0.35">
      <c r="A2" t="s">
        <v>45</v>
      </c>
      <c r="B2" t="s">
        <v>6</v>
      </c>
      <c r="C2" t="s">
        <v>15</v>
      </c>
      <c r="D2" s="5"/>
      <c r="E2" s="4">
        <v>9</v>
      </c>
      <c r="F2" s="4"/>
      <c r="G2" s="4">
        <v>9</v>
      </c>
      <c r="H2" s="5">
        <f>G2*C2</f>
        <v>81</v>
      </c>
      <c r="I2" s="95">
        <f>SUM(H2:H10)</f>
        <v>139</v>
      </c>
      <c r="J2" s="98">
        <f>I2/$I$1</f>
        <v>0.17160493827160495</v>
      </c>
    </row>
    <row r="3" spans="1:10" hidden="1" x14ac:dyDescent="0.35">
      <c r="A3" t="s">
        <v>45</v>
      </c>
      <c r="B3" t="s">
        <v>8</v>
      </c>
      <c r="C3" t="s">
        <v>8</v>
      </c>
      <c r="D3" s="5"/>
      <c r="E3" s="4">
        <v>8</v>
      </c>
      <c r="F3" s="4"/>
      <c r="G3" s="4">
        <v>8</v>
      </c>
      <c r="H3" s="5">
        <f t="shared" ref="H3:H11" si="0">G3*C3</f>
        <v>16</v>
      </c>
      <c r="I3" s="96"/>
      <c r="J3" s="99"/>
    </row>
    <row r="4" spans="1:10" hidden="1" x14ac:dyDescent="0.35">
      <c r="A4" t="s">
        <v>45</v>
      </c>
      <c r="B4" t="s">
        <v>10</v>
      </c>
      <c r="C4" t="s">
        <v>9</v>
      </c>
      <c r="D4" s="5"/>
      <c r="E4" s="4">
        <v>7</v>
      </c>
      <c r="F4" s="4"/>
      <c r="G4" s="4">
        <v>7</v>
      </c>
      <c r="H4" s="5">
        <f t="shared" si="0"/>
        <v>28</v>
      </c>
      <c r="I4" s="96"/>
      <c r="J4" s="99"/>
    </row>
    <row r="5" spans="1:10" hidden="1" x14ac:dyDescent="0.35">
      <c r="A5" t="s">
        <v>45</v>
      </c>
      <c r="B5" t="s">
        <v>9</v>
      </c>
      <c r="C5" t="s">
        <v>8</v>
      </c>
      <c r="D5" s="5"/>
      <c r="E5" s="4">
        <v>6</v>
      </c>
      <c r="F5" s="5"/>
      <c r="G5" s="4">
        <v>6</v>
      </c>
      <c r="H5" s="5">
        <f t="shared" si="0"/>
        <v>12</v>
      </c>
      <c r="I5" s="96"/>
      <c r="J5" s="99"/>
    </row>
    <row r="6" spans="1:10" hidden="1" x14ac:dyDescent="0.35">
      <c r="A6" t="s">
        <v>45</v>
      </c>
      <c r="B6" t="s">
        <v>7</v>
      </c>
      <c r="C6" t="s">
        <v>13</v>
      </c>
      <c r="D6" s="5"/>
      <c r="E6" s="4">
        <v>5</v>
      </c>
      <c r="F6" s="5"/>
      <c r="G6" s="4">
        <v>5</v>
      </c>
      <c r="H6" s="5">
        <f t="shared" si="0"/>
        <v>0</v>
      </c>
      <c r="I6" s="96"/>
      <c r="J6" s="99"/>
    </row>
    <row r="7" spans="1:10" hidden="1" x14ac:dyDescent="0.35">
      <c r="A7" t="s">
        <v>45</v>
      </c>
      <c r="B7" t="s">
        <v>11</v>
      </c>
      <c r="C7" t="s">
        <v>13</v>
      </c>
      <c r="D7" s="5"/>
      <c r="E7" s="4">
        <v>4</v>
      </c>
      <c r="F7" s="5"/>
      <c r="G7" s="4">
        <v>4</v>
      </c>
      <c r="H7" s="5">
        <f t="shared" si="0"/>
        <v>0</v>
      </c>
      <c r="I7" s="96"/>
      <c r="J7" s="99"/>
    </row>
    <row r="8" spans="1:10" hidden="1" x14ac:dyDescent="0.35">
      <c r="A8" t="s">
        <v>45</v>
      </c>
      <c r="B8" t="s">
        <v>12</v>
      </c>
      <c r="C8" t="s">
        <v>13</v>
      </c>
      <c r="D8" s="5"/>
      <c r="E8" s="4">
        <v>3</v>
      </c>
      <c r="F8" s="5"/>
      <c r="G8" s="4">
        <v>3</v>
      </c>
      <c r="H8" s="5">
        <f t="shared" si="0"/>
        <v>0</v>
      </c>
      <c r="I8" s="96"/>
      <c r="J8" s="99"/>
    </row>
    <row r="9" spans="1:10" hidden="1" x14ac:dyDescent="0.35">
      <c r="A9" t="s">
        <v>45</v>
      </c>
      <c r="B9" t="s">
        <v>14</v>
      </c>
      <c r="C9" t="s">
        <v>6</v>
      </c>
      <c r="E9" s="4">
        <v>2</v>
      </c>
      <c r="G9" s="4">
        <v>2</v>
      </c>
      <c r="H9" s="5">
        <f t="shared" si="0"/>
        <v>2</v>
      </c>
      <c r="I9" s="96"/>
      <c r="J9" s="99"/>
    </row>
    <row r="10" spans="1:10" hidden="1" x14ac:dyDescent="0.35">
      <c r="A10" t="s">
        <v>45</v>
      </c>
      <c r="B10" t="s">
        <v>15</v>
      </c>
      <c r="C10" t="s">
        <v>13</v>
      </c>
      <c r="E10" s="4">
        <v>1</v>
      </c>
      <c r="G10" s="4">
        <v>1</v>
      </c>
      <c r="H10" s="5">
        <f t="shared" si="0"/>
        <v>0</v>
      </c>
      <c r="I10" s="97"/>
      <c r="J10" s="100"/>
    </row>
    <row r="11" spans="1:10" x14ac:dyDescent="0.35">
      <c r="A11" t="s">
        <v>46</v>
      </c>
      <c r="B11" t="s">
        <v>6</v>
      </c>
      <c r="C11" t="s">
        <v>8</v>
      </c>
      <c r="E11" s="4">
        <v>9</v>
      </c>
      <c r="F11" s="4"/>
      <c r="G11" s="4">
        <v>9</v>
      </c>
      <c r="H11" s="5">
        <f t="shared" si="0"/>
        <v>18</v>
      </c>
      <c r="I11" s="95">
        <f>SUM(H11:H19)</f>
        <v>119</v>
      </c>
      <c r="J11" s="98">
        <f>I11/$I$1</f>
        <v>0.14691358024691359</v>
      </c>
    </row>
    <row r="12" spans="1:10" hidden="1" x14ac:dyDescent="0.35">
      <c r="A12" t="s">
        <v>46</v>
      </c>
      <c r="B12" t="s">
        <v>8</v>
      </c>
      <c r="C12" t="s">
        <v>7</v>
      </c>
      <c r="E12" s="4">
        <v>8</v>
      </c>
      <c r="F12" s="4"/>
      <c r="G12" s="4">
        <v>8</v>
      </c>
      <c r="H12" s="5">
        <f t="shared" ref="H12:H75" si="1">G12*C12</f>
        <v>40</v>
      </c>
      <c r="I12" s="96"/>
      <c r="J12" s="99"/>
    </row>
    <row r="13" spans="1:10" hidden="1" x14ac:dyDescent="0.35">
      <c r="A13" t="s">
        <v>46</v>
      </c>
      <c r="B13" t="s">
        <v>10</v>
      </c>
      <c r="C13" t="s">
        <v>6</v>
      </c>
      <c r="E13" s="4">
        <v>7</v>
      </c>
      <c r="F13" s="4"/>
      <c r="G13" s="4">
        <v>7</v>
      </c>
      <c r="H13" s="5">
        <f t="shared" si="1"/>
        <v>7</v>
      </c>
      <c r="I13" s="96"/>
      <c r="J13" s="99"/>
    </row>
    <row r="14" spans="1:10" hidden="1" x14ac:dyDescent="0.35">
      <c r="A14" t="s">
        <v>46</v>
      </c>
      <c r="B14" t="s">
        <v>9</v>
      </c>
      <c r="C14" t="s">
        <v>11</v>
      </c>
      <c r="E14" s="4">
        <v>6</v>
      </c>
      <c r="F14" s="5"/>
      <c r="G14" s="4">
        <v>6</v>
      </c>
      <c r="H14" s="5">
        <f t="shared" si="1"/>
        <v>36</v>
      </c>
      <c r="I14" s="96"/>
      <c r="J14" s="99"/>
    </row>
    <row r="15" spans="1:10" hidden="1" x14ac:dyDescent="0.35">
      <c r="A15" t="s">
        <v>46</v>
      </c>
      <c r="B15" t="s">
        <v>7</v>
      </c>
      <c r="C15" t="s">
        <v>8</v>
      </c>
      <c r="E15" s="4">
        <v>5</v>
      </c>
      <c r="F15" s="5"/>
      <c r="G15" s="4">
        <v>5</v>
      </c>
      <c r="H15" s="5">
        <f t="shared" si="1"/>
        <v>10</v>
      </c>
      <c r="I15" s="96"/>
      <c r="J15" s="99"/>
    </row>
    <row r="16" spans="1:10" hidden="1" x14ac:dyDescent="0.35">
      <c r="A16" t="s">
        <v>46</v>
      </c>
      <c r="B16" t="s">
        <v>11</v>
      </c>
      <c r="C16" t="s">
        <v>8</v>
      </c>
      <c r="E16" s="4">
        <v>4</v>
      </c>
      <c r="F16" s="5"/>
      <c r="G16" s="4">
        <v>4</v>
      </c>
      <c r="H16" s="5">
        <f t="shared" si="1"/>
        <v>8</v>
      </c>
      <c r="I16" s="96"/>
      <c r="J16" s="99"/>
    </row>
    <row r="17" spans="1:10" hidden="1" x14ac:dyDescent="0.35">
      <c r="A17" t="s">
        <v>46</v>
      </c>
      <c r="B17" t="s">
        <v>12</v>
      </c>
      <c r="C17" t="s">
        <v>13</v>
      </c>
      <c r="E17" s="4">
        <v>3</v>
      </c>
      <c r="F17" s="5"/>
      <c r="G17" s="4">
        <v>3</v>
      </c>
      <c r="H17" s="5">
        <f t="shared" si="1"/>
        <v>0</v>
      </c>
      <c r="I17" s="96"/>
      <c r="J17" s="99"/>
    </row>
    <row r="18" spans="1:10" hidden="1" x14ac:dyDescent="0.35">
      <c r="A18" t="s">
        <v>46</v>
      </c>
      <c r="B18" t="s">
        <v>14</v>
      </c>
      <c r="C18" t="s">
        <v>13</v>
      </c>
      <c r="E18" s="4">
        <v>2</v>
      </c>
      <c r="G18" s="4">
        <v>2</v>
      </c>
      <c r="H18" s="5">
        <f t="shared" si="1"/>
        <v>0</v>
      </c>
      <c r="I18" s="96"/>
      <c r="J18" s="99"/>
    </row>
    <row r="19" spans="1:10" hidden="1" x14ac:dyDescent="0.35">
      <c r="A19" t="s">
        <v>46</v>
      </c>
      <c r="B19" t="s">
        <v>15</v>
      </c>
      <c r="C19" t="s">
        <v>13</v>
      </c>
      <c r="E19" s="4">
        <v>1</v>
      </c>
      <c r="G19" s="4">
        <v>1</v>
      </c>
      <c r="H19" s="5">
        <f t="shared" si="1"/>
        <v>0</v>
      </c>
      <c r="I19" s="97"/>
      <c r="J19" s="100"/>
    </row>
    <row r="20" spans="1:10" x14ac:dyDescent="0.35">
      <c r="A20" t="s">
        <v>47</v>
      </c>
      <c r="B20" t="s">
        <v>6</v>
      </c>
      <c r="C20" t="s">
        <v>6</v>
      </c>
      <c r="E20" s="4">
        <v>9</v>
      </c>
      <c r="F20" s="4"/>
      <c r="G20" s="4">
        <v>9</v>
      </c>
      <c r="H20" s="5">
        <f t="shared" si="1"/>
        <v>9</v>
      </c>
      <c r="I20" s="95">
        <f>SUM(H20:H28)</f>
        <v>104</v>
      </c>
      <c r="J20" s="98">
        <f>I20/$I$1</f>
        <v>0.12839506172839507</v>
      </c>
    </row>
    <row r="21" spans="1:10" hidden="1" x14ac:dyDescent="0.35">
      <c r="A21" t="s">
        <v>47</v>
      </c>
      <c r="B21" t="s">
        <v>8</v>
      </c>
      <c r="C21" t="s">
        <v>10</v>
      </c>
      <c r="E21" s="4">
        <v>8</v>
      </c>
      <c r="F21" s="4"/>
      <c r="G21" s="4">
        <v>8</v>
      </c>
      <c r="H21" s="5">
        <f t="shared" si="1"/>
        <v>24</v>
      </c>
      <c r="I21" s="96"/>
      <c r="J21" s="99"/>
    </row>
    <row r="22" spans="1:10" hidden="1" x14ac:dyDescent="0.35">
      <c r="A22" t="s">
        <v>47</v>
      </c>
      <c r="B22" t="s">
        <v>10</v>
      </c>
      <c r="C22" t="s">
        <v>10</v>
      </c>
      <c r="E22" s="4">
        <v>7</v>
      </c>
      <c r="F22" s="4"/>
      <c r="G22" s="4">
        <v>7</v>
      </c>
      <c r="H22" s="5">
        <f t="shared" si="1"/>
        <v>21</v>
      </c>
      <c r="I22" s="96"/>
      <c r="J22" s="99"/>
    </row>
    <row r="23" spans="1:10" hidden="1" x14ac:dyDescent="0.35">
      <c r="A23" t="s">
        <v>47</v>
      </c>
      <c r="B23" t="s">
        <v>9</v>
      </c>
      <c r="C23" t="s">
        <v>10</v>
      </c>
      <c r="E23" s="4">
        <v>6</v>
      </c>
      <c r="F23" s="5"/>
      <c r="G23" s="4">
        <v>6</v>
      </c>
      <c r="H23" s="5">
        <f t="shared" si="1"/>
        <v>18</v>
      </c>
      <c r="I23" s="96"/>
      <c r="J23" s="99"/>
    </row>
    <row r="24" spans="1:10" hidden="1" x14ac:dyDescent="0.35">
      <c r="A24" t="s">
        <v>47</v>
      </c>
      <c r="B24" t="s">
        <v>7</v>
      </c>
      <c r="C24" t="s">
        <v>9</v>
      </c>
      <c r="E24" s="4">
        <v>5</v>
      </c>
      <c r="F24" s="5"/>
      <c r="G24" s="4">
        <v>5</v>
      </c>
      <c r="H24" s="5">
        <f t="shared" si="1"/>
        <v>20</v>
      </c>
      <c r="I24" s="96"/>
      <c r="J24" s="99"/>
    </row>
    <row r="25" spans="1:10" hidden="1" x14ac:dyDescent="0.35">
      <c r="A25" t="s">
        <v>47</v>
      </c>
      <c r="B25" t="s">
        <v>11</v>
      </c>
      <c r="C25" t="s">
        <v>6</v>
      </c>
      <c r="E25" s="4">
        <v>4</v>
      </c>
      <c r="F25" s="5"/>
      <c r="G25" s="4">
        <v>4</v>
      </c>
      <c r="H25" s="5">
        <f t="shared" si="1"/>
        <v>4</v>
      </c>
      <c r="I25" s="96"/>
      <c r="J25" s="99"/>
    </row>
    <row r="26" spans="1:10" hidden="1" x14ac:dyDescent="0.35">
      <c r="A26" t="s">
        <v>47</v>
      </c>
      <c r="B26" t="s">
        <v>12</v>
      </c>
      <c r="C26" t="s">
        <v>8</v>
      </c>
      <c r="E26" s="4">
        <v>3</v>
      </c>
      <c r="F26" s="5"/>
      <c r="G26" s="4">
        <v>3</v>
      </c>
      <c r="H26" s="5">
        <f t="shared" si="1"/>
        <v>6</v>
      </c>
      <c r="I26" s="96"/>
      <c r="J26" s="99"/>
    </row>
    <row r="27" spans="1:10" hidden="1" x14ac:dyDescent="0.35">
      <c r="A27" t="s">
        <v>47</v>
      </c>
      <c r="B27" t="s">
        <v>14</v>
      </c>
      <c r="C27" t="s">
        <v>6</v>
      </c>
      <c r="E27" s="4">
        <v>2</v>
      </c>
      <c r="G27" s="4">
        <v>2</v>
      </c>
      <c r="H27" s="5">
        <f t="shared" si="1"/>
        <v>2</v>
      </c>
      <c r="I27" s="96"/>
      <c r="J27" s="99"/>
    </row>
    <row r="28" spans="1:10" hidden="1" x14ac:dyDescent="0.35">
      <c r="A28" t="s">
        <v>47</v>
      </c>
      <c r="B28" t="s">
        <v>15</v>
      </c>
      <c r="C28" t="s">
        <v>13</v>
      </c>
      <c r="E28" s="4">
        <v>1</v>
      </c>
      <c r="G28" s="4">
        <v>1</v>
      </c>
      <c r="H28" s="5">
        <f t="shared" si="1"/>
        <v>0</v>
      </c>
      <c r="I28" s="97"/>
      <c r="J28" s="100"/>
    </row>
    <row r="29" spans="1:10" x14ac:dyDescent="0.35">
      <c r="A29" t="s">
        <v>48</v>
      </c>
      <c r="B29" t="s">
        <v>6</v>
      </c>
      <c r="C29" t="s">
        <v>13</v>
      </c>
      <c r="E29" s="4">
        <v>9</v>
      </c>
      <c r="F29" s="4"/>
      <c r="G29" s="4">
        <v>9</v>
      </c>
      <c r="H29" s="5">
        <f t="shared" si="1"/>
        <v>0</v>
      </c>
      <c r="I29" s="95">
        <f>SUM(H29:H37)</f>
        <v>92</v>
      </c>
      <c r="J29" s="98">
        <f>I29/$I$1</f>
        <v>0.11358024691358025</v>
      </c>
    </row>
    <row r="30" spans="1:10" hidden="1" x14ac:dyDescent="0.35">
      <c r="A30" t="s">
        <v>48</v>
      </c>
      <c r="B30" t="s">
        <v>8</v>
      </c>
      <c r="C30" t="s">
        <v>8</v>
      </c>
      <c r="E30" s="4">
        <v>8</v>
      </c>
      <c r="F30" s="4"/>
      <c r="G30" s="4">
        <v>8</v>
      </c>
      <c r="H30" s="5">
        <f t="shared" si="1"/>
        <v>16</v>
      </c>
      <c r="I30" s="96"/>
      <c r="J30" s="99"/>
    </row>
    <row r="31" spans="1:10" hidden="1" x14ac:dyDescent="0.35">
      <c r="A31" t="s">
        <v>48</v>
      </c>
      <c r="B31" t="s">
        <v>10</v>
      </c>
      <c r="C31" t="s">
        <v>6</v>
      </c>
      <c r="E31" s="4">
        <v>7</v>
      </c>
      <c r="F31" s="4"/>
      <c r="G31" s="4">
        <v>7</v>
      </c>
      <c r="H31" s="5">
        <f t="shared" si="1"/>
        <v>7</v>
      </c>
      <c r="I31" s="96"/>
      <c r="J31" s="99"/>
    </row>
    <row r="32" spans="1:10" hidden="1" x14ac:dyDescent="0.35">
      <c r="A32" t="s">
        <v>48</v>
      </c>
      <c r="B32" t="s">
        <v>9</v>
      </c>
      <c r="C32" t="s">
        <v>10</v>
      </c>
      <c r="E32" s="4">
        <v>6</v>
      </c>
      <c r="F32" s="5"/>
      <c r="G32" s="4">
        <v>6</v>
      </c>
      <c r="H32" s="5">
        <f t="shared" si="1"/>
        <v>18</v>
      </c>
      <c r="I32" s="96"/>
      <c r="J32" s="99"/>
    </row>
    <row r="33" spans="1:10" hidden="1" x14ac:dyDescent="0.35">
      <c r="A33" t="s">
        <v>48</v>
      </c>
      <c r="B33" t="s">
        <v>7</v>
      </c>
      <c r="C33" t="s">
        <v>7</v>
      </c>
      <c r="E33" s="4">
        <v>5</v>
      </c>
      <c r="F33" s="5"/>
      <c r="G33" s="4">
        <v>5</v>
      </c>
      <c r="H33" s="5">
        <f t="shared" si="1"/>
        <v>25</v>
      </c>
      <c r="I33" s="96"/>
      <c r="J33" s="99"/>
    </row>
    <row r="34" spans="1:10" hidden="1" x14ac:dyDescent="0.35">
      <c r="A34" t="s">
        <v>48</v>
      </c>
      <c r="B34" t="s">
        <v>11</v>
      </c>
      <c r="C34" t="s">
        <v>7</v>
      </c>
      <c r="E34" s="4">
        <v>4</v>
      </c>
      <c r="F34" s="5"/>
      <c r="G34" s="4">
        <v>4</v>
      </c>
      <c r="H34" s="5">
        <f t="shared" si="1"/>
        <v>20</v>
      </c>
      <c r="I34" s="96"/>
      <c r="J34" s="99"/>
    </row>
    <row r="35" spans="1:10" hidden="1" x14ac:dyDescent="0.35">
      <c r="A35" t="s">
        <v>48</v>
      </c>
      <c r="B35" t="s">
        <v>12</v>
      </c>
      <c r="C35" t="s">
        <v>8</v>
      </c>
      <c r="E35" s="4">
        <v>3</v>
      </c>
      <c r="F35" s="5"/>
      <c r="G35" s="4">
        <v>3</v>
      </c>
      <c r="H35" s="5">
        <f t="shared" si="1"/>
        <v>6</v>
      </c>
      <c r="I35" s="96"/>
      <c r="J35" s="99"/>
    </row>
    <row r="36" spans="1:10" hidden="1" x14ac:dyDescent="0.35">
      <c r="A36" t="s">
        <v>48</v>
      </c>
      <c r="B36" t="s">
        <v>14</v>
      </c>
      <c r="C36" t="s">
        <v>13</v>
      </c>
      <c r="E36" s="4">
        <v>2</v>
      </c>
      <c r="G36" s="4">
        <v>2</v>
      </c>
      <c r="H36" s="5">
        <f t="shared" si="1"/>
        <v>0</v>
      </c>
      <c r="I36" s="96"/>
      <c r="J36" s="99"/>
    </row>
    <row r="37" spans="1:10" hidden="1" x14ac:dyDescent="0.35">
      <c r="A37" t="s">
        <v>48</v>
      </c>
      <c r="B37" t="s">
        <v>15</v>
      </c>
      <c r="C37" t="s">
        <v>13</v>
      </c>
      <c r="E37" s="4">
        <v>1</v>
      </c>
      <c r="G37" s="4">
        <v>1</v>
      </c>
      <c r="H37" s="5">
        <f t="shared" si="1"/>
        <v>0</v>
      </c>
      <c r="I37" s="97"/>
      <c r="J37" s="100"/>
    </row>
    <row r="38" spans="1:10" x14ac:dyDescent="0.35">
      <c r="A38" t="s">
        <v>49</v>
      </c>
      <c r="B38" t="s">
        <v>6</v>
      </c>
      <c r="C38" t="s">
        <v>13</v>
      </c>
      <c r="E38" s="4">
        <v>9</v>
      </c>
      <c r="F38" s="4"/>
      <c r="G38" s="4">
        <v>9</v>
      </c>
      <c r="H38" s="5">
        <f t="shared" si="1"/>
        <v>0</v>
      </c>
      <c r="I38" s="95">
        <f>SUM(H38:H46)</f>
        <v>61</v>
      </c>
      <c r="J38" s="98">
        <f>I38/$I$1</f>
        <v>7.5308641975308649E-2</v>
      </c>
    </row>
    <row r="39" spans="1:10" hidden="1" x14ac:dyDescent="0.35">
      <c r="A39" t="s">
        <v>49</v>
      </c>
      <c r="B39" t="s">
        <v>8</v>
      </c>
      <c r="C39" t="s">
        <v>13</v>
      </c>
      <c r="E39" s="4">
        <v>8</v>
      </c>
      <c r="F39" s="4"/>
      <c r="G39" s="4">
        <v>8</v>
      </c>
      <c r="H39" s="5">
        <f t="shared" si="1"/>
        <v>0</v>
      </c>
      <c r="I39" s="96"/>
      <c r="J39" s="99"/>
    </row>
    <row r="40" spans="1:10" hidden="1" x14ac:dyDescent="0.35">
      <c r="A40" t="s">
        <v>49</v>
      </c>
      <c r="B40" t="s">
        <v>10</v>
      </c>
      <c r="C40" t="s">
        <v>13</v>
      </c>
      <c r="E40" s="4">
        <v>7</v>
      </c>
      <c r="F40" s="4"/>
      <c r="G40" s="4">
        <v>7</v>
      </c>
      <c r="H40" s="5">
        <f t="shared" si="1"/>
        <v>0</v>
      </c>
      <c r="I40" s="96"/>
      <c r="J40" s="99"/>
    </row>
    <row r="41" spans="1:10" hidden="1" x14ac:dyDescent="0.35">
      <c r="A41" t="s">
        <v>49</v>
      </c>
      <c r="B41" t="s">
        <v>9</v>
      </c>
      <c r="C41" t="s">
        <v>13</v>
      </c>
      <c r="E41" s="4">
        <v>6</v>
      </c>
      <c r="F41" s="5"/>
      <c r="G41" s="4">
        <v>6</v>
      </c>
      <c r="H41" s="5">
        <f t="shared" si="1"/>
        <v>0</v>
      </c>
      <c r="I41" s="96"/>
      <c r="J41" s="99"/>
    </row>
    <row r="42" spans="1:10" hidden="1" x14ac:dyDescent="0.35">
      <c r="A42" t="s">
        <v>49</v>
      </c>
      <c r="B42" t="s">
        <v>7</v>
      </c>
      <c r="C42" t="s">
        <v>7</v>
      </c>
      <c r="E42" s="4">
        <v>5</v>
      </c>
      <c r="F42" s="5"/>
      <c r="G42" s="4">
        <v>5</v>
      </c>
      <c r="H42" s="5">
        <f t="shared" si="1"/>
        <v>25</v>
      </c>
      <c r="I42" s="96"/>
      <c r="J42" s="99"/>
    </row>
    <row r="43" spans="1:10" hidden="1" x14ac:dyDescent="0.35">
      <c r="A43" t="s">
        <v>49</v>
      </c>
      <c r="B43" t="s">
        <v>11</v>
      </c>
      <c r="C43" t="s">
        <v>7</v>
      </c>
      <c r="E43" s="4">
        <v>4</v>
      </c>
      <c r="F43" s="5"/>
      <c r="G43" s="4">
        <v>4</v>
      </c>
      <c r="H43" s="5">
        <f t="shared" si="1"/>
        <v>20</v>
      </c>
      <c r="I43" s="96"/>
      <c r="J43" s="99"/>
    </row>
    <row r="44" spans="1:10" hidden="1" x14ac:dyDescent="0.35">
      <c r="A44" t="s">
        <v>49</v>
      </c>
      <c r="B44" t="s">
        <v>12</v>
      </c>
      <c r="C44" t="s">
        <v>8</v>
      </c>
      <c r="E44" s="4">
        <v>3</v>
      </c>
      <c r="F44" s="5"/>
      <c r="G44" s="4">
        <v>3</v>
      </c>
      <c r="H44" s="5">
        <f t="shared" si="1"/>
        <v>6</v>
      </c>
      <c r="I44" s="96"/>
      <c r="J44" s="99"/>
    </row>
    <row r="45" spans="1:10" hidden="1" x14ac:dyDescent="0.35">
      <c r="A45" t="s">
        <v>49</v>
      </c>
      <c r="B45" t="s">
        <v>14</v>
      </c>
      <c r="C45" t="s">
        <v>9</v>
      </c>
      <c r="E45" s="4">
        <v>2</v>
      </c>
      <c r="G45" s="4">
        <v>2</v>
      </c>
      <c r="H45" s="5">
        <f t="shared" si="1"/>
        <v>8</v>
      </c>
      <c r="I45" s="96"/>
      <c r="J45" s="99"/>
    </row>
    <row r="46" spans="1:10" hidden="1" x14ac:dyDescent="0.35">
      <c r="A46" t="s">
        <v>49</v>
      </c>
      <c r="B46" t="s">
        <v>15</v>
      </c>
      <c r="C46" t="s">
        <v>8</v>
      </c>
      <c r="E46" s="4">
        <v>1</v>
      </c>
      <c r="G46" s="4">
        <v>1</v>
      </c>
      <c r="H46" s="5">
        <f t="shared" si="1"/>
        <v>2</v>
      </c>
      <c r="I46" s="97"/>
      <c r="J46" s="100"/>
    </row>
    <row r="47" spans="1:10" x14ac:dyDescent="0.35">
      <c r="A47" t="s">
        <v>50</v>
      </c>
      <c r="B47" t="s">
        <v>6</v>
      </c>
      <c r="C47" t="s">
        <v>10</v>
      </c>
      <c r="E47" s="4">
        <v>9</v>
      </c>
      <c r="F47" s="4"/>
      <c r="G47" s="4">
        <v>9</v>
      </c>
      <c r="H47" s="5">
        <f t="shared" si="1"/>
        <v>27</v>
      </c>
      <c r="I47" s="95">
        <f>SUM(H47:H55)</f>
        <v>104</v>
      </c>
      <c r="J47" s="98">
        <f>I47/$I$1</f>
        <v>0.12839506172839507</v>
      </c>
    </row>
    <row r="48" spans="1:10" hidden="1" x14ac:dyDescent="0.35">
      <c r="A48" t="s">
        <v>50</v>
      </c>
      <c r="B48" t="s">
        <v>8</v>
      </c>
      <c r="C48" t="s">
        <v>10</v>
      </c>
      <c r="E48" s="4">
        <v>8</v>
      </c>
      <c r="F48" s="4"/>
      <c r="G48" s="4">
        <v>8</v>
      </c>
      <c r="H48" s="5">
        <f t="shared" si="1"/>
        <v>24</v>
      </c>
      <c r="I48" s="96"/>
      <c r="J48" s="99"/>
    </row>
    <row r="49" spans="1:10" hidden="1" x14ac:dyDescent="0.35">
      <c r="A49" t="s">
        <v>50</v>
      </c>
      <c r="B49" t="s">
        <v>10</v>
      </c>
      <c r="C49" t="s">
        <v>10</v>
      </c>
      <c r="E49" s="4">
        <v>7</v>
      </c>
      <c r="F49" s="4"/>
      <c r="G49" s="4">
        <v>7</v>
      </c>
      <c r="H49" s="5">
        <f t="shared" si="1"/>
        <v>21</v>
      </c>
      <c r="I49" s="96"/>
      <c r="J49" s="99"/>
    </row>
    <row r="50" spans="1:10" hidden="1" x14ac:dyDescent="0.35">
      <c r="A50" t="s">
        <v>50</v>
      </c>
      <c r="B50" t="s">
        <v>9</v>
      </c>
      <c r="C50" t="s">
        <v>6</v>
      </c>
      <c r="E50" s="4">
        <v>6</v>
      </c>
      <c r="F50" s="5"/>
      <c r="G50" s="4">
        <v>6</v>
      </c>
      <c r="H50" s="5">
        <f t="shared" si="1"/>
        <v>6</v>
      </c>
      <c r="I50" s="96"/>
      <c r="J50" s="99"/>
    </row>
    <row r="51" spans="1:10" hidden="1" x14ac:dyDescent="0.35">
      <c r="A51" t="s">
        <v>50</v>
      </c>
      <c r="B51" t="s">
        <v>7</v>
      </c>
      <c r="C51" t="s">
        <v>6</v>
      </c>
      <c r="E51" s="4">
        <v>5</v>
      </c>
      <c r="F51" s="5"/>
      <c r="G51" s="4">
        <v>5</v>
      </c>
      <c r="H51" s="5">
        <f t="shared" si="1"/>
        <v>5</v>
      </c>
      <c r="I51" s="96"/>
      <c r="J51" s="99"/>
    </row>
    <row r="52" spans="1:10" hidden="1" x14ac:dyDescent="0.35">
      <c r="A52" t="s">
        <v>50</v>
      </c>
      <c r="B52" t="s">
        <v>11</v>
      </c>
      <c r="C52" t="s">
        <v>10</v>
      </c>
      <c r="E52" s="4">
        <v>4</v>
      </c>
      <c r="F52" s="5"/>
      <c r="G52" s="4">
        <v>4</v>
      </c>
      <c r="H52" s="5">
        <f t="shared" si="1"/>
        <v>12</v>
      </c>
      <c r="I52" s="96"/>
      <c r="J52" s="99"/>
    </row>
    <row r="53" spans="1:10" hidden="1" x14ac:dyDescent="0.35">
      <c r="A53" t="s">
        <v>50</v>
      </c>
      <c r="B53" t="s">
        <v>12</v>
      </c>
      <c r="C53" t="s">
        <v>8</v>
      </c>
      <c r="E53" s="4">
        <v>3</v>
      </c>
      <c r="F53" s="5"/>
      <c r="G53" s="4">
        <v>3</v>
      </c>
      <c r="H53" s="5">
        <f t="shared" si="1"/>
        <v>6</v>
      </c>
      <c r="I53" s="96"/>
      <c r="J53" s="99"/>
    </row>
    <row r="54" spans="1:10" hidden="1" x14ac:dyDescent="0.35">
      <c r="A54" t="s">
        <v>50</v>
      </c>
      <c r="B54" t="s">
        <v>14</v>
      </c>
      <c r="C54" t="s">
        <v>6</v>
      </c>
      <c r="E54" s="4">
        <v>2</v>
      </c>
      <c r="G54" s="4">
        <v>2</v>
      </c>
      <c r="H54" s="5">
        <f t="shared" si="1"/>
        <v>2</v>
      </c>
      <c r="I54" s="96"/>
      <c r="J54" s="99"/>
    </row>
    <row r="55" spans="1:10" hidden="1" x14ac:dyDescent="0.35">
      <c r="A55" t="s">
        <v>50</v>
      </c>
      <c r="B55" t="s">
        <v>15</v>
      </c>
      <c r="C55" t="s">
        <v>6</v>
      </c>
      <c r="E55" s="4">
        <v>1</v>
      </c>
      <c r="G55" s="4">
        <v>1</v>
      </c>
      <c r="H55" s="5">
        <f t="shared" si="1"/>
        <v>1</v>
      </c>
      <c r="I55" s="97"/>
      <c r="J55" s="100"/>
    </row>
    <row r="56" spans="1:10" x14ac:dyDescent="0.35">
      <c r="A56" t="s">
        <v>51</v>
      </c>
      <c r="B56" t="s">
        <v>6</v>
      </c>
      <c r="C56" t="s">
        <v>6</v>
      </c>
      <c r="E56" s="4">
        <v>9</v>
      </c>
      <c r="F56" s="4"/>
      <c r="G56" s="4">
        <v>9</v>
      </c>
      <c r="H56" s="5">
        <f t="shared" si="1"/>
        <v>9</v>
      </c>
      <c r="I56" s="95">
        <f>SUM(H56:H64)</f>
        <v>89</v>
      </c>
      <c r="J56" s="98">
        <f>I56/$I$1</f>
        <v>0.10987654320987654</v>
      </c>
    </row>
    <row r="57" spans="1:10" hidden="1" x14ac:dyDescent="0.35">
      <c r="A57" t="s">
        <v>51</v>
      </c>
      <c r="B57" t="s">
        <v>8</v>
      </c>
      <c r="C57" t="s">
        <v>6</v>
      </c>
      <c r="E57" s="4">
        <v>8</v>
      </c>
      <c r="F57" s="4"/>
      <c r="G57" s="4">
        <v>8</v>
      </c>
      <c r="H57" s="5">
        <f t="shared" si="1"/>
        <v>8</v>
      </c>
      <c r="I57" s="96"/>
      <c r="J57" s="99"/>
    </row>
    <row r="58" spans="1:10" hidden="1" x14ac:dyDescent="0.35">
      <c r="A58" t="s">
        <v>51</v>
      </c>
      <c r="B58" t="s">
        <v>10</v>
      </c>
      <c r="C58" t="s">
        <v>11</v>
      </c>
      <c r="E58" s="4">
        <v>7</v>
      </c>
      <c r="F58" s="4"/>
      <c r="G58" s="4">
        <v>7</v>
      </c>
      <c r="H58" s="5">
        <f t="shared" si="1"/>
        <v>42</v>
      </c>
      <c r="I58" s="96"/>
      <c r="J58" s="99"/>
    </row>
    <row r="59" spans="1:10" hidden="1" x14ac:dyDescent="0.35">
      <c r="A59" t="s">
        <v>51</v>
      </c>
      <c r="B59" t="s">
        <v>9</v>
      </c>
      <c r="C59" t="s">
        <v>6</v>
      </c>
      <c r="E59" s="4">
        <v>6</v>
      </c>
      <c r="F59" s="5"/>
      <c r="G59" s="4">
        <v>6</v>
      </c>
      <c r="H59" s="5">
        <f t="shared" si="1"/>
        <v>6</v>
      </c>
      <c r="I59" s="96"/>
      <c r="J59" s="99"/>
    </row>
    <row r="60" spans="1:10" hidden="1" x14ac:dyDescent="0.35">
      <c r="A60" t="s">
        <v>51</v>
      </c>
      <c r="B60" t="s">
        <v>7</v>
      </c>
      <c r="C60" t="s">
        <v>13</v>
      </c>
      <c r="E60" s="4">
        <v>5</v>
      </c>
      <c r="F60" s="5"/>
      <c r="G60" s="4">
        <v>5</v>
      </c>
      <c r="H60" s="5">
        <f t="shared" si="1"/>
        <v>0</v>
      </c>
      <c r="I60" s="96"/>
      <c r="J60" s="99"/>
    </row>
    <row r="61" spans="1:10" hidden="1" x14ac:dyDescent="0.35">
      <c r="A61" t="s">
        <v>51</v>
      </c>
      <c r="B61" t="s">
        <v>11</v>
      </c>
      <c r="C61" t="s">
        <v>13</v>
      </c>
      <c r="E61" s="4">
        <v>4</v>
      </c>
      <c r="F61" s="5"/>
      <c r="G61" s="4">
        <v>4</v>
      </c>
      <c r="H61" s="5">
        <f t="shared" si="1"/>
        <v>0</v>
      </c>
      <c r="I61" s="96"/>
      <c r="J61" s="99"/>
    </row>
    <row r="62" spans="1:10" hidden="1" x14ac:dyDescent="0.35">
      <c r="A62" t="s">
        <v>51</v>
      </c>
      <c r="B62" t="s">
        <v>12</v>
      </c>
      <c r="C62" t="s">
        <v>12</v>
      </c>
      <c r="E62" s="4">
        <v>3</v>
      </c>
      <c r="F62" s="5"/>
      <c r="G62" s="4">
        <v>3</v>
      </c>
      <c r="H62" s="5">
        <f t="shared" si="1"/>
        <v>21</v>
      </c>
      <c r="I62" s="96"/>
      <c r="J62" s="99"/>
    </row>
    <row r="63" spans="1:10" hidden="1" x14ac:dyDescent="0.35">
      <c r="A63" t="s">
        <v>51</v>
      </c>
      <c r="B63" t="s">
        <v>14</v>
      </c>
      <c r="C63" t="s">
        <v>6</v>
      </c>
      <c r="E63" s="4">
        <v>2</v>
      </c>
      <c r="G63" s="4">
        <v>2</v>
      </c>
      <c r="H63" s="5">
        <f t="shared" si="1"/>
        <v>2</v>
      </c>
      <c r="I63" s="96"/>
      <c r="J63" s="99"/>
    </row>
    <row r="64" spans="1:10" hidden="1" x14ac:dyDescent="0.35">
      <c r="A64" t="s">
        <v>51</v>
      </c>
      <c r="B64" t="s">
        <v>15</v>
      </c>
      <c r="C64" t="s">
        <v>6</v>
      </c>
      <c r="E64" s="4">
        <v>1</v>
      </c>
      <c r="G64" s="4">
        <v>1</v>
      </c>
      <c r="H64" s="5">
        <f t="shared" si="1"/>
        <v>1</v>
      </c>
      <c r="I64" s="97"/>
      <c r="J64" s="100"/>
    </row>
    <row r="65" spans="1:10" x14ac:dyDescent="0.35">
      <c r="A65" t="s">
        <v>52</v>
      </c>
      <c r="B65" t="s">
        <v>6</v>
      </c>
      <c r="C65" t="s">
        <v>8</v>
      </c>
      <c r="E65" s="4">
        <v>9</v>
      </c>
      <c r="F65" s="4"/>
      <c r="G65" s="4">
        <v>9</v>
      </c>
      <c r="H65" s="5">
        <f t="shared" si="1"/>
        <v>18</v>
      </c>
      <c r="I65" s="95">
        <f>SUM(H65:H73)</f>
        <v>55</v>
      </c>
      <c r="J65" s="98">
        <f>I65/$I$1</f>
        <v>6.7901234567901231E-2</v>
      </c>
    </row>
    <row r="66" spans="1:10" hidden="1" x14ac:dyDescent="0.35">
      <c r="A66" t="s">
        <v>52</v>
      </c>
      <c r="B66" t="s">
        <v>8</v>
      </c>
      <c r="C66" t="s">
        <v>13</v>
      </c>
      <c r="E66" s="4">
        <v>8</v>
      </c>
      <c r="F66" s="4"/>
      <c r="G66" s="4">
        <v>8</v>
      </c>
      <c r="H66" s="5">
        <f t="shared" si="1"/>
        <v>0</v>
      </c>
      <c r="I66" s="96"/>
      <c r="J66" s="99"/>
    </row>
    <row r="67" spans="1:10" hidden="1" x14ac:dyDescent="0.35">
      <c r="A67" t="s">
        <v>52</v>
      </c>
      <c r="B67" t="s">
        <v>10</v>
      </c>
      <c r="C67" t="s">
        <v>13</v>
      </c>
      <c r="E67" s="4">
        <v>7</v>
      </c>
      <c r="F67" s="4"/>
      <c r="G67" s="4">
        <v>7</v>
      </c>
      <c r="H67" s="5">
        <f t="shared" si="1"/>
        <v>0</v>
      </c>
      <c r="I67" s="96"/>
      <c r="J67" s="99"/>
    </row>
    <row r="68" spans="1:10" hidden="1" x14ac:dyDescent="0.35">
      <c r="A68" t="s">
        <v>52</v>
      </c>
      <c r="B68" t="s">
        <v>9</v>
      </c>
      <c r="C68" t="s">
        <v>8</v>
      </c>
      <c r="E68" s="4">
        <v>6</v>
      </c>
      <c r="F68" s="5"/>
      <c r="G68" s="4">
        <v>6</v>
      </c>
      <c r="H68" s="5">
        <f t="shared" si="1"/>
        <v>12</v>
      </c>
      <c r="I68" s="96"/>
      <c r="J68" s="99"/>
    </row>
    <row r="69" spans="1:10" hidden="1" x14ac:dyDescent="0.35">
      <c r="A69" t="s">
        <v>52</v>
      </c>
      <c r="B69" t="s">
        <v>7</v>
      </c>
      <c r="C69" t="s">
        <v>13</v>
      </c>
      <c r="E69" s="4">
        <v>5</v>
      </c>
      <c r="F69" s="5"/>
      <c r="G69" s="4">
        <v>5</v>
      </c>
      <c r="H69" s="5">
        <f t="shared" si="1"/>
        <v>0</v>
      </c>
      <c r="I69" s="96"/>
      <c r="J69" s="99"/>
    </row>
    <row r="70" spans="1:10" hidden="1" x14ac:dyDescent="0.35">
      <c r="A70" t="s">
        <v>52</v>
      </c>
      <c r="B70" t="s">
        <v>11</v>
      </c>
      <c r="C70" t="s">
        <v>13</v>
      </c>
      <c r="E70" s="4">
        <v>4</v>
      </c>
      <c r="F70" s="5"/>
      <c r="G70" s="4">
        <v>4</v>
      </c>
      <c r="H70" s="5">
        <f t="shared" si="1"/>
        <v>0</v>
      </c>
      <c r="I70" s="96"/>
      <c r="J70" s="99"/>
    </row>
    <row r="71" spans="1:10" hidden="1" x14ac:dyDescent="0.35">
      <c r="A71" t="s">
        <v>52</v>
      </c>
      <c r="B71" t="s">
        <v>12</v>
      </c>
      <c r="C71" t="s">
        <v>8</v>
      </c>
      <c r="E71" s="4">
        <v>3</v>
      </c>
      <c r="F71" s="5"/>
      <c r="G71" s="4">
        <v>3</v>
      </c>
      <c r="H71" s="5">
        <f t="shared" si="1"/>
        <v>6</v>
      </c>
      <c r="I71" s="96"/>
      <c r="J71" s="99"/>
    </row>
    <row r="72" spans="1:10" hidden="1" x14ac:dyDescent="0.35">
      <c r="A72" t="s">
        <v>52</v>
      </c>
      <c r="B72" t="s">
        <v>14</v>
      </c>
      <c r="C72" t="s">
        <v>12</v>
      </c>
      <c r="E72" s="4">
        <v>2</v>
      </c>
      <c r="G72" s="4">
        <v>2</v>
      </c>
      <c r="H72" s="5">
        <f t="shared" si="1"/>
        <v>14</v>
      </c>
      <c r="I72" s="96"/>
      <c r="J72" s="99"/>
    </row>
    <row r="73" spans="1:10" hidden="1" x14ac:dyDescent="0.35">
      <c r="A73" t="s">
        <v>52</v>
      </c>
      <c r="B73" t="s">
        <v>15</v>
      </c>
      <c r="C73" t="s">
        <v>7</v>
      </c>
      <c r="E73" s="4">
        <v>1</v>
      </c>
      <c r="G73" s="4">
        <v>1</v>
      </c>
      <c r="H73" s="5">
        <f t="shared" si="1"/>
        <v>5</v>
      </c>
      <c r="I73" s="97"/>
      <c r="J73" s="100"/>
    </row>
    <row r="74" spans="1:10" x14ac:dyDescent="0.35">
      <c r="A74" t="s">
        <v>53</v>
      </c>
      <c r="B74" t="s">
        <v>6</v>
      </c>
      <c r="C74" t="s">
        <v>13</v>
      </c>
      <c r="E74" s="4">
        <v>9</v>
      </c>
      <c r="F74" s="4"/>
      <c r="G74" s="4">
        <v>9</v>
      </c>
      <c r="H74" s="5">
        <f t="shared" si="1"/>
        <v>0</v>
      </c>
      <c r="I74" s="95">
        <f>SUM(H74:H82)</f>
        <v>47</v>
      </c>
      <c r="J74" s="98">
        <f>I74/$I$1</f>
        <v>5.802469135802469E-2</v>
      </c>
    </row>
    <row r="75" spans="1:10" hidden="1" x14ac:dyDescent="0.35">
      <c r="A75" t="s">
        <v>53</v>
      </c>
      <c r="B75" t="s">
        <v>8</v>
      </c>
      <c r="C75" t="s">
        <v>8</v>
      </c>
      <c r="E75" s="4">
        <v>8</v>
      </c>
      <c r="F75" s="4"/>
      <c r="G75" s="4">
        <v>8</v>
      </c>
      <c r="H75" s="5">
        <f t="shared" si="1"/>
        <v>16</v>
      </c>
      <c r="I75" s="96"/>
      <c r="J75" s="99"/>
    </row>
    <row r="76" spans="1:10" hidden="1" x14ac:dyDescent="0.35">
      <c r="A76" t="s">
        <v>53</v>
      </c>
      <c r="B76" t="s">
        <v>10</v>
      </c>
      <c r="C76" t="s">
        <v>13</v>
      </c>
      <c r="E76" s="4">
        <v>7</v>
      </c>
      <c r="F76" s="4"/>
      <c r="G76" s="4">
        <v>7</v>
      </c>
      <c r="H76" s="5">
        <f t="shared" ref="H76:H82" si="2">G76*C76</f>
        <v>0</v>
      </c>
      <c r="I76" s="96"/>
      <c r="J76" s="99"/>
    </row>
    <row r="77" spans="1:10" hidden="1" x14ac:dyDescent="0.35">
      <c r="A77" t="s">
        <v>53</v>
      </c>
      <c r="B77" t="s">
        <v>9</v>
      </c>
      <c r="C77" t="s">
        <v>13</v>
      </c>
      <c r="E77" s="4">
        <v>6</v>
      </c>
      <c r="F77" s="5"/>
      <c r="G77" s="4">
        <v>6</v>
      </c>
      <c r="H77" s="5">
        <f t="shared" si="2"/>
        <v>0</v>
      </c>
      <c r="I77" s="96"/>
      <c r="J77" s="99"/>
    </row>
    <row r="78" spans="1:10" hidden="1" x14ac:dyDescent="0.35">
      <c r="A78" t="s">
        <v>53</v>
      </c>
      <c r="B78" t="s">
        <v>7</v>
      </c>
      <c r="C78" t="s">
        <v>6</v>
      </c>
      <c r="E78" s="4">
        <v>5</v>
      </c>
      <c r="F78" s="5"/>
      <c r="G78" s="4">
        <v>5</v>
      </c>
      <c r="H78" s="5">
        <f t="shared" si="2"/>
        <v>5</v>
      </c>
      <c r="I78" s="96"/>
      <c r="J78" s="99"/>
    </row>
    <row r="79" spans="1:10" hidden="1" x14ac:dyDescent="0.35">
      <c r="A79" t="s">
        <v>53</v>
      </c>
      <c r="B79" t="s">
        <v>11</v>
      </c>
      <c r="C79" t="s">
        <v>8</v>
      </c>
      <c r="E79" s="4">
        <v>4</v>
      </c>
      <c r="F79" s="5"/>
      <c r="G79" s="4">
        <v>4</v>
      </c>
      <c r="H79" s="5">
        <f t="shared" si="2"/>
        <v>8</v>
      </c>
      <c r="I79" s="96"/>
      <c r="J79" s="99"/>
    </row>
    <row r="80" spans="1:10" hidden="1" x14ac:dyDescent="0.35">
      <c r="A80" t="s">
        <v>53</v>
      </c>
      <c r="B80" t="s">
        <v>12</v>
      </c>
      <c r="C80" t="s">
        <v>6</v>
      </c>
      <c r="E80" s="4">
        <v>3</v>
      </c>
      <c r="F80" s="5"/>
      <c r="G80" s="4">
        <v>3</v>
      </c>
      <c r="H80" s="5">
        <f t="shared" si="2"/>
        <v>3</v>
      </c>
      <c r="I80" s="96"/>
      <c r="J80" s="99"/>
    </row>
    <row r="81" spans="1:10" hidden="1" x14ac:dyDescent="0.35">
      <c r="A81" t="s">
        <v>53</v>
      </c>
      <c r="B81" t="s">
        <v>14</v>
      </c>
      <c r="C81" t="s">
        <v>10</v>
      </c>
      <c r="E81" s="4">
        <v>2</v>
      </c>
      <c r="G81" s="4">
        <v>2</v>
      </c>
      <c r="H81" s="5">
        <f t="shared" si="2"/>
        <v>6</v>
      </c>
      <c r="I81" s="96"/>
      <c r="J81" s="99"/>
    </row>
    <row r="82" spans="1:10" hidden="1" x14ac:dyDescent="0.35">
      <c r="A82" t="s">
        <v>53</v>
      </c>
      <c r="B82" t="s">
        <v>15</v>
      </c>
      <c r="C82" t="s">
        <v>15</v>
      </c>
      <c r="E82" s="4">
        <v>1</v>
      </c>
      <c r="G82" s="4">
        <v>1</v>
      </c>
      <c r="H82" s="5">
        <f t="shared" si="2"/>
        <v>9</v>
      </c>
      <c r="I82" s="97"/>
      <c r="J82" s="100"/>
    </row>
  </sheetData>
  <autoFilter ref="A1:J82" xr:uid="{E148D57E-FBE2-4D21-BE99-633031052529}">
    <filterColumn colId="1">
      <filters>
        <filter val="1"/>
      </filters>
    </filterColumn>
  </autoFilter>
  <mergeCells count="18">
    <mergeCell ref="I29:I37"/>
    <mergeCell ref="J29:J37"/>
    <mergeCell ref="I65:I73"/>
    <mergeCell ref="J65:J73"/>
    <mergeCell ref="I74:I82"/>
    <mergeCell ref="J74:J82"/>
    <mergeCell ref="I38:I46"/>
    <mergeCell ref="J38:J46"/>
    <mergeCell ref="I47:I55"/>
    <mergeCell ref="J47:J55"/>
    <mergeCell ref="I56:I64"/>
    <mergeCell ref="J56:J64"/>
    <mergeCell ref="I2:I10"/>
    <mergeCell ref="J2:J10"/>
    <mergeCell ref="I11:I19"/>
    <mergeCell ref="J11:J19"/>
    <mergeCell ref="I20:I28"/>
    <mergeCell ref="J20:J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B91E9-D6BE-4BF5-803E-6D7E93A485CF}">
  <sheetPr filterMode="1"/>
  <dimension ref="A1:J17"/>
  <sheetViews>
    <sheetView workbookViewId="0">
      <selection activeCell="J6" sqref="J6:J9"/>
    </sheetView>
  </sheetViews>
  <sheetFormatPr baseColWidth="10" defaultColWidth="10.81640625" defaultRowHeight="14.5" x14ac:dyDescent="0.35"/>
  <cols>
    <col min="1" max="1" width="59.1796875" style="14" bestFit="1" customWidth="1"/>
    <col min="2" max="16384" width="10.81640625" style="14"/>
  </cols>
  <sheetData>
    <row r="1" spans="1:10" ht="29" x14ac:dyDescent="0.35">
      <c r="A1" s="3" t="s">
        <v>0</v>
      </c>
      <c r="B1" s="3" t="s">
        <v>1</v>
      </c>
      <c r="C1" s="3" t="s">
        <v>2</v>
      </c>
      <c r="D1" s="3"/>
      <c r="E1" s="3" t="s">
        <v>3</v>
      </c>
      <c r="F1" s="3"/>
      <c r="G1" s="3" t="s">
        <v>4</v>
      </c>
      <c r="H1" s="13">
        <f>SUM(C2:C5)</f>
        <v>0</v>
      </c>
      <c r="I1" s="13">
        <f>SUM(I2:I26)</f>
        <v>180</v>
      </c>
      <c r="J1" s="3"/>
    </row>
    <row r="2" spans="1:10" x14ac:dyDescent="0.35">
      <c r="A2" s="3" t="s">
        <v>54</v>
      </c>
      <c r="B2" s="3" t="s">
        <v>6</v>
      </c>
      <c r="C2" s="3" t="s">
        <v>7</v>
      </c>
      <c r="D2" s="3"/>
      <c r="E2" s="3">
        <v>4</v>
      </c>
      <c r="F2" s="3"/>
      <c r="G2" s="3">
        <v>4</v>
      </c>
      <c r="H2" s="3">
        <f>G2*C2</f>
        <v>20</v>
      </c>
      <c r="I2" s="101">
        <f>SUM(H2:H5)</f>
        <v>47</v>
      </c>
      <c r="J2" s="102">
        <f>I2/$I$1</f>
        <v>0.26111111111111113</v>
      </c>
    </row>
    <row r="3" spans="1:10" hidden="1" x14ac:dyDescent="0.35">
      <c r="A3" s="3" t="s">
        <v>54</v>
      </c>
      <c r="B3" s="3" t="s">
        <v>8</v>
      </c>
      <c r="C3" s="3" t="s">
        <v>11</v>
      </c>
      <c r="D3" s="3"/>
      <c r="E3" s="3">
        <v>3</v>
      </c>
      <c r="F3" s="3"/>
      <c r="G3" s="3">
        <v>3</v>
      </c>
      <c r="H3" s="3">
        <f>G3*C3</f>
        <v>18</v>
      </c>
      <c r="I3" s="101"/>
      <c r="J3" s="102"/>
    </row>
    <row r="4" spans="1:10" hidden="1" x14ac:dyDescent="0.35">
      <c r="A4" s="3" t="s">
        <v>54</v>
      </c>
      <c r="B4" s="3" t="s">
        <v>10</v>
      </c>
      <c r="C4" s="3" t="s">
        <v>8</v>
      </c>
      <c r="D4" s="3"/>
      <c r="E4" s="3">
        <v>2</v>
      </c>
      <c r="F4" s="3"/>
      <c r="G4" s="3">
        <v>2</v>
      </c>
      <c r="H4" s="3">
        <f>G4*C4</f>
        <v>4</v>
      </c>
      <c r="I4" s="101"/>
      <c r="J4" s="102"/>
    </row>
    <row r="5" spans="1:10" hidden="1" x14ac:dyDescent="0.35">
      <c r="A5" s="3" t="s">
        <v>54</v>
      </c>
      <c r="B5" s="3" t="s">
        <v>9</v>
      </c>
      <c r="C5" s="3" t="s">
        <v>7</v>
      </c>
      <c r="D5" s="3"/>
      <c r="E5" s="3">
        <v>1</v>
      </c>
      <c r="F5" s="3"/>
      <c r="G5" s="3">
        <v>1</v>
      </c>
      <c r="H5" s="3">
        <f>G5*C5</f>
        <v>5</v>
      </c>
      <c r="I5" s="101"/>
      <c r="J5" s="102"/>
    </row>
    <row r="6" spans="1:10" x14ac:dyDescent="0.35">
      <c r="A6" s="3" t="s">
        <v>55</v>
      </c>
      <c r="B6" s="3" t="s">
        <v>6</v>
      </c>
      <c r="C6" s="3" t="s">
        <v>11</v>
      </c>
      <c r="D6" s="3"/>
      <c r="E6" s="3">
        <v>4</v>
      </c>
      <c r="F6" s="3"/>
      <c r="G6" s="3">
        <v>4</v>
      </c>
      <c r="H6" s="3">
        <f t="shared" ref="H6:H17" si="0">G6*C6</f>
        <v>24</v>
      </c>
      <c r="I6" s="101">
        <f>SUM(H6:H9)</f>
        <v>50</v>
      </c>
      <c r="J6" s="102">
        <f>I6/$I$1</f>
        <v>0.27777777777777779</v>
      </c>
    </row>
    <row r="7" spans="1:10" hidden="1" x14ac:dyDescent="0.35">
      <c r="A7" s="3" t="s">
        <v>55</v>
      </c>
      <c r="B7" s="3" t="s">
        <v>8</v>
      </c>
      <c r="C7" s="3" t="s">
        <v>8</v>
      </c>
      <c r="D7" s="3"/>
      <c r="E7" s="3">
        <v>3</v>
      </c>
      <c r="F7" s="3"/>
      <c r="G7" s="3">
        <v>3</v>
      </c>
      <c r="H7" s="3">
        <f t="shared" si="0"/>
        <v>6</v>
      </c>
      <c r="I7" s="101"/>
      <c r="J7" s="102"/>
    </row>
    <row r="8" spans="1:10" hidden="1" x14ac:dyDescent="0.35">
      <c r="A8" s="3" t="s">
        <v>55</v>
      </c>
      <c r="B8" s="3" t="s">
        <v>10</v>
      </c>
      <c r="C8" s="3" t="s">
        <v>16</v>
      </c>
      <c r="D8" s="3"/>
      <c r="E8" s="3">
        <v>2</v>
      </c>
      <c r="F8" s="3"/>
      <c r="G8" s="3">
        <v>2</v>
      </c>
      <c r="H8" s="3">
        <f t="shared" si="0"/>
        <v>20</v>
      </c>
      <c r="I8" s="101"/>
      <c r="J8" s="102"/>
    </row>
    <row r="9" spans="1:10" hidden="1" x14ac:dyDescent="0.35">
      <c r="A9" s="3" t="s">
        <v>55</v>
      </c>
      <c r="B9" s="3" t="s">
        <v>9</v>
      </c>
      <c r="C9" s="3" t="s">
        <v>13</v>
      </c>
      <c r="D9" s="3"/>
      <c r="E9" s="3">
        <v>1</v>
      </c>
      <c r="F9" s="3"/>
      <c r="G9" s="3">
        <v>1</v>
      </c>
      <c r="H9" s="3">
        <f t="shared" si="0"/>
        <v>0</v>
      </c>
      <c r="I9" s="101"/>
      <c r="J9" s="102"/>
    </row>
    <row r="10" spans="1:10" x14ac:dyDescent="0.35">
      <c r="A10" s="3" t="s">
        <v>56</v>
      </c>
      <c r="B10" s="3" t="s">
        <v>6</v>
      </c>
      <c r="C10" s="3" t="s">
        <v>8</v>
      </c>
      <c r="D10" s="3"/>
      <c r="E10" s="3">
        <v>4</v>
      </c>
      <c r="F10" s="3"/>
      <c r="G10" s="3">
        <v>4</v>
      </c>
      <c r="H10" s="3">
        <f t="shared" si="0"/>
        <v>8</v>
      </c>
      <c r="I10" s="101">
        <f>SUM(H10:H13)</f>
        <v>38</v>
      </c>
      <c r="J10" s="102">
        <f>I10/$I$1</f>
        <v>0.21111111111111111</v>
      </c>
    </row>
    <row r="11" spans="1:10" hidden="1" x14ac:dyDescent="0.35">
      <c r="A11" s="3" t="s">
        <v>56</v>
      </c>
      <c r="B11" s="3" t="s">
        <v>8</v>
      </c>
      <c r="C11" s="3" t="s">
        <v>11</v>
      </c>
      <c r="D11" s="3"/>
      <c r="E11" s="3">
        <v>3</v>
      </c>
      <c r="F11" s="3"/>
      <c r="G11" s="3">
        <v>3</v>
      </c>
      <c r="H11" s="3">
        <f t="shared" si="0"/>
        <v>18</v>
      </c>
      <c r="I11" s="101"/>
      <c r="J11" s="102"/>
    </row>
    <row r="12" spans="1:10" hidden="1" x14ac:dyDescent="0.35">
      <c r="A12" s="3" t="s">
        <v>56</v>
      </c>
      <c r="B12" s="3" t="s">
        <v>10</v>
      </c>
      <c r="C12" s="3" t="s">
        <v>8</v>
      </c>
      <c r="D12" s="3"/>
      <c r="E12" s="3">
        <v>2</v>
      </c>
      <c r="F12" s="3"/>
      <c r="G12" s="3">
        <v>2</v>
      </c>
      <c r="H12" s="3">
        <f t="shared" si="0"/>
        <v>4</v>
      </c>
      <c r="I12" s="101"/>
      <c r="J12" s="102"/>
    </row>
    <row r="13" spans="1:10" hidden="1" x14ac:dyDescent="0.35">
      <c r="A13" s="3" t="s">
        <v>56</v>
      </c>
      <c r="B13" s="3" t="s">
        <v>9</v>
      </c>
      <c r="C13" s="3" t="s">
        <v>14</v>
      </c>
      <c r="D13" s="3"/>
      <c r="E13" s="3">
        <v>1</v>
      </c>
      <c r="F13" s="3"/>
      <c r="G13" s="3">
        <v>1</v>
      </c>
      <c r="H13" s="3">
        <f t="shared" si="0"/>
        <v>8</v>
      </c>
      <c r="I13" s="101"/>
      <c r="J13" s="102"/>
    </row>
    <row r="14" spans="1:10" x14ac:dyDescent="0.35">
      <c r="A14" s="3" t="s">
        <v>57</v>
      </c>
      <c r="B14" s="3" t="s">
        <v>6</v>
      </c>
      <c r="C14" s="3" t="s">
        <v>7</v>
      </c>
      <c r="D14" s="3"/>
      <c r="E14" s="3">
        <v>4</v>
      </c>
      <c r="F14" s="3"/>
      <c r="G14" s="3">
        <v>4</v>
      </c>
      <c r="H14" s="3">
        <f t="shared" si="0"/>
        <v>20</v>
      </c>
      <c r="I14" s="101">
        <f>SUM(H14:H17)</f>
        <v>45</v>
      </c>
      <c r="J14" s="102">
        <f>I14/$I$1</f>
        <v>0.25</v>
      </c>
    </row>
    <row r="15" spans="1:10" hidden="1" x14ac:dyDescent="0.35">
      <c r="A15" s="3" t="s">
        <v>57</v>
      </c>
      <c r="B15" s="3" t="s">
        <v>8</v>
      </c>
      <c r="C15" s="3" t="s">
        <v>9</v>
      </c>
      <c r="D15" s="3"/>
      <c r="E15" s="3">
        <v>3</v>
      </c>
      <c r="F15" s="3"/>
      <c r="G15" s="3">
        <v>3</v>
      </c>
      <c r="H15" s="3">
        <f t="shared" si="0"/>
        <v>12</v>
      </c>
      <c r="I15" s="101"/>
      <c r="J15" s="102"/>
    </row>
    <row r="16" spans="1:10" hidden="1" x14ac:dyDescent="0.35">
      <c r="A16" s="3" t="s">
        <v>57</v>
      </c>
      <c r="B16" s="3" t="s">
        <v>10</v>
      </c>
      <c r="C16" s="3" t="s">
        <v>9</v>
      </c>
      <c r="D16" s="3"/>
      <c r="E16" s="3">
        <v>2</v>
      </c>
      <c r="F16" s="3"/>
      <c r="G16" s="3">
        <v>2</v>
      </c>
      <c r="H16" s="3">
        <f t="shared" si="0"/>
        <v>8</v>
      </c>
      <c r="I16" s="101"/>
      <c r="J16" s="102"/>
    </row>
    <row r="17" spans="1:10" hidden="1" x14ac:dyDescent="0.35">
      <c r="A17" s="3" t="s">
        <v>57</v>
      </c>
      <c r="B17" s="3" t="s">
        <v>9</v>
      </c>
      <c r="C17" s="3" t="s">
        <v>7</v>
      </c>
      <c r="D17" s="3"/>
      <c r="E17" s="3">
        <v>1</v>
      </c>
      <c r="F17" s="3"/>
      <c r="G17" s="3">
        <v>1</v>
      </c>
      <c r="H17" s="3">
        <f t="shared" si="0"/>
        <v>5</v>
      </c>
      <c r="I17" s="101"/>
      <c r="J17" s="102"/>
    </row>
  </sheetData>
  <autoFilter ref="A1:J17" xr:uid="{35FB91E9-D6BE-4BF5-803E-6D7E93A485CF}">
    <filterColumn colId="1">
      <filters>
        <filter val="1"/>
      </filters>
    </filterColumn>
  </autoFilter>
  <mergeCells count="8">
    <mergeCell ref="I10:I13"/>
    <mergeCell ref="J10:J13"/>
    <mergeCell ref="I14:I17"/>
    <mergeCell ref="J14:J17"/>
    <mergeCell ref="I2:I5"/>
    <mergeCell ref="J2:J5"/>
    <mergeCell ref="I6:I9"/>
    <mergeCell ref="J6: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1D10D-69B1-499D-BC1C-91EA8189A6D7}">
  <dimension ref="A1:J10"/>
  <sheetViews>
    <sheetView workbookViewId="0">
      <selection activeCell="A8" sqref="A8"/>
    </sheetView>
  </sheetViews>
  <sheetFormatPr baseColWidth="10" defaultColWidth="11.453125" defaultRowHeight="14.5" x14ac:dyDescent="0.35"/>
  <cols>
    <col min="1" max="1" width="66.1796875" bestFit="1" customWidth="1"/>
  </cols>
  <sheetData>
    <row r="1" spans="1:10" ht="29" x14ac:dyDescent="0.35">
      <c r="A1" s="12" t="s">
        <v>0</v>
      </c>
      <c r="B1" s="3" t="s">
        <v>1</v>
      </c>
      <c r="C1" s="3" t="s">
        <v>2</v>
      </c>
      <c r="D1" s="3"/>
      <c r="E1" s="3" t="s">
        <v>3</v>
      </c>
      <c r="F1" s="4"/>
      <c r="G1" s="4" t="s">
        <v>4</v>
      </c>
      <c r="H1" s="6">
        <f>SUM(C2:C4)</f>
        <v>0</v>
      </c>
      <c r="I1" s="6">
        <f>SUM(I2:I26)</f>
        <v>138</v>
      </c>
      <c r="J1" s="8"/>
    </row>
    <row r="2" spans="1:10" x14ac:dyDescent="0.35">
      <c r="A2" s="8" t="s">
        <v>58</v>
      </c>
      <c r="B2" s="8" t="s">
        <v>6</v>
      </c>
      <c r="C2" s="8" t="s">
        <v>7</v>
      </c>
      <c r="D2" s="8"/>
      <c r="E2" s="4">
        <v>3</v>
      </c>
      <c r="F2" s="4"/>
      <c r="G2" s="4">
        <v>3</v>
      </c>
      <c r="H2" s="8">
        <f>G2*C2</f>
        <v>15</v>
      </c>
      <c r="I2" s="89">
        <f>SUM(H2:H5)</f>
        <v>48</v>
      </c>
      <c r="J2" s="90">
        <f>I2/$I$1</f>
        <v>0.34782608695652173</v>
      </c>
    </row>
    <row r="3" spans="1:10" x14ac:dyDescent="0.35">
      <c r="A3" s="8" t="s">
        <v>58</v>
      </c>
      <c r="B3" s="8" t="s">
        <v>8</v>
      </c>
      <c r="C3" s="8" t="s">
        <v>11</v>
      </c>
      <c r="D3" s="8"/>
      <c r="E3" s="4">
        <v>2</v>
      </c>
      <c r="F3" s="4"/>
      <c r="G3" s="4">
        <v>2</v>
      </c>
      <c r="H3" s="8">
        <f>G3*C3</f>
        <v>12</v>
      </c>
      <c r="I3" s="89"/>
      <c r="J3" s="90"/>
    </row>
    <row r="4" spans="1:10" x14ac:dyDescent="0.35">
      <c r="A4" s="8" t="s">
        <v>58</v>
      </c>
      <c r="B4" s="8" t="s">
        <v>10</v>
      </c>
      <c r="C4" s="8" t="s">
        <v>11</v>
      </c>
      <c r="D4" s="8"/>
      <c r="E4" s="4">
        <v>1</v>
      </c>
      <c r="F4" s="4"/>
      <c r="G4" s="4">
        <v>1</v>
      </c>
      <c r="H4" s="8">
        <f>G4*C4</f>
        <v>6</v>
      </c>
      <c r="I4" s="89"/>
      <c r="J4" s="90"/>
    </row>
    <row r="5" spans="1:10" x14ac:dyDescent="0.35">
      <c r="A5" s="8" t="s">
        <v>59</v>
      </c>
      <c r="B5" s="8" t="s">
        <v>6</v>
      </c>
      <c r="C5" s="8" t="s">
        <v>7</v>
      </c>
      <c r="D5" s="8"/>
      <c r="E5" s="4">
        <v>3</v>
      </c>
      <c r="F5" s="4"/>
      <c r="G5" s="4">
        <v>3</v>
      </c>
      <c r="H5" s="8">
        <f t="shared" ref="H5:H10" si="0">G5*C5</f>
        <v>15</v>
      </c>
      <c r="I5" s="89">
        <f>SUM(H5:H8)</f>
        <v>56</v>
      </c>
      <c r="J5" s="90">
        <f>I5/$I$1</f>
        <v>0.40579710144927539</v>
      </c>
    </row>
    <row r="6" spans="1:10" x14ac:dyDescent="0.35">
      <c r="A6" s="8" t="s">
        <v>59</v>
      </c>
      <c r="B6" s="8" t="s">
        <v>8</v>
      </c>
      <c r="C6" s="8" t="s">
        <v>14</v>
      </c>
      <c r="D6" s="8"/>
      <c r="E6" s="4">
        <v>2</v>
      </c>
      <c r="F6" s="4"/>
      <c r="G6" s="4">
        <v>2</v>
      </c>
      <c r="H6" s="8">
        <f t="shared" si="0"/>
        <v>16</v>
      </c>
      <c r="I6" s="89"/>
      <c r="J6" s="90"/>
    </row>
    <row r="7" spans="1:10" x14ac:dyDescent="0.35">
      <c r="A7" s="8" t="s">
        <v>59</v>
      </c>
      <c r="B7" s="8" t="s">
        <v>10</v>
      </c>
      <c r="C7" s="8" t="s">
        <v>9</v>
      </c>
      <c r="D7" s="8"/>
      <c r="E7" s="4">
        <v>1</v>
      </c>
      <c r="F7" s="4"/>
      <c r="G7" s="4">
        <v>1</v>
      </c>
      <c r="H7" s="8">
        <f t="shared" si="0"/>
        <v>4</v>
      </c>
      <c r="I7" s="89"/>
      <c r="J7" s="90"/>
    </row>
    <row r="8" spans="1:10" x14ac:dyDescent="0.35">
      <c r="A8" s="8" t="s">
        <v>60</v>
      </c>
      <c r="B8" s="8" t="s">
        <v>6</v>
      </c>
      <c r="C8" s="8" t="s">
        <v>12</v>
      </c>
      <c r="D8" s="8"/>
      <c r="E8" s="4">
        <v>3</v>
      </c>
      <c r="F8" s="4"/>
      <c r="G8" s="4">
        <v>3</v>
      </c>
      <c r="H8" s="8">
        <f t="shared" si="0"/>
        <v>21</v>
      </c>
      <c r="I8" s="89">
        <f>SUM(H8:H11)</f>
        <v>34</v>
      </c>
      <c r="J8" s="90">
        <f>I8/$I$1</f>
        <v>0.24637681159420291</v>
      </c>
    </row>
    <row r="9" spans="1:10" x14ac:dyDescent="0.35">
      <c r="A9" s="8" t="s">
        <v>60</v>
      </c>
      <c r="B9" s="8" t="s">
        <v>8</v>
      </c>
      <c r="C9" s="8" t="s">
        <v>10</v>
      </c>
      <c r="D9" s="8"/>
      <c r="E9" s="4">
        <v>2</v>
      </c>
      <c r="F9" s="4"/>
      <c r="G9" s="4">
        <v>2</v>
      </c>
      <c r="H9" s="8">
        <f t="shared" si="0"/>
        <v>6</v>
      </c>
      <c r="I9" s="89"/>
      <c r="J9" s="90"/>
    </row>
    <row r="10" spans="1:10" x14ac:dyDescent="0.35">
      <c r="A10" s="8" t="s">
        <v>60</v>
      </c>
      <c r="B10" s="8" t="s">
        <v>10</v>
      </c>
      <c r="C10" s="8" t="s">
        <v>12</v>
      </c>
      <c r="D10" s="8"/>
      <c r="E10" s="4">
        <v>1</v>
      </c>
      <c r="F10" s="4"/>
      <c r="G10" s="4">
        <v>1</v>
      </c>
      <c r="H10" s="8">
        <f t="shared" si="0"/>
        <v>7</v>
      </c>
      <c r="I10" s="89"/>
      <c r="J10" s="90"/>
    </row>
  </sheetData>
  <mergeCells count="6">
    <mergeCell ref="I8:I10"/>
    <mergeCell ref="J8:J10"/>
    <mergeCell ref="I2:I4"/>
    <mergeCell ref="J2:J4"/>
    <mergeCell ref="I5:I7"/>
    <mergeCell ref="J5:J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88AF6-A367-4F01-B200-08450CDD79BA}">
  <dimension ref="A1:J5"/>
  <sheetViews>
    <sheetView workbookViewId="0">
      <selection activeCell="A3" sqref="A3:A4"/>
    </sheetView>
  </sheetViews>
  <sheetFormatPr baseColWidth="10" defaultColWidth="11.453125" defaultRowHeight="14.5" x14ac:dyDescent="0.35"/>
  <sheetData>
    <row r="1" spans="1:10" ht="72.5" x14ac:dyDescent="0.35">
      <c r="A1" s="2" t="s">
        <v>0</v>
      </c>
      <c r="B1" s="3" t="s">
        <v>1</v>
      </c>
      <c r="C1" s="3" t="s">
        <v>2</v>
      </c>
      <c r="D1" s="3"/>
      <c r="E1" s="3" t="s">
        <v>3</v>
      </c>
      <c r="F1" s="4"/>
      <c r="G1" s="4" t="s">
        <v>4</v>
      </c>
      <c r="H1" s="6">
        <f>SUM(C2:C3)</f>
        <v>0</v>
      </c>
      <c r="I1" s="6">
        <f>SUM(I2:I5)</f>
        <v>45</v>
      </c>
    </row>
    <row r="2" spans="1:10" x14ac:dyDescent="0.35">
      <c r="A2" t="s">
        <v>61</v>
      </c>
      <c r="B2" t="s">
        <v>6</v>
      </c>
      <c r="C2" t="s">
        <v>15</v>
      </c>
      <c r="E2" s="4">
        <v>2</v>
      </c>
      <c r="F2" s="4"/>
      <c r="G2" s="4">
        <f>IF(C2&gt;=1,E2,0)</f>
        <v>2</v>
      </c>
      <c r="H2" s="5">
        <f>G2*C2</f>
        <v>18</v>
      </c>
      <c r="I2" s="91">
        <f>SUM(H2:H3)</f>
        <v>24</v>
      </c>
      <c r="J2" s="93">
        <f>I2/$I$1</f>
        <v>0.53333333333333333</v>
      </c>
    </row>
    <row r="3" spans="1:10" x14ac:dyDescent="0.35">
      <c r="A3" t="s">
        <v>61</v>
      </c>
      <c r="B3" t="s">
        <v>8</v>
      </c>
      <c r="C3" t="s">
        <v>11</v>
      </c>
      <c r="E3" s="4">
        <v>1</v>
      </c>
      <c r="F3" s="4"/>
      <c r="G3" s="4">
        <f>IF(C3&gt;=1,E3,0)</f>
        <v>1</v>
      </c>
      <c r="H3" s="5">
        <f>G3*C3</f>
        <v>6</v>
      </c>
      <c r="I3" s="92"/>
      <c r="J3" s="94"/>
    </row>
    <row r="4" spans="1:10" x14ac:dyDescent="0.35">
      <c r="A4" t="s">
        <v>62</v>
      </c>
      <c r="B4" t="s">
        <v>6</v>
      </c>
      <c r="C4" t="s">
        <v>11</v>
      </c>
      <c r="E4" s="4">
        <v>2</v>
      </c>
      <c r="F4" s="4"/>
      <c r="G4" s="4">
        <f>IF(C4&gt;=1,E4,0)</f>
        <v>2</v>
      </c>
      <c r="H4" s="5">
        <f>G4*C4</f>
        <v>12</v>
      </c>
      <c r="I4" s="91">
        <f>SUM(H4:H5)</f>
        <v>21</v>
      </c>
      <c r="J4" s="93">
        <f>I4/$I$1</f>
        <v>0.46666666666666667</v>
      </c>
    </row>
    <row r="5" spans="1:10" x14ac:dyDescent="0.35">
      <c r="A5" t="s">
        <v>62</v>
      </c>
      <c r="B5" t="s">
        <v>8</v>
      </c>
      <c r="C5" t="s">
        <v>15</v>
      </c>
      <c r="E5" s="4">
        <v>1</v>
      </c>
      <c r="F5" s="4"/>
      <c r="G5" s="4">
        <f>IF(C5&gt;=1,E5,0)</f>
        <v>1</v>
      </c>
      <c r="H5" s="5">
        <f>G5*C5</f>
        <v>9</v>
      </c>
      <c r="I5" s="92"/>
      <c r="J5" s="94"/>
    </row>
  </sheetData>
  <mergeCells count="4">
    <mergeCell ref="I2:I3"/>
    <mergeCell ref="J2:J3"/>
    <mergeCell ref="I4:I5"/>
    <mergeCell ref="J4:J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64FF7-11A5-4320-992F-4A9DC5565CAC}">
  <dimension ref="A1:J5"/>
  <sheetViews>
    <sheetView workbookViewId="0">
      <selection activeCell="A3" sqref="A3:A4"/>
    </sheetView>
  </sheetViews>
  <sheetFormatPr baseColWidth="10" defaultColWidth="11.453125" defaultRowHeight="14.5" x14ac:dyDescent="0.35"/>
  <sheetData>
    <row r="1" spans="1:10" ht="72.5" x14ac:dyDescent="0.35">
      <c r="A1" s="2" t="s">
        <v>0</v>
      </c>
      <c r="B1" s="3" t="s">
        <v>1</v>
      </c>
      <c r="C1" s="3" t="s">
        <v>2</v>
      </c>
      <c r="D1" s="3"/>
      <c r="E1" s="3" t="s">
        <v>3</v>
      </c>
      <c r="F1" s="4"/>
      <c r="G1" s="4" t="s">
        <v>4</v>
      </c>
      <c r="H1" s="6">
        <f>SUM(C2:C3)</f>
        <v>0</v>
      </c>
      <c r="I1" s="6">
        <f>SUM(I2:I5)</f>
        <v>42</v>
      </c>
    </row>
    <row r="2" spans="1:10" x14ac:dyDescent="0.35">
      <c r="A2" t="s">
        <v>63</v>
      </c>
      <c r="B2" t="s">
        <v>6</v>
      </c>
      <c r="C2" t="s">
        <v>15</v>
      </c>
      <c r="E2" s="4">
        <v>2</v>
      </c>
      <c r="F2" s="4"/>
      <c r="G2" s="4">
        <f>IF(C2&gt;=1,E2,0)</f>
        <v>2</v>
      </c>
      <c r="H2" s="5">
        <f>G2*C2</f>
        <v>18</v>
      </c>
      <c r="I2" s="91">
        <f>SUM(H2:H3)</f>
        <v>23</v>
      </c>
      <c r="J2" s="93">
        <f>I2/$I$1</f>
        <v>0.54761904761904767</v>
      </c>
    </row>
    <row r="3" spans="1:10" x14ac:dyDescent="0.35">
      <c r="A3" t="s">
        <v>63</v>
      </c>
      <c r="B3" t="s">
        <v>8</v>
      </c>
      <c r="C3" t="s">
        <v>7</v>
      </c>
      <c r="E3" s="4">
        <v>1</v>
      </c>
      <c r="F3" s="4"/>
      <c r="G3" s="4">
        <f>IF(C3&gt;=1,E3,0)</f>
        <v>1</v>
      </c>
      <c r="H3" s="5">
        <f>G3*C3</f>
        <v>5</v>
      </c>
      <c r="I3" s="92"/>
      <c r="J3" s="94"/>
    </row>
    <row r="4" spans="1:10" x14ac:dyDescent="0.35">
      <c r="A4" t="s">
        <v>64</v>
      </c>
      <c r="B4" t="s">
        <v>6</v>
      </c>
      <c r="C4" t="s">
        <v>7</v>
      </c>
      <c r="E4" s="4">
        <v>2</v>
      </c>
      <c r="F4" s="4"/>
      <c r="G4" s="4">
        <f>IF(C4&gt;=1,E4,0)</f>
        <v>2</v>
      </c>
      <c r="H4" s="5">
        <f>G4*C4</f>
        <v>10</v>
      </c>
      <c r="I4" s="91">
        <f>SUM(H4:H5)</f>
        <v>19</v>
      </c>
      <c r="J4" s="93">
        <f>I4/$I$1</f>
        <v>0.45238095238095238</v>
      </c>
    </row>
    <row r="5" spans="1:10" x14ac:dyDescent="0.35">
      <c r="A5" t="s">
        <v>64</v>
      </c>
      <c r="B5" t="s">
        <v>8</v>
      </c>
      <c r="C5" t="s">
        <v>15</v>
      </c>
      <c r="E5" s="4">
        <v>1</v>
      </c>
      <c r="F5" s="4"/>
      <c r="G5" s="4">
        <f>IF(C5&gt;=1,E5,0)</f>
        <v>1</v>
      </c>
      <c r="H5" s="5">
        <f>G5*C5</f>
        <v>9</v>
      </c>
      <c r="I5" s="92"/>
      <c r="J5" s="94"/>
    </row>
  </sheetData>
  <mergeCells count="4">
    <mergeCell ref="I2:I3"/>
    <mergeCell ref="J2:J3"/>
    <mergeCell ref="I4:I5"/>
    <mergeCell ref="J4:J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E5BAC-7F1C-4484-9B4D-570FB5C9667A}">
  <dimension ref="A1:J10"/>
  <sheetViews>
    <sheetView workbookViewId="0">
      <selection activeCell="A8" sqref="A8"/>
    </sheetView>
  </sheetViews>
  <sheetFormatPr baseColWidth="10" defaultColWidth="11.453125" defaultRowHeight="14.5" x14ac:dyDescent="0.35"/>
  <cols>
    <col min="1" max="1" width="43" bestFit="1" customWidth="1"/>
  </cols>
  <sheetData>
    <row r="1" spans="1:10" ht="29" x14ac:dyDescent="0.35">
      <c r="A1" s="12" t="s">
        <v>0</v>
      </c>
      <c r="B1" s="3" t="s">
        <v>1</v>
      </c>
      <c r="C1" s="3" t="s">
        <v>2</v>
      </c>
      <c r="D1" s="3"/>
      <c r="E1" s="3" t="s">
        <v>3</v>
      </c>
      <c r="F1" s="4"/>
      <c r="G1" s="4" t="s">
        <v>4</v>
      </c>
      <c r="H1" s="6">
        <f>SUM(C2:C4)</f>
        <v>0</v>
      </c>
      <c r="I1" s="6">
        <f>SUM(I2:I26)</f>
        <v>138</v>
      </c>
      <c r="J1" s="8"/>
    </row>
    <row r="2" spans="1:10" x14ac:dyDescent="0.35">
      <c r="A2" t="s">
        <v>65</v>
      </c>
      <c r="B2" t="s">
        <v>6</v>
      </c>
      <c r="C2" t="s">
        <v>14</v>
      </c>
      <c r="D2" s="8"/>
      <c r="E2" s="4">
        <v>3</v>
      </c>
      <c r="F2" s="4"/>
      <c r="G2" s="4">
        <v>3</v>
      </c>
      <c r="H2" s="8">
        <f>G2*C2</f>
        <v>24</v>
      </c>
      <c r="I2" s="89">
        <f>SUM(H2:H5)</f>
        <v>55</v>
      </c>
      <c r="J2" s="90">
        <f>I2/$I$1</f>
        <v>0.39855072463768115</v>
      </c>
    </row>
    <row r="3" spans="1:10" x14ac:dyDescent="0.35">
      <c r="A3" t="s">
        <v>65</v>
      </c>
      <c r="B3" t="s">
        <v>8</v>
      </c>
      <c r="C3" t="s">
        <v>11</v>
      </c>
      <c r="D3" s="8"/>
      <c r="E3" s="4">
        <v>2</v>
      </c>
      <c r="F3" s="4"/>
      <c r="G3" s="4">
        <v>2</v>
      </c>
      <c r="H3" s="8">
        <f>G3*C3</f>
        <v>12</v>
      </c>
      <c r="I3" s="89"/>
      <c r="J3" s="90"/>
    </row>
    <row r="4" spans="1:10" x14ac:dyDescent="0.35">
      <c r="A4" t="s">
        <v>65</v>
      </c>
      <c r="B4" t="s">
        <v>10</v>
      </c>
      <c r="C4" t="s">
        <v>9</v>
      </c>
      <c r="D4" s="8"/>
      <c r="E4" s="4">
        <v>1</v>
      </c>
      <c r="F4" s="4"/>
      <c r="G4" s="4">
        <v>1</v>
      </c>
      <c r="H4" s="8">
        <f>G4*C4</f>
        <v>4</v>
      </c>
      <c r="I4" s="89"/>
      <c r="J4" s="90"/>
    </row>
    <row r="5" spans="1:10" x14ac:dyDescent="0.35">
      <c r="A5" t="s">
        <v>66</v>
      </c>
      <c r="B5" t="s">
        <v>6</v>
      </c>
      <c r="C5" t="s">
        <v>7</v>
      </c>
      <c r="D5" s="8"/>
      <c r="E5" s="4">
        <v>3</v>
      </c>
      <c r="F5" s="4"/>
      <c r="G5" s="4">
        <v>3</v>
      </c>
      <c r="H5" s="8">
        <f t="shared" ref="H5:H10" si="0">G5*C5</f>
        <v>15</v>
      </c>
      <c r="I5" s="89">
        <f>SUM(H5:H8)</f>
        <v>49</v>
      </c>
      <c r="J5" s="90">
        <f>I5/$I$1</f>
        <v>0.35507246376811596</v>
      </c>
    </row>
    <row r="6" spans="1:10" x14ac:dyDescent="0.35">
      <c r="A6" t="s">
        <v>66</v>
      </c>
      <c r="B6" t="s">
        <v>8</v>
      </c>
      <c r="C6" t="s">
        <v>11</v>
      </c>
      <c r="D6" s="8"/>
      <c r="E6" s="4">
        <v>2</v>
      </c>
      <c r="F6" s="4"/>
      <c r="G6" s="4">
        <v>2</v>
      </c>
      <c r="H6" s="8">
        <f t="shared" si="0"/>
        <v>12</v>
      </c>
      <c r="I6" s="89"/>
      <c r="J6" s="90"/>
    </row>
    <row r="7" spans="1:10" x14ac:dyDescent="0.35">
      <c r="A7" t="s">
        <v>66</v>
      </c>
      <c r="B7" t="s">
        <v>10</v>
      </c>
      <c r="C7" t="s">
        <v>12</v>
      </c>
      <c r="D7" s="8"/>
      <c r="E7" s="4">
        <v>1</v>
      </c>
      <c r="F7" s="4"/>
      <c r="G7" s="4">
        <v>1</v>
      </c>
      <c r="H7" s="8">
        <f t="shared" si="0"/>
        <v>7</v>
      </c>
      <c r="I7" s="89"/>
      <c r="J7" s="90"/>
    </row>
    <row r="8" spans="1:10" x14ac:dyDescent="0.35">
      <c r="A8" t="s">
        <v>67</v>
      </c>
      <c r="B8" t="s">
        <v>6</v>
      </c>
      <c r="C8" t="s">
        <v>7</v>
      </c>
      <c r="D8" s="8"/>
      <c r="E8" s="4">
        <v>3</v>
      </c>
      <c r="F8" s="4"/>
      <c r="G8" s="4">
        <v>3</v>
      </c>
      <c r="H8" s="8">
        <f t="shared" si="0"/>
        <v>15</v>
      </c>
      <c r="I8" s="89">
        <f>SUM(H8:H11)</f>
        <v>34</v>
      </c>
      <c r="J8" s="90">
        <f>I8/$I$1</f>
        <v>0.24637681159420291</v>
      </c>
    </row>
    <row r="9" spans="1:10" x14ac:dyDescent="0.35">
      <c r="A9" t="s">
        <v>67</v>
      </c>
      <c r="B9" t="s">
        <v>8</v>
      </c>
      <c r="C9" t="s">
        <v>11</v>
      </c>
      <c r="D9" s="8"/>
      <c r="E9" s="4">
        <v>2</v>
      </c>
      <c r="F9" s="4"/>
      <c r="G9" s="4">
        <v>2</v>
      </c>
      <c r="H9" s="8">
        <f t="shared" si="0"/>
        <v>12</v>
      </c>
      <c r="I9" s="89"/>
      <c r="J9" s="90"/>
    </row>
    <row r="10" spans="1:10" x14ac:dyDescent="0.35">
      <c r="A10" t="s">
        <v>67</v>
      </c>
      <c r="B10" t="s">
        <v>10</v>
      </c>
      <c r="C10" t="s">
        <v>12</v>
      </c>
      <c r="D10" s="8"/>
      <c r="E10" s="4">
        <v>1</v>
      </c>
      <c r="F10" s="4"/>
      <c r="G10" s="4">
        <v>1</v>
      </c>
      <c r="H10" s="8">
        <f t="shared" si="0"/>
        <v>7</v>
      </c>
      <c r="I10" s="89"/>
      <c r="J10" s="90"/>
    </row>
  </sheetData>
  <mergeCells count="6">
    <mergeCell ref="I2:I4"/>
    <mergeCell ref="J2:J4"/>
    <mergeCell ref="I5:I7"/>
    <mergeCell ref="J5:J7"/>
    <mergeCell ref="I8:I10"/>
    <mergeCell ref="J8:J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D285-404C-4904-8B43-EDB509D71393}">
  <sheetPr filterMode="1"/>
  <dimension ref="A1:J37"/>
  <sheetViews>
    <sheetView workbookViewId="0">
      <selection activeCell="A2" sqref="A2"/>
    </sheetView>
  </sheetViews>
  <sheetFormatPr baseColWidth="10" defaultColWidth="11.453125" defaultRowHeight="14.5" x14ac:dyDescent="0.35"/>
  <cols>
    <col min="1" max="1" width="43.81640625" bestFit="1" customWidth="1"/>
  </cols>
  <sheetData>
    <row r="1" spans="1:10" ht="29" x14ac:dyDescent="0.35">
      <c r="A1" s="2" t="s">
        <v>0</v>
      </c>
      <c r="B1" s="3" t="s">
        <v>1</v>
      </c>
      <c r="C1" s="3" t="s">
        <v>2</v>
      </c>
      <c r="D1" s="3"/>
      <c r="E1" s="3" t="s">
        <v>3</v>
      </c>
      <c r="F1" s="4"/>
      <c r="G1" s="3" t="s">
        <v>4</v>
      </c>
      <c r="H1" s="6">
        <f>SUM(C2:C7)</f>
        <v>0</v>
      </c>
      <c r="I1" s="6">
        <f>SUM(I2:I79)</f>
        <v>378</v>
      </c>
      <c r="J1" s="5"/>
    </row>
    <row r="2" spans="1:10" x14ac:dyDescent="0.35">
      <c r="A2" t="s">
        <v>68</v>
      </c>
      <c r="B2" t="s">
        <v>6</v>
      </c>
      <c r="C2" t="s">
        <v>11</v>
      </c>
      <c r="D2" s="5"/>
      <c r="E2" s="4">
        <v>6</v>
      </c>
      <c r="F2" s="4"/>
      <c r="G2" s="4">
        <v>6</v>
      </c>
      <c r="H2" s="5">
        <f t="shared" ref="H2:H7" si="0">G2*C2</f>
        <v>36</v>
      </c>
      <c r="I2" s="95">
        <f>SUM(H2:H7)</f>
        <v>87</v>
      </c>
      <c r="J2" s="98">
        <f>I2/$I$1</f>
        <v>0.23015873015873015</v>
      </c>
    </row>
    <row r="3" spans="1:10" hidden="1" x14ac:dyDescent="0.35">
      <c r="A3" t="s">
        <v>68</v>
      </c>
      <c r="B3" t="s">
        <v>8</v>
      </c>
      <c r="C3" t="s">
        <v>11</v>
      </c>
      <c r="D3" s="5"/>
      <c r="E3" s="4">
        <v>5</v>
      </c>
      <c r="F3" s="4"/>
      <c r="G3" s="4">
        <v>5</v>
      </c>
      <c r="H3" s="5">
        <f t="shared" si="0"/>
        <v>30</v>
      </c>
      <c r="I3" s="96"/>
      <c r="J3" s="99"/>
    </row>
    <row r="4" spans="1:10" hidden="1" x14ac:dyDescent="0.35">
      <c r="A4" t="s">
        <v>68</v>
      </c>
      <c r="B4" t="s">
        <v>10</v>
      </c>
      <c r="C4" t="s">
        <v>9</v>
      </c>
      <c r="D4" s="5"/>
      <c r="E4" s="4">
        <v>4</v>
      </c>
      <c r="F4" s="4"/>
      <c r="G4" s="4">
        <v>4</v>
      </c>
      <c r="H4" s="5">
        <f t="shared" si="0"/>
        <v>16</v>
      </c>
      <c r="I4" s="96"/>
      <c r="J4" s="99"/>
    </row>
    <row r="5" spans="1:10" hidden="1" x14ac:dyDescent="0.35">
      <c r="A5" t="s">
        <v>68</v>
      </c>
      <c r="B5" t="s">
        <v>9</v>
      </c>
      <c r="C5" t="s">
        <v>6</v>
      </c>
      <c r="D5" s="5"/>
      <c r="E5" s="4">
        <v>3</v>
      </c>
      <c r="F5" s="5"/>
      <c r="G5" s="4">
        <v>3</v>
      </c>
      <c r="H5" s="5">
        <f t="shared" si="0"/>
        <v>3</v>
      </c>
      <c r="I5" s="96"/>
      <c r="J5" s="99"/>
    </row>
    <row r="6" spans="1:10" hidden="1" x14ac:dyDescent="0.35">
      <c r="A6" t="s">
        <v>68</v>
      </c>
      <c r="B6" t="s">
        <v>7</v>
      </c>
      <c r="C6" t="s">
        <v>6</v>
      </c>
      <c r="D6" s="5"/>
      <c r="E6" s="4">
        <v>2</v>
      </c>
      <c r="F6" s="5"/>
      <c r="G6" s="4">
        <v>2</v>
      </c>
      <c r="H6" s="5">
        <f t="shared" si="0"/>
        <v>2</v>
      </c>
      <c r="I6" s="96"/>
      <c r="J6" s="99"/>
    </row>
    <row r="7" spans="1:10" hidden="1" x14ac:dyDescent="0.35">
      <c r="A7" t="s">
        <v>68</v>
      </c>
      <c r="B7" t="s">
        <v>11</v>
      </c>
      <c r="C7" t="s">
        <v>13</v>
      </c>
      <c r="D7" s="5"/>
      <c r="E7" s="4">
        <v>1</v>
      </c>
      <c r="F7" s="5"/>
      <c r="G7" s="4">
        <v>1</v>
      </c>
      <c r="H7" s="5">
        <f t="shared" si="0"/>
        <v>0</v>
      </c>
      <c r="I7" s="96"/>
      <c r="J7" s="99"/>
    </row>
    <row r="8" spans="1:10" x14ac:dyDescent="0.35">
      <c r="A8" t="s">
        <v>69</v>
      </c>
      <c r="B8" t="s">
        <v>6</v>
      </c>
      <c r="C8" t="s">
        <v>10</v>
      </c>
      <c r="E8" s="4">
        <v>6</v>
      </c>
      <c r="F8" s="4"/>
      <c r="G8" s="4">
        <v>6</v>
      </c>
      <c r="H8" s="5">
        <f t="shared" ref="H8:H37" si="1">G8*C8</f>
        <v>18</v>
      </c>
      <c r="I8" s="95">
        <f>SUM(H8:H13)</f>
        <v>80</v>
      </c>
      <c r="J8" s="98">
        <f>I8/$I$1</f>
        <v>0.21164021164021163</v>
      </c>
    </row>
    <row r="9" spans="1:10" hidden="1" x14ac:dyDescent="0.35">
      <c r="A9" t="s">
        <v>69</v>
      </c>
      <c r="B9" t="s">
        <v>8</v>
      </c>
      <c r="C9" t="s">
        <v>11</v>
      </c>
      <c r="E9" s="4">
        <v>5</v>
      </c>
      <c r="F9" s="4"/>
      <c r="G9" s="4">
        <v>5</v>
      </c>
      <c r="H9" s="5">
        <f t="shared" si="1"/>
        <v>30</v>
      </c>
      <c r="I9" s="96"/>
      <c r="J9" s="99"/>
    </row>
    <row r="10" spans="1:10" hidden="1" x14ac:dyDescent="0.35">
      <c r="A10" t="s">
        <v>69</v>
      </c>
      <c r="B10" t="s">
        <v>10</v>
      </c>
      <c r="C10" t="s">
        <v>7</v>
      </c>
      <c r="E10" s="4">
        <v>4</v>
      </c>
      <c r="F10" s="4"/>
      <c r="G10" s="4">
        <v>4</v>
      </c>
      <c r="H10" s="5">
        <f t="shared" si="1"/>
        <v>20</v>
      </c>
      <c r="I10" s="96"/>
      <c r="J10" s="99"/>
    </row>
    <row r="11" spans="1:10" hidden="1" x14ac:dyDescent="0.35">
      <c r="A11" t="s">
        <v>69</v>
      </c>
      <c r="B11" t="s">
        <v>9</v>
      </c>
      <c r="C11" t="s">
        <v>9</v>
      </c>
      <c r="E11" s="4">
        <v>3</v>
      </c>
      <c r="F11" s="5"/>
      <c r="G11" s="4">
        <v>3</v>
      </c>
      <c r="H11" s="5">
        <f t="shared" si="1"/>
        <v>12</v>
      </c>
      <c r="I11" s="96"/>
      <c r="J11" s="99"/>
    </row>
    <row r="12" spans="1:10" hidden="1" x14ac:dyDescent="0.35">
      <c r="A12" t="s">
        <v>69</v>
      </c>
      <c r="B12" t="s">
        <v>7</v>
      </c>
      <c r="C12" t="s">
        <v>13</v>
      </c>
      <c r="E12" s="4">
        <v>2</v>
      </c>
      <c r="F12" s="5"/>
      <c r="G12" s="4">
        <v>2</v>
      </c>
      <c r="H12" s="5">
        <f t="shared" si="1"/>
        <v>0</v>
      </c>
      <c r="I12" s="96"/>
      <c r="J12" s="99"/>
    </row>
    <row r="13" spans="1:10" hidden="1" x14ac:dyDescent="0.35">
      <c r="A13" t="s">
        <v>69</v>
      </c>
      <c r="B13" t="s">
        <v>11</v>
      </c>
      <c r="C13" t="s">
        <v>13</v>
      </c>
      <c r="E13" s="4">
        <v>1</v>
      </c>
      <c r="F13" s="5"/>
      <c r="G13" s="4">
        <v>1</v>
      </c>
      <c r="H13" s="5">
        <f t="shared" si="1"/>
        <v>0</v>
      </c>
      <c r="I13" s="96"/>
      <c r="J13" s="99"/>
    </row>
    <row r="14" spans="1:10" x14ac:dyDescent="0.35">
      <c r="A14" t="s">
        <v>70</v>
      </c>
      <c r="B14" t="s">
        <v>6</v>
      </c>
      <c r="C14" t="s">
        <v>13</v>
      </c>
      <c r="E14" s="4">
        <v>6</v>
      </c>
      <c r="F14" s="4"/>
      <c r="G14" s="4">
        <v>6</v>
      </c>
      <c r="H14" s="5">
        <f t="shared" si="1"/>
        <v>0</v>
      </c>
      <c r="I14" s="95">
        <f>SUM(H14:H19)</f>
        <v>50</v>
      </c>
      <c r="J14" s="98">
        <f>I14/$I$1</f>
        <v>0.13227513227513227</v>
      </c>
    </row>
    <row r="15" spans="1:10" hidden="1" x14ac:dyDescent="0.35">
      <c r="A15" t="s">
        <v>70</v>
      </c>
      <c r="B15" t="s">
        <v>8</v>
      </c>
      <c r="C15" t="s">
        <v>13</v>
      </c>
      <c r="E15" s="4">
        <v>5</v>
      </c>
      <c r="F15" s="4"/>
      <c r="G15" s="4">
        <v>5</v>
      </c>
      <c r="H15" s="5">
        <f t="shared" si="1"/>
        <v>0</v>
      </c>
      <c r="I15" s="96"/>
      <c r="J15" s="99"/>
    </row>
    <row r="16" spans="1:10" hidden="1" x14ac:dyDescent="0.35">
      <c r="A16" t="s">
        <v>70</v>
      </c>
      <c r="B16" t="s">
        <v>10</v>
      </c>
      <c r="C16" t="s">
        <v>9</v>
      </c>
      <c r="E16" s="4">
        <v>4</v>
      </c>
      <c r="F16" s="4"/>
      <c r="G16" s="4">
        <v>4</v>
      </c>
      <c r="H16" s="5">
        <f t="shared" si="1"/>
        <v>16</v>
      </c>
      <c r="I16" s="96"/>
      <c r="J16" s="99"/>
    </row>
    <row r="17" spans="1:10" hidden="1" x14ac:dyDescent="0.35">
      <c r="A17" t="s">
        <v>70</v>
      </c>
      <c r="B17" t="s">
        <v>9</v>
      </c>
      <c r="C17" t="s">
        <v>11</v>
      </c>
      <c r="E17" s="4">
        <v>3</v>
      </c>
      <c r="F17" s="5"/>
      <c r="G17" s="4">
        <v>3</v>
      </c>
      <c r="H17" s="5">
        <f t="shared" si="1"/>
        <v>18</v>
      </c>
      <c r="I17" s="96"/>
      <c r="J17" s="99"/>
    </row>
    <row r="18" spans="1:10" hidden="1" x14ac:dyDescent="0.35">
      <c r="A18" t="s">
        <v>70</v>
      </c>
      <c r="B18" t="s">
        <v>7</v>
      </c>
      <c r="C18" t="s">
        <v>14</v>
      </c>
      <c r="E18" s="4">
        <v>2</v>
      </c>
      <c r="F18" s="5"/>
      <c r="G18" s="4">
        <v>2</v>
      </c>
      <c r="H18" s="5">
        <f t="shared" si="1"/>
        <v>16</v>
      </c>
      <c r="I18" s="96"/>
      <c r="J18" s="99"/>
    </row>
    <row r="19" spans="1:10" hidden="1" x14ac:dyDescent="0.35">
      <c r="A19" t="s">
        <v>70</v>
      </c>
      <c r="B19" t="s">
        <v>11</v>
      </c>
      <c r="C19" t="s">
        <v>13</v>
      </c>
      <c r="E19" s="4">
        <v>1</v>
      </c>
      <c r="F19" s="5"/>
      <c r="G19" s="4">
        <v>1</v>
      </c>
      <c r="H19" s="5">
        <f t="shared" si="1"/>
        <v>0</v>
      </c>
      <c r="I19" s="96"/>
      <c r="J19" s="99"/>
    </row>
    <row r="20" spans="1:10" x14ac:dyDescent="0.35">
      <c r="A20" t="s">
        <v>71</v>
      </c>
      <c r="B20" t="s">
        <v>6</v>
      </c>
      <c r="C20" t="s">
        <v>6</v>
      </c>
      <c r="E20" s="4">
        <v>6</v>
      </c>
      <c r="F20" s="4"/>
      <c r="G20" s="4">
        <v>6</v>
      </c>
      <c r="H20" s="5">
        <f t="shared" si="1"/>
        <v>6</v>
      </c>
      <c r="I20" s="95">
        <f>SUM(H20:H25)</f>
        <v>45</v>
      </c>
      <c r="J20" s="98">
        <f>I20/$I$1</f>
        <v>0.11904761904761904</v>
      </c>
    </row>
    <row r="21" spans="1:10" hidden="1" x14ac:dyDescent="0.35">
      <c r="A21" t="s">
        <v>71</v>
      </c>
      <c r="B21" t="s">
        <v>8</v>
      </c>
      <c r="C21" t="s">
        <v>13</v>
      </c>
      <c r="E21" s="4">
        <v>5</v>
      </c>
      <c r="F21" s="4"/>
      <c r="G21" s="4">
        <v>5</v>
      </c>
      <c r="H21" s="5">
        <f t="shared" si="1"/>
        <v>0</v>
      </c>
      <c r="I21" s="96"/>
      <c r="J21" s="99"/>
    </row>
    <row r="22" spans="1:10" hidden="1" x14ac:dyDescent="0.35">
      <c r="A22" t="s">
        <v>71</v>
      </c>
      <c r="B22" t="s">
        <v>10</v>
      </c>
      <c r="C22" t="s">
        <v>10</v>
      </c>
      <c r="E22" s="4">
        <v>4</v>
      </c>
      <c r="F22" s="4"/>
      <c r="G22" s="4">
        <v>4</v>
      </c>
      <c r="H22" s="5">
        <f t="shared" si="1"/>
        <v>12</v>
      </c>
      <c r="I22" s="96"/>
      <c r="J22" s="99"/>
    </row>
    <row r="23" spans="1:10" hidden="1" x14ac:dyDescent="0.35">
      <c r="A23" t="s">
        <v>71</v>
      </c>
      <c r="B23" t="s">
        <v>9</v>
      </c>
      <c r="C23" t="s">
        <v>9</v>
      </c>
      <c r="E23" s="4">
        <v>3</v>
      </c>
      <c r="F23" s="5"/>
      <c r="G23" s="4">
        <v>3</v>
      </c>
      <c r="H23" s="5">
        <f t="shared" si="1"/>
        <v>12</v>
      </c>
      <c r="I23" s="96"/>
      <c r="J23" s="99"/>
    </row>
    <row r="24" spans="1:10" hidden="1" x14ac:dyDescent="0.35">
      <c r="A24" t="s">
        <v>71</v>
      </c>
      <c r="B24" t="s">
        <v>7</v>
      </c>
      <c r="C24" t="s">
        <v>7</v>
      </c>
      <c r="E24" s="4">
        <v>2</v>
      </c>
      <c r="F24" s="5"/>
      <c r="G24" s="4">
        <v>2</v>
      </c>
      <c r="H24" s="5">
        <f t="shared" si="1"/>
        <v>10</v>
      </c>
      <c r="I24" s="96"/>
      <c r="J24" s="99"/>
    </row>
    <row r="25" spans="1:10" hidden="1" x14ac:dyDescent="0.35">
      <c r="A25" t="s">
        <v>71</v>
      </c>
      <c r="B25" t="s">
        <v>11</v>
      </c>
      <c r="C25" t="s">
        <v>7</v>
      </c>
      <c r="E25" s="4">
        <v>1</v>
      </c>
      <c r="F25" s="5"/>
      <c r="G25" s="4">
        <v>1</v>
      </c>
      <c r="H25" s="5">
        <f t="shared" si="1"/>
        <v>5</v>
      </c>
      <c r="I25" s="96"/>
      <c r="J25" s="99"/>
    </row>
    <row r="26" spans="1:10" x14ac:dyDescent="0.35">
      <c r="A26" t="s">
        <v>72</v>
      </c>
      <c r="B26" t="s">
        <v>6</v>
      </c>
      <c r="C26" t="s">
        <v>10</v>
      </c>
      <c r="E26" s="4">
        <v>6</v>
      </c>
      <c r="F26" s="4"/>
      <c r="G26" s="4">
        <v>6</v>
      </c>
      <c r="H26" s="5">
        <f t="shared" si="1"/>
        <v>18</v>
      </c>
      <c r="I26" s="95">
        <f>SUM(H26:H31)</f>
        <v>49</v>
      </c>
      <c r="J26" s="98">
        <f>I26/$I$1</f>
        <v>0.12962962962962962</v>
      </c>
    </row>
    <row r="27" spans="1:10" hidden="1" x14ac:dyDescent="0.35">
      <c r="A27" t="s">
        <v>72</v>
      </c>
      <c r="B27" t="s">
        <v>8</v>
      </c>
      <c r="C27" t="s">
        <v>10</v>
      </c>
      <c r="E27" s="4">
        <v>5</v>
      </c>
      <c r="F27" s="4"/>
      <c r="G27" s="4">
        <v>5</v>
      </c>
      <c r="H27" s="5">
        <f t="shared" si="1"/>
        <v>15</v>
      </c>
      <c r="I27" s="96"/>
      <c r="J27" s="99"/>
    </row>
    <row r="28" spans="1:10" hidden="1" x14ac:dyDescent="0.35">
      <c r="A28" t="s">
        <v>72</v>
      </c>
      <c r="B28" t="s">
        <v>10</v>
      </c>
      <c r="C28" t="s">
        <v>13</v>
      </c>
      <c r="E28" s="4">
        <v>4</v>
      </c>
      <c r="F28" s="4"/>
      <c r="G28" s="4">
        <v>4</v>
      </c>
      <c r="H28" s="5">
        <f t="shared" si="1"/>
        <v>0</v>
      </c>
      <c r="I28" s="96"/>
      <c r="J28" s="99"/>
    </row>
    <row r="29" spans="1:10" hidden="1" x14ac:dyDescent="0.35">
      <c r="A29" t="s">
        <v>72</v>
      </c>
      <c r="B29" t="s">
        <v>9</v>
      </c>
      <c r="C29" t="s">
        <v>6</v>
      </c>
      <c r="E29" s="4">
        <v>3</v>
      </c>
      <c r="F29" s="5"/>
      <c r="G29" s="4">
        <v>3</v>
      </c>
      <c r="H29" s="5">
        <f t="shared" si="1"/>
        <v>3</v>
      </c>
      <c r="I29" s="96"/>
      <c r="J29" s="99"/>
    </row>
    <row r="30" spans="1:10" hidden="1" x14ac:dyDescent="0.35">
      <c r="A30" t="s">
        <v>72</v>
      </c>
      <c r="B30" t="s">
        <v>7</v>
      </c>
      <c r="C30" t="s">
        <v>8</v>
      </c>
      <c r="E30" s="4">
        <v>2</v>
      </c>
      <c r="F30" s="5"/>
      <c r="G30" s="4">
        <v>2</v>
      </c>
      <c r="H30" s="5">
        <f t="shared" si="1"/>
        <v>4</v>
      </c>
      <c r="I30" s="96"/>
      <c r="J30" s="99"/>
    </row>
    <row r="31" spans="1:10" hidden="1" x14ac:dyDescent="0.35">
      <c r="A31" t="s">
        <v>72</v>
      </c>
      <c r="B31" t="s">
        <v>11</v>
      </c>
      <c r="C31" t="s">
        <v>15</v>
      </c>
      <c r="E31" s="4">
        <v>1</v>
      </c>
      <c r="F31" s="5"/>
      <c r="G31" s="4">
        <v>1</v>
      </c>
      <c r="H31" s="5">
        <f t="shared" si="1"/>
        <v>9</v>
      </c>
      <c r="I31" s="96"/>
      <c r="J31" s="99"/>
    </row>
    <row r="32" spans="1:10" x14ac:dyDescent="0.35">
      <c r="A32" t="s">
        <v>73</v>
      </c>
      <c r="B32" t="s">
        <v>6</v>
      </c>
      <c r="C32" t="s">
        <v>7</v>
      </c>
      <c r="E32" s="4">
        <v>6</v>
      </c>
      <c r="F32" s="4"/>
      <c r="G32" s="4">
        <v>6</v>
      </c>
      <c r="H32" s="5">
        <f t="shared" si="1"/>
        <v>30</v>
      </c>
      <c r="I32" s="95">
        <f>SUM(H32:H37)</f>
        <v>67</v>
      </c>
      <c r="J32" s="98">
        <f>I32/$I$1</f>
        <v>0.17724867724867724</v>
      </c>
    </row>
    <row r="33" spans="1:10" hidden="1" x14ac:dyDescent="0.35">
      <c r="A33" t="s">
        <v>73</v>
      </c>
      <c r="B33" t="s">
        <v>8</v>
      </c>
      <c r="C33" t="s">
        <v>10</v>
      </c>
      <c r="E33" s="4">
        <v>5</v>
      </c>
      <c r="F33" s="4"/>
      <c r="G33" s="4">
        <v>5</v>
      </c>
      <c r="H33" s="5">
        <f t="shared" si="1"/>
        <v>15</v>
      </c>
      <c r="I33" s="96"/>
      <c r="J33" s="99"/>
    </row>
    <row r="34" spans="1:10" hidden="1" x14ac:dyDescent="0.35">
      <c r="A34" t="s">
        <v>73</v>
      </c>
      <c r="B34" t="s">
        <v>10</v>
      </c>
      <c r="C34" t="s">
        <v>8</v>
      </c>
      <c r="E34" s="4">
        <v>4</v>
      </c>
      <c r="F34" s="4"/>
      <c r="G34" s="4">
        <v>4</v>
      </c>
      <c r="H34" s="5">
        <f t="shared" si="1"/>
        <v>8</v>
      </c>
      <c r="I34" s="96"/>
      <c r="J34" s="99"/>
    </row>
    <row r="35" spans="1:10" hidden="1" x14ac:dyDescent="0.35">
      <c r="A35" t="s">
        <v>73</v>
      </c>
      <c r="B35" t="s">
        <v>9</v>
      </c>
      <c r="C35" t="s">
        <v>8</v>
      </c>
      <c r="E35" s="4">
        <v>3</v>
      </c>
      <c r="F35" s="5"/>
      <c r="G35" s="4">
        <v>3</v>
      </c>
      <c r="H35" s="5">
        <f t="shared" si="1"/>
        <v>6</v>
      </c>
      <c r="I35" s="96"/>
      <c r="J35" s="99"/>
    </row>
    <row r="36" spans="1:10" hidden="1" x14ac:dyDescent="0.35">
      <c r="A36" t="s">
        <v>73</v>
      </c>
      <c r="B36" t="s">
        <v>7</v>
      </c>
      <c r="C36" t="s">
        <v>8</v>
      </c>
      <c r="E36" s="4">
        <v>2</v>
      </c>
      <c r="F36" s="5"/>
      <c r="G36" s="4">
        <v>2</v>
      </c>
      <c r="H36" s="5">
        <f t="shared" si="1"/>
        <v>4</v>
      </c>
      <c r="I36" s="96"/>
      <c r="J36" s="99"/>
    </row>
    <row r="37" spans="1:10" hidden="1" x14ac:dyDescent="0.35">
      <c r="A37" t="s">
        <v>73</v>
      </c>
      <c r="B37" t="s">
        <v>11</v>
      </c>
      <c r="C37" t="s">
        <v>9</v>
      </c>
      <c r="E37" s="4">
        <v>1</v>
      </c>
      <c r="F37" s="5"/>
      <c r="G37" s="4">
        <v>1</v>
      </c>
      <c r="H37" s="5">
        <f t="shared" si="1"/>
        <v>4</v>
      </c>
      <c r="I37" s="96"/>
      <c r="J37" s="99"/>
    </row>
  </sheetData>
  <autoFilter ref="A1:J37" xr:uid="{60E8D285-404C-4904-8B43-EDB509D71393}">
    <filterColumn colId="1">
      <filters>
        <filter val="1"/>
      </filters>
    </filterColumn>
  </autoFilter>
  <mergeCells count="12">
    <mergeCell ref="I20:I25"/>
    <mergeCell ref="J20:J25"/>
    <mergeCell ref="I26:I31"/>
    <mergeCell ref="J26:J31"/>
    <mergeCell ref="I32:I37"/>
    <mergeCell ref="J32:J37"/>
    <mergeCell ref="I2:I7"/>
    <mergeCell ref="J2:J7"/>
    <mergeCell ref="I8:I13"/>
    <mergeCell ref="J8:J13"/>
    <mergeCell ref="I14:I19"/>
    <mergeCell ref="J14:J1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6E70F-B676-4031-893B-F3CE98F55ED6}">
  <dimension ref="A1:J5"/>
  <sheetViews>
    <sheetView workbookViewId="0">
      <selection activeCell="I2" sqref="I2:I3"/>
    </sheetView>
  </sheetViews>
  <sheetFormatPr baseColWidth="10" defaultColWidth="11.453125" defaultRowHeight="14.5" x14ac:dyDescent="0.35"/>
  <sheetData>
    <row r="1" spans="1:10" ht="72.5" x14ac:dyDescent="0.35">
      <c r="A1" s="2" t="s">
        <v>0</v>
      </c>
      <c r="B1" s="3" t="s">
        <v>1</v>
      </c>
      <c r="C1" s="3" t="s">
        <v>2</v>
      </c>
      <c r="D1" s="3"/>
      <c r="E1" s="3" t="s">
        <v>3</v>
      </c>
      <c r="F1" s="4"/>
      <c r="G1" s="4" t="s">
        <v>4</v>
      </c>
      <c r="H1" s="6">
        <f>SUM(C2:C3)</f>
        <v>0</v>
      </c>
      <c r="I1" s="6">
        <f>SUM(I2:I5)</f>
        <v>42</v>
      </c>
      <c r="J1" s="5"/>
    </row>
    <row r="2" spans="1:10" x14ac:dyDescent="0.35">
      <c r="A2" s="5" t="s">
        <v>74</v>
      </c>
      <c r="B2" s="5" t="s">
        <v>6</v>
      </c>
      <c r="C2" s="5" t="s">
        <v>14</v>
      </c>
      <c r="D2" s="5"/>
      <c r="E2" s="4">
        <v>2</v>
      </c>
      <c r="F2" s="4"/>
      <c r="G2" s="4">
        <f>IF(C2&gt;=1,E2,0)</f>
        <v>2</v>
      </c>
      <c r="H2" s="5">
        <f>G2*C2</f>
        <v>16</v>
      </c>
      <c r="I2" s="89">
        <f>SUM(H2:H3)</f>
        <v>22</v>
      </c>
      <c r="J2" s="90">
        <f>I2/$I$1</f>
        <v>0.52380952380952384</v>
      </c>
    </row>
    <row r="3" spans="1:10" x14ac:dyDescent="0.35">
      <c r="A3" s="5" t="s">
        <v>74</v>
      </c>
      <c r="B3" s="5" t="s">
        <v>8</v>
      </c>
      <c r="C3" s="5" t="s">
        <v>11</v>
      </c>
      <c r="D3" s="5"/>
      <c r="E3" s="4">
        <v>1</v>
      </c>
      <c r="F3" s="4"/>
      <c r="G3" s="4">
        <f>IF(C3&gt;=1,E3,0)</f>
        <v>1</v>
      </c>
      <c r="H3" s="5">
        <f>G3*C3</f>
        <v>6</v>
      </c>
      <c r="I3" s="89"/>
      <c r="J3" s="90"/>
    </row>
    <row r="4" spans="1:10" x14ac:dyDescent="0.35">
      <c r="A4" s="5" t="s">
        <v>75</v>
      </c>
      <c r="B4" s="5" t="s">
        <v>6</v>
      </c>
      <c r="C4" s="5" t="s">
        <v>11</v>
      </c>
      <c r="D4" s="5"/>
      <c r="E4" s="4">
        <v>2</v>
      </c>
      <c r="F4" s="4"/>
      <c r="G4" s="4">
        <f>IF(C4&gt;=1,E4,0)</f>
        <v>2</v>
      </c>
      <c r="H4" s="5">
        <f>G4*C4</f>
        <v>12</v>
      </c>
      <c r="I4" s="89">
        <f>SUM(H4:H5)</f>
        <v>20</v>
      </c>
      <c r="J4" s="90">
        <f>I4/$I$1</f>
        <v>0.47619047619047616</v>
      </c>
    </row>
    <row r="5" spans="1:10" x14ac:dyDescent="0.35">
      <c r="A5" s="5" t="s">
        <v>75</v>
      </c>
      <c r="B5" s="5" t="s">
        <v>8</v>
      </c>
      <c r="C5" s="5" t="s">
        <v>14</v>
      </c>
      <c r="D5" s="5"/>
      <c r="E5" s="4">
        <v>1</v>
      </c>
      <c r="F5" s="4"/>
      <c r="G5" s="4">
        <f>IF(C5&gt;=1,E5,0)</f>
        <v>1</v>
      </c>
      <c r="H5" s="5">
        <f>G5*C5</f>
        <v>8</v>
      </c>
      <c r="I5" s="89"/>
      <c r="J5" s="90"/>
    </row>
  </sheetData>
  <mergeCells count="4">
    <mergeCell ref="I2:I3"/>
    <mergeCell ref="J2:J3"/>
    <mergeCell ref="I4:I5"/>
    <mergeCell ref="J4:J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22006-D936-45CB-8C87-CC4A760EE6A6}">
  <dimension ref="A2:C91"/>
  <sheetViews>
    <sheetView tabSelected="1" topLeftCell="D1" zoomScale="57" zoomScaleNormal="130" workbookViewId="0">
      <selection activeCell="L17" sqref="L17"/>
    </sheetView>
  </sheetViews>
  <sheetFormatPr baseColWidth="10" defaultColWidth="11.453125" defaultRowHeight="14.5" x14ac:dyDescent="0.35"/>
  <cols>
    <col min="2" max="2" width="119.26953125" bestFit="1" customWidth="1"/>
    <col min="3" max="3" width="21.81640625" bestFit="1" customWidth="1"/>
  </cols>
  <sheetData>
    <row r="2" spans="2:3" x14ac:dyDescent="0.35">
      <c r="B2" s="8" t="s">
        <v>76</v>
      </c>
      <c r="C2" s="8" t="s">
        <v>77</v>
      </c>
    </row>
    <row r="3" spans="2:3" x14ac:dyDescent="0.35">
      <c r="B3" s="11" t="s">
        <v>5</v>
      </c>
      <c r="C3" s="10">
        <f>FACTORES!J2</f>
        <v>0.12078272604588394</v>
      </c>
    </row>
    <row r="4" spans="2:3" x14ac:dyDescent="0.35">
      <c r="B4" s="11" t="s">
        <v>19</v>
      </c>
      <c r="C4" s="10">
        <f>FACTORES!J14</f>
        <v>0.12415654520917679</v>
      </c>
    </row>
    <row r="5" spans="2:3" x14ac:dyDescent="0.35">
      <c r="B5" s="11" t="s">
        <v>20</v>
      </c>
      <c r="C5" s="10">
        <f>FACTORES!J26</f>
        <v>0.11673414304993253</v>
      </c>
    </row>
    <row r="6" spans="2:3" x14ac:dyDescent="0.35">
      <c r="B6" s="11" t="s">
        <v>29</v>
      </c>
      <c r="C6" s="10">
        <f>FACTORES!J38</f>
        <v>0.10796221322537113</v>
      </c>
    </row>
    <row r="7" spans="2:3" x14ac:dyDescent="0.35">
      <c r="B7" s="11" t="s">
        <v>21</v>
      </c>
      <c r="C7" s="10">
        <f>FACTORES!J50</f>
        <v>6.7476383265856948E-2</v>
      </c>
    </row>
    <row r="8" spans="2:3" x14ac:dyDescent="0.35">
      <c r="B8" s="11" t="s">
        <v>22</v>
      </c>
      <c r="C8" s="10">
        <f>FACTORES!J62</f>
        <v>7.28744939271255E-2</v>
      </c>
    </row>
    <row r="9" spans="2:3" x14ac:dyDescent="0.35">
      <c r="B9" s="11" t="s">
        <v>23</v>
      </c>
      <c r="C9" s="10">
        <f>FACTORES!J74</f>
        <v>0.10593792172739541</v>
      </c>
    </row>
    <row r="10" spans="2:3" x14ac:dyDescent="0.35">
      <c r="B10" s="11" t="s">
        <v>24</v>
      </c>
      <c r="C10" s="10">
        <f>FACTORES!J86</f>
        <v>4.7908232118758436E-2</v>
      </c>
    </row>
    <row r="11" spans="2:3" x14ac:dyDescent="0.35">
      <c r="B11" s="11" t="s">
        <v>25</v>
      </c>
      <c r="C11" s="10">
        <f>FACTORES!J98</f>
        <v>6.4102564102564097E-2</v>
      </c>
    </row>
    <row r="12" spans="2:3" x14ac:dyDescent="0.35">
      <c r="B12" s="11" t="s">
        <v>26</v>
      </c>
      <c r="C12" s="10">
        <f>FACTORES!J110</f>
        <v>6.8825910931174086E-2</v>
      </c>
    </row>
    <row r="13" spans="2:3" x14ac:dyDescent="0.35">
      <c r="B13" s="11" t="s">
        <v>27</v>
      </c>
      <c r="C13" s="10">
        <f>FACTORES!J122</f>
        <v>6.6801619433198386E-2</v>
      </c>
    </row>
    <row r="14" spans="2:3" x14ac:dyDescent="0.35">
      <c r="B14" s="11" t="s">
        <v>28</v>
      </c>
      <c r="C14" s="10">
        <f>FACTORES!J134</f>
        <v>3.643724696356275E-2</v>
      </c>
    </row>
    <row r="17" spans="1:3" x14ac:dyDescent="0.35">
      <c r="B17" s="11" t="s">
        <v>78</v>
      </c>
      <c r="C17" s="8" t="s">
        <v>77</v>
      </c>
    </row>
    <row r="18" spans="1:3" x14ac:dyDescent="0.35">
      <c r="A18">
        <v>1</v>
      </c>
      <c r="B18" s="5" t="s">
        <v>30</v>
      </c>
      <c r="C18" s="9">
        <f>PEP!J2</f>
        <v>0.53846153846153844</v>
      </c>
    </row>
    <row r="19" spans="1:3" x14ac:dyDescent="0.35">
      <c r="A19">
        <v>2</v>
      </c>
      <c r="B19" s="5" t="s">
        <v>31</v>
      </c>
      <c r="C19" s="9">
        <f>PEP!J4</f>
        <v>0.46153846153846156</v>
      </c>
    </row>
    <row r="22" spans="1:3" x14ac:dyDescent="0.35">
      <c r="B22" s="11" t="s">
        <v>79</v>
      </c>
      <c r="C22" s="8" t="s">
        <v>77</v>
      </c>
    </row>
    <row r="23" spans="1:3" x14ac:dyDescent="0.35">
      <c r="A23">
        <v>3</v>
      </c>
      <c r="B23" s="5" t="s">
        <v>32</v>
      </c>
      <c r="C23" s="9">
        <f>EST!J2</f>
        <v>0.33139534883720928</v>
      </c>
    </row>
    <row r="24" spans="1:3" x14ac:dyDescent="0.35">
      <c r="A24">
        <v>4</v>
      </c>
      <c r="B24" s="5" t="s">
        <v>33</v>
      </c>
      <c r="C24" s="9">
        <f>EST!J7</f>
        <v>0.18023255813953487</v>
      </c>
    </row>
    <row r="25" spans="1:3" x14ac:dyDescent="0.35">
      <c r="A25">
        <v>5</v>
      </c>
      <c r="B25" s="5" t="s">
        <v>34</v>
      </c>
      <c r="C25" s="9">
        <f>EST!J12</f>
        <v>0.19186046511627908</v>
      </c>
    </row>
    <row r="26" spans="1:3" x14ac:dyDescent="0.35">
      <c r="A26">
        <v>6</v>
      </c>
      <c r="B26" s="5" t="s">
        <v>35</v>
      </c>
      <c r="C26" s="9">
        <f>EST!J17</f>
        <v>0.13372093023255813</v>
      </c>
    </row>
    <row r="27" spans="1:3" x14ac:dyDescent="0.35">
      <c r="A27">
        <v>7</v>
      </c>
      <c r="B27" s="5" t="s">
        <v>36</v>
      </c>
      <c r="C27" s="9">
        <f>EST!J22</f>
        <v>0.16279069767441862</v>
      </c>
    </row>
    <row r="30" spans="1:3" x14ac:dyDescent="0.35">
      <c r="B30" s="11" t="s">
        <v>80</v>
      </c>
      <c r="C30" s="8" t="s">
        <v>77</v>
      </c>
    </row>
    <row r="31" spans="1:3" x14ac:dyDescent="0.35">
      <c r="A31">
        <v>8</v>
      </c>
      <c r="B31" s="5" t="s">
        <v>37</v>
      </c>
      <c r="C31" s="9">
        <f>DOC!J2</f>
        <v>0.17129629629629631</v>
      </c>
    </row>
    <row r="32" spans="1:3" x14ac:dyDescent="0.35">
      <c r="A32">
        <v>9</v>
      </c>
      <c r="B32" s="5" t="s">
        <v>38</v>
      </c>
      <c r="C32" s="9">
        <f>DOC!J10</f>
        <v>0.13734567901234568</v>
      </c>
    </row>
    <row r="33" spans="1:3" x14ac:dyDescent="0.35">
      <c r="A33">
        <v>10</v>
      </c>
      <c r="B33" s="5" t="s">
        <v>39</v>
      </c>
      <c r="C33" s="9">
        <f>DOC!J18</f>
        <v>0.15740740740740741</v>
      </c>
    </row>
    <row r="34" spans="1:3" x14ac:dyDescent="0.35">
      <c r="A34">
        <v>11</v>
      </c>
      <c r="B34" s="5" t="s">
        <v>40</v>
      </c>
      <c r="C34" s="9">
        <f>DOC!J26</f>
        <v>0.15277777777777779</v>
      </c>
    </row>
    <row r="35" spans="1:3" x14ac:dyDescent="0.35">
      <c r="A35">
        <v>12</v>
      </c>
      <c r="B35" s="5" t="s">
        <v>41</v>
      </c>
      <c r="C35" s="9">
        <f>DOC!J34</f>
        <v>0.10339506172839506</v>
      </c>
    </row>
    <row r="36" spans="1:3" x14ac:dyDescent="0.35">
      <c r="A36">
        <v>13</v>
      </c>
      <c r="B36" s="5" t="s">
        <v>42</v>
      </c>
      <c r="C36" s="9">
        <f>DOC!J42</f>
        <v>0.11728395061728394</v>
      </c>
    </row>
    <row r="37" spans="1:3" x14ac:dyDescent="0.35">
      <c r="A37">
        <v>14</v>
      </c>
      <c r="B37" s="5" t="s">
        <v>43</v>
      </c>
      <c r="C37" s="9">
        <f>DOC!J50</f>
        <v>9.4135802469135804E-2</v>
      </c>
    </row>
    <row r="38" spans="1:3" x14ac:dyDescent="0.35">
      <c r="A38">
        <v>15</v>
      </c>
      <c r="B38" s="5" t="s">
        <v>44</v>
      </c>
      <c r="C38" s="9">
        <f>DOC!J58</f>
        <v>6.6358024691358028E-2</v>
      </c>
    </row>
    <row r="41" spans="1:3" x14ac:dyDescent="0.35">
      <c r="B41" s="11" t="s">
        <v>81</v>
      </c>
      <c r="C41" s="8" t="s">
        <v>77</v>
      </c>
    </row>
    <row r="42" spans="1:3" x14ac:dyDescent="0.35">
      <c r="A42">
        <v>16</v>
      </c>
      <c r="B42" s="5" t="s">
        <v>45</v>
      </c>
      <c r="C42" s="15">
        <f>'FAC 5'!J2</f>
        <v>0.17160493827160495</v>
      </c>
    </row>
    <row r="43" spans="1:3" x14ac:dyDescent="0.35">
      <c r="A43">
        <v>17</v>
      </c>
      <c r="B43" s="5" t="s">
        <v>46</v>
      </c>
      <c r="C43" s="15">
        <f>'FAC 5'!J11</f>
        <v>0.14691358024691359</v>
      </c>
    </row>
    <row r="44" spans="1:3" x14ac:dyDescent="0.35">
      <c r="A44">
        <v>18</v>
      </c>
      <c r="B44" s="5" t="s">
        <v>47</v>
      </c>
      <c r="C44" s="15">
        <f>'FAC 5'!J20</f>
        <v>0.12839506172839507</v>
      </c>
    </row>
    <row r="45" spans="1:3" x14ac:dyDescent="0.35">
      <c r="A45">
        <v>19</v>
      </c>
      <c r="B45" s="5" t="s">
        <v>48</v>
      </c>
      <c r="C45" s="15">
        <f>'FAC 5'!J29</f>
        <v>0.11358024691358025</v>
      </c>
    </row>
    <row r="46" spans="1:3" x14ac:dyDescent="0.35">
      <c r="A46">
        <v>20</v>
      </c>
      <c r="B46" s="5" t="s">
        <v>49</v>
      </c>
      <c r="C46" s="15">
        <f>'FAC 5'!J38</f>
        <v>7.5308641975308649E-2</v>
      </c>
    </row>
    <row r="47" spans="1:3" x14ac:dyDescent="0.35">
      <c r="A47">
        <v>21</v>
      </c>
      <c r="B47" s="5" t="s">
        <v>50</v>
      </c>
      <c r="C47" s="15">
        <f>'FAC 5'!J47</f>
        <v>0.12839506172839507</v>
      </c>
    </row>
    <row r="48" spans="1:3" x14ac:dyDescent="0.35">
      <c r="A48">
        <v>22</v>
      </c>
      <c r="B48" s="5" t="s">
        <v>51</v>
      </c>
      <c r="C48" s="15">
        <f>'FAC 5'!J56</f>
        <v>0.10987654320987654</v>
      </c>
    </row>
    <row r="49" spans="1:3" x14ac:dyDescent="0.35">
      <c r="A49">
        <v>23</v>
      </c>
      <c r="B49" s="5" t="s">
        <v>52</v>
      </c>
      <c r="C49" s="15">
        <f>'FAC 5'!J65</f>
        <v>6.7901234567901231E-2</v>
      </c>
    </row>
    <row r="50" spans="1:3" x14ac:dyDescent="0.35">
      <c r="A50">
        <v>24</v>
      </c>
      <c r="B50" s="5" t="s">
        <v>53</v>
      </c>
      <c r="C50" s="15">
        <f>'FAC 5'!J74</f>
        <v>5.802469135802469E-2</v>
      </c>
    </row>
    <row r="53" spans="1:3" x14ac:dyDescent="0.35">
      <c r="B53" s="11" t="s">
        <v>82</v>
      </c>
      <c r="C53" s="8" t="s">
        <v>77</v>
      </c>
    </row>
    <row r="54" spans="1:3" x14ac:dyDescent="0.35">
      <c r="A54">
        <v>25</v>
      </c>
      <c r="B54" s="3" t="s">
        <v>54</v>
      </c>
      <c r="C54" s="9">
        <f>'FAC 6'!J2</f>
        <v>0.26111111111111113</v>
      </c>
    </row>
    <row r="55" spans="1:3" x14ac:dyDescent="0.35">
      <c r="A55">
        <v>26</v>
      </c>
      <c r="B55" s="3" t="s">
        <v>55</v>
      </c>
      <c r="C55" s="9">
        <f>'FAC 6'!J6</f>
        <v>0.27777777777777779</v>
      </c>
    </row>
    <row r="56" spans="1:3" x14ac:dyDescent="0.35">
      <c r="A56">
        <v>27</v>
      </c>
      <c r="B56" s="3" t="s">
        <v>56</v>
      </c>
      <c r="C56" s="9">
        <f>'FAC 6'!J10</f>
        <v>0.21111111111111111</v>
      </c>
    </row>
    <row r="57" spans="1:3" x14ac:dyDescent="0.35">
      <c r="A57">
        <v>28</v>
      </c>
      <c r="B57" s="3" t="s">
        <v>57</v>
      </c>
      <c r="C57" s="9">
        <f>'FAC 6'!J14</f>
        <v>0.25</v>
      </c>
    </row>
    <row r="60" spans="1:3" x14ac:dyDescent="0.35">
      <c r="B60" s="11" t="s">
        <v>83</v>
      </c>
      <c r="C60" s="8" t="s">
        <v>77</v>
      </c>
    </row>
    <row r="61" spans="1:3" x14ac:dyDescent="0.35">
      <c r="A61">
        <v>29</v>
      </c>
      <c r="B61" s="8" t="s">
        <v>58</v>
      </c>
      <c r="C61" s="9">
        <f>'FAC 7'!J2</f>
        <v>0.34782608695652173</v>
      </c>
    </row>
    <row r="62" spans="1:3" x14ac:dyDescent="0.35">
      <c r="A62">
        <v>30</v>
      </c>
      <c r="B62" s="8" t="s">
        <v>59</v>
      </c>
      <c r="C62" s="9">
        <f>'FAC 7'!J5</f>
        <v>0.40579710144927539</v>
      </c>
    </row>
    <row r="63" spans="1:3" x14ac:dyDescent="0.35">
      <c r="A63">
        <v>31</v>
      </c>
      <c r="B63" s="8" t="s">
        <v>60</v>
      </c>
      <c r="C63" s="9">
        <f>'FAC 7'!J8</f>
        <v>0.24637681159420291</v>
      </c>
    </row>
    <row r="65" spans="1:3" x14ac:dyDescent="0.35">
      <c r="B65" s="11" t="s">
        <v>84</v>
      </c>
      <c r="C65" s="8" t="s">
        <v>77</v>
      </c>
    </row>
    <row r="66" spans="1:3" x14ac:dyDescent="0.35">
      <c r="A66">
        <v>32</v>
      </c>
      <c r="B66" s="5" t="s">
        <v>61</v>
      </c>
      <c r="C66" s="9">
        <f>'FAC 8'!J2</f>
        <v>0.53333333333333333</v>
      </c>
    </row>
    <row r="67" spans="1:3" x14ac:dyDescent="0.35">
      <c r="A67">
        <v>33</v>
      </c>
      <c r="B67" s="5" t="s">
        <v>62</v>
      </c>
      <c r="C67" s="9">
        <f>'FAC 8'!J4</f>
        <v>0.46666666666666667</v>
      </c>
    </row>
    <row r="70" spans="1:3" x14ac:dyDescent="0.35">
      <c r="B70" s="5" t="s">
        <v>85</v>
      </c>
      <c r="C70" s="8" t="s">
        <v>77</v>
      </c>
    </row>
    <row r="71" spans="1:3" x14ac:dyDescent="0.35">
      <c r="A71">
        <v>34</v>
      </c>
      <c r="B71" s="5" t="s">
        <v>63</v>
      </c>
      <c r="C71" s="9">
        <f>'FAC 9'!J2</f>
        <v>0.54761904761904767</v>
      </c>
    </row>
    <row r="72" spans="1:3" x14ac:dyDescent="0.35">
      <c r="A72">
        <v>35</v>
      </c>
      <c r="B72" s="5" t="s">
        <v>64</v>
      </c>
      <c r="C72" s="9">
        <f>'FAC 9'!J4</f>
        <v>0.45238095238095238</v>
      </c>
    </row>
    <row r="75" spans="1:3" x14ac:dyDescent="0.35">
      <c r="B75" s="5" t="s">
        <v>86</v>
      </c>
      <c r="C75" s="8" t="s">
        <v>77</v>
      </c>
    </row>
    <row r="76" spans="1:3" x14ac:dyDescent="0.35">
      <c r="A76">
        <v>36</v>
      </c>
      <c r="B76" s="5" t="s">
        <v>65</v>
      </c>
      <c r="C76" s="9">
        <f>'FAC 10'!J2</f>
        <v>0.39855072463768115</v>
      </c>
    </row>
    <row r="77" spans="1:3" x14ac:dyDescent="0.35">
      <c r="A77">
        <v>37</v>
      </c>
      <c r="B77" s="5" t="s">
        <v>66</v>
      </c>
      <c r="C77" s="9">
        <f>'FAC 10'!J5</f>
        <v>0.35507246376811596</v>
      </c>
    </row>
    <row r="78" spans="1:3" x14ac:dyDescent="0.35">
      <c r="A78">
        <v>38</v>
      </c>
      <c r="B78" s="5" t="s">
        <v>67</v>
      </c>
      <c r="C78" s="9">
        <f>'FAC 10'!J8</f>
        <v>0.24637681159420291</v>
      </c>
    </row>
    <row r="81" spans="1:3" x14ac:dyDescent="0.35">
      <c r="B81" s="5" t="s">
        <v>87</v>
      </c>
      <c r="C81" s="8" t="s">
        <v>77</v>
      </c>
    </row>
    <row r="82" spans="1:3" x14ac:dyDescent="0.35">
      <c r="A82">
        <v>39</v>
      </c>
      <c r="B82" s="5" t="s">
        <v>68</v>
      </c>
      <c r="C82" s="9">
        <f>'FAC 11'!J2</f>
        <v>0.23015873015873015</v>
      </c>
    </row>
    <row r="83" spans="1:3" x14ac:dyDescent="0.35">
      <c r="A83">
        <v>40</v>
      </c>
      <c r="B83" s="5" t="s">
        <v>69</v>
      </c>
      <c r="C83" s="9">
        <f>'FAC 11'!J8</f>
        <v>0.21164021164021163</v>
      </c>
    </row>
    <row r="84" spans="1:3" x14ac:dyDescent="0.35">
      <c r="A84">
        <v>41</v>
      </c>
      <c r="B84" s="5" t="s">
        <v>70</v>
      </c>
      <c r="C84" s="9">
        <f>'FAC 11'!J14</f>
        <v>0.13227513227513227</v>
      </c>
    </row>
    <row r="85" spans="1:3" x14ac:dyDescent="0.35">
      <c r="A85">
        <v>42</v>
      </c>
      <c r="B85" s="5" t="s">
        <v>71</v>
      </c>
      <c r="C85" s="9">
        <f>'FAC 11'!J20</f>
        <v>0.11904761904761904</v>
      </c>
    </row>
    <row r="86" spans="1:3" x14ac:dyDescent="0.35">
      <c r="A86">
        <v>43</v>
      </c>
      <c r="B86" s="5" t="s">
        <v>72</v>
      </c>
      <c r="C86" s="9">
        <f>'FAC 11'!J26</f>
        <v>0.12962962962962962</v>
      </c>
    </row>
    <row r="87" spans="1:3" x14ac:dyDescent="0.35">
      <c r="A87">
        <v>44</v>
      </c>
      <c r="B87" s="5" t="s">
        <v>73</v>
      </c>
      <c r="C87" s="9">
        <f>'FAC 11'!J32</f>
        <v>0.17724867724867724</v>
      </c>
    </row>
    <row r="89" spans="1:3" x14ac:dyDescent="0.35">
      <c r="B89" s="5" t="s">
        <v>88</v>
      </c>
      <c r="C89" s="8" t="s">
        <v>77</v>
      </c>
    </row>
    <row r="90" spans="1:3" x14ac:dyDescent="0.35">
      <c r="A90">
        <v>45</v>
      </c>
      <c r="B90" s="5" t="s">
        <v>74</v>
      </c>
      <c r="C90" s="9">
        <f>'FAC 12'!J2</f>
        <v>0.52380952380952384</v>
      </c>
    </row>
    <row r="91" spans="1:3" x14ac:dyDescent="0.35">
      <c r="A91">
        <v>46</v>
      </c>
      <c r="B91" s="5" t="s">
        <v>75</v>
      </c>
      <c r="C91" s="9">
        <f>'FAC 12'!J4</f>
        <v>0.47619047619047616</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122E3-61D3-4B9B-A67D-563CF1F52D74}">
  <dimension ref="A1:E50"/>
  <sheetViews>
    <sheetView workbookViewId="0">
      <selection activeCell="C2" sqref="C2:C50"/>
    </sheetView>
  </sheetViews>
  <sheetFormatPr baseColWidth="10" defaultColWidth="30.453125" defaultRowHeight="14.5" x14ac:dyDescent="0.35"/>
  <cols>
    <col min="1" max="1" width="6.54296875" bestFit="1" customWidth="1"/>
    <col min="2" max="2" width="30.1796875" bestFit="1" customWidth="1"/>
    <col min="3" max="3" width="9.54296875" bestFit="1" customWidth="1"/>
    <col min="5" max="5" width="9.54296875" bestFit="1" customWidth="1"/>
  </cols>
  <sheetData>
    <row r="1" spans="1:5" ht="23.5" thickBot="1" x14ac:dyDescent="0.4">
      <c r="A1" s="16" t="s">
        <v>89</v>
      </c>
      <c r="B1" s="17" t="s">
        <v>90</v>
      </c>
      <c r="C1" s="17" t="s">
        <v>91</v>
      </c>
      <c r="D1" s="17" t="s">
        <v>92</v>
      </c>
      <c r="E1" s="17" t="s">
        <v>93</v>
      </c>
    </row>
    <row r="2" spans="1:5" ht="15" thickBot="1" x14ac:dyDescent="0.4">
      <c r="A2" s="103">
        <v>1</v>
      </c>
      <c r="B2" s="106" t="s">
        <v>5</v>
      </c>
      <c r="C2" s="108">
        <f>Graficos!C3</f>
        <v>0.12078272604588394</v>
      </c>
      <c r="D2" s="18" t="s">
        <v>94</v>
      </c>
      <c r="E2" s="19">
        <f>Graficos!C18</f>
        <v>0.53846153846153844</v>
      </c>
    </row>
    <row r="3" spans="1:5" ht="23.5" thickBot="1" x14ac:dyDescent="0.4">
      <c r="A3" s="104"/>
      <c r="B3" s="107"/>
      <c r="C3" s="104"/>
      <c r="D3" s="18" t="s">
        <v>31</v>
      </c>
      <c r="E3" s="19">
        <f>Graficos!C19</f>
        <v>0.46153846153846156</v>
      </c>
    </row>
    <row r="4" spans="1:5" ht="23.5" thickBot="1" x14ac:dyDescent="0.4">
      <c r="A4" s="103">
        <v>2</v>
      </c>
      <c r="B4" s="106" t="s">
        <v>19</v>
      </c>
      <c r="C4" s="108">
        <f>Graficos!C4</f>
        <v>0.12415654520917679</v>
      </c>
      <c r="D4" s="18" t="s">
        <v>95</v>
      </c>
      <c r="E4" s="19">
        <f>Graficos!C23</f>
        <v>0.33139534883720928</v>
      </c>
    </row>
    <row r="5" spans="1:5" ht="15" thickBot="1" x14ac:dyDescent="0.4">
      <c r="A5" s="105"/>
      <c r="B5" s="109"/>
      <c r="C5" s="105"/>
      <c r="D5" s="18" t="s">
        <v>96</v>
      </c>
      <c r="E5" s="19">
        <f>Graficos!C24</f>
        <v>0.18023255813953487</v>
      </c>
    </row>
    <row r="6" spans="1:5" ht="15" thickBot="1" x14ac:dyDescent="0.4">
      <c r="A6" s="105"/>
      <c r="B6" s="109"/>
      <c r="C6" s="105"/>
      <c r="D6" s="18" t="s">
        <v>97</v>
      </c>
      <c r="E6" s="19">
        <f>Graficos!C25</f>
        <v>0.19186046511627908</v>
      </c>
    </row>
    <row r="7" spans="1:5" ht="23.5" thickBot="1" x14ac:dyDescent="0.4">
      <c r="A7" s="105"/>
      <c r="B7" s="109"/>
      <c r="C7" s="105"/>
      <c r="D7" s="18" t="s">
        <v>98</v>
      </c>
      <c r="E7" s="19">
        <f>Graficos!C26</f>
        <v>0.13372093023255813</v>
      </c>
    </row>
    <row r="8" spans="1:5" ht="15" thickBot="1" x14ac:dyDescent="0.4">
      <c r="A8" s="104"/>
      <c r="B8" s="107"/>
      <c r="C8" s="104"/>
      <c r="D8" s="18" t="s">
        <v>36</v>
      </c>
      <c r="E8" s="19">
        <f>Graficos!C27</f>
        <v>0.16279069767441862</v>
      </c>
    </row>
    <row r="9" spans="1:5" ht="15" thickBot="1" x14ac:dyDescent="0.4">
      <c r="A9" s="103">
        <v>3</v>
      </c>
      <c r="B9" s="106" t="s">
        <v>20</v>
      </c>
      <c r="C9" s="108">
        <f>Graficos!C5</f>
        <v>0.11673414304993253</v>
      </c>
      <c r="D9" s="18" t="s">
        <v>99</v>
      </c>
      <c r="E9" s="19">
        <f>Graficos!C31</f>
        <v>0.17129629629629631</v>
      </c>
    </row>
    <row r="10" spans="1:5" ht="15" thickBot="1" x14ac:dyDescent="0.4">
      <c r="A10" s="105"/>
      <c r="B10" s="109"/>
      <c r="C10" s="105"/>
      <c r="D10" s="18" t="s">
        <v>100</v>
      </c>
      <c r="E10" s="19">
        <f>Graficos!C32</f>
        <v>0.13734567901234568</v>
      </c>
    </row>
    <row r="11" spans="1:5" ht="23.5" thickBot="1" x14ac:dyDescent="0.4">
      <c r="A11" s="105"/>
      <c r="B11" s="109"/>
      <c r="C11" s="105"/>
      <c r="D11" s="18" t="s">
        <v>101</v>
      </c>
      <c r="E11" s="19">
        <f>Graficos!C33</f>
        <v>0.15740740740740741</v>
      </c>
    </row>
    <row r="12" spans="1:5" ht="15" thickBot="1" x14ac:dyDescent="0.4">
      <c r="A12" s="105"/>
      <c r="B12" s="109"/>
      <c r="C12" s="105"/>
      <c r="D12" s="18" t="s">
        <v>102</v>
      </c>
      <c r="E12" s="19">
        <f>Graficos!C34</f>
        <v>0.15277777777777779</v>
      </c>
    </row>
    <row r="13" spans="1:5" ht="15" thickBot="1" x14ac:dyDescent="0.4">
      <c r="A13" s="105"/>
      <c r="B13" s="109"/>
      <c r="C13" s="105"/>
      <c r="D13" s="18" t="s">
        <v>103</v>
      </c>
      <c r="E13" s="19">
        <f>Graficos!C35</f>
        <v>0.10339506172839506</v>
      </c>
    </row>
    <row r="14" spans="1:5" ht="23.5" thickBot="1" x14ac:dyDescent="0.4">
      <c r="A14" s="105"/>
      <c r="B14" s="109"/>
      <c r="C14" s="105"/>
      <c r="D14" s="18" t="s">
        <v>104</v>
      </c>
      <c r="E14" s="19">
        <f>Graficos!C36</f>
        <v>0.11728395061728394</v>
      </c>
    </row>
    <row r="15" spans="1:5" ht="15" thickBot="1" x14ac:dyDescent="0.4">
      <c r="A15" s="105"/>
      <c r="B15" s="109"/>
      <c r="C15" s="105"/>
      <c r="D15" s="18" t="s">
        <v>105</v>
      </c>
      <c r="E15" s="19">
        <f>Graficos!C37</f>
        <v>9.4135802469135804E-2</v>
      </c>
    </row>
    <row r="16" spans="1:5" ht="15" thickBot="1" x14ac:dyDescent="0.4">
      <c r="A16" s="104"/>
      <c r="B16" s="107"/>
      <c r="C16" s="104"/>
      <c r="D16" s="18" t="s">
        <v>44</v>
      </c>
      <c r="E16" s="19">
        <f>Graficos!C38</f>
        <v>6.6358024691358028E-2</v>
      </c>
    </row>
    <row r="17" spans="1:5" ht="15" thickBot="1" x14ac:dyDescent="0.4">
      <c r="A17" s="103">
        <v>4</v>
      </c>
      <c r="B17" s="106" t="s">
        <v>29</v>
      </c>
      <c r="C17" s="108">
        <f>Graficos!C6</f>
        <v>0.10796221322537113</v>
      </c>
      <c r="D17" s="18" t="s">
        <v>106</v>
      </c>
      <c r="E17" s="19">
        <v>0.54761904761904767</v>
      </c>
    </row>
    <row r="18" spans="1:5" ht="23.5" thickBot="1" x14ac:dyDescent="0.4">
      <c r="A18" s="104"/>
      <c r="B18" s="107"/>
      <c r="C18" s="104"/>
      <c r="D18" s="18" t="s">
        <v>107</v>
      </c>
      <c r="E18" s="19">
        <v>0.45238095238095238</v>
      </c>
    </row>
    <row r="19" spans="1:5" ht="15" thickBot="1" x14ac:dyDescent="0.4">
      <c r="A19" s="103">
        <v>5</v>
      </c>
      <c r="B19" s="106" t="s">
        <v>21</v>
      </c>
      <c r="C19" s="108">
        <f>Graficos!C7</f>
        <v>6.7476383265856948E-2</v>
      </c>
      <c r="D19" s="18" t="s">
        <v>108</v>
      </c>
      <c r="E19" s="19">
        <f>Graficos!C42</f>
        <v>0.17160493827160495</v>
      </c>
    </row>
    <row r="20" spans="1:5" ht="15" thickBot="1" x14ac:dyDescent="0.4">
      <c r="A20" s="105"/>
      <c r="B20" s="109"/>
      <c r="C20" s="105"/>
      <c r="D20" s="18" t="s">
        <v>109</v>
      </c>
      <c r="E20" s="19">
        <f>Graficos!C43</f>
        <v>0.14691358024691359</v>
      </c>
    </row>
    <row r="21" spans="1:5" ht="15" thickBot="1" x14ac:dyDescent="0.4">
      <c r="A21" s="105"/>
      <c r="B21" s="109"/>
      <c r="C21" s="105"/>
      <c r="D21" s="18" t="s">
        <v>110</v>
      </c>
      <c r="E21" s="19">
        <f>Graficos!C44</f>
        <v>0.12839506172839507</v>
      </c>
    </row>
    <row r="22" spans="1:5" ht="15" thickBot="1" x14ac:dyDescent="0.4">
      <c r="A22" s="105"/>
      <c r="B22" s="109"/>
      <c r="C22" s="105"/>
      <c r="D22" s="18" t="s">
        <v>111</v>
      </c>
      <c r="E22" s="19">
        <f>Graficos!C45</f>
        <v>0.11358024691358025</v>
      </c>
    </row>
    <row r="23" spans="1:5" ht="15" thickBot="1" x14ac:dyDescent="0.4">
      <c r="A23" s="105"/>
      <c r="B23" s="109"/>
      <c r="C23" s="105"/>
      <c r="D23" s="18" t="s">
        <v>112</v>
      </c>
      <c r="E23" s="19">
        <f>Graficos!C46</f>
        <v>7.5308641975308649E-2</v>
      </c>
    </row>
    <row r="24" spans="1:5" ht="15" thickBot="1" x14ac:dyDescent="0.4">
      <c r="A24" s="105"/>
      <c r="B24" s="109"/>
      <c r="C24" s="105"/>
      <c r="D24" s="18" t="s">
        <v>113</v>
      </c>
      <c r="E24" s="19">
        <f>Graficos!C47</f>
        <v>0.12839506172839507</v>
      </c>
    </row>
    <row r="25" spans="1:5" ht="15" thickBot="1" x14ac:dyDescent="0.4">
      <c r="A25" s="105"/>
      <c r="B25" s="109"/>
      <c r="C25" s="105"/>
      <c r="D25" s="18" t="s">
        <v>114</v>
      </c>
      <c r="E25" s="19">
        <f>Graficos!C48</f>
        <v>0.10987654320987654</v>
      </c>
    </row>
    <row r="26" spans="1:5" ht="23.5" thickBot="1" x14ac:dyDescent="0.4">
      <c r="A26" s="105"/>
      <c r="B26" s="109"/>
      <c r="C26" s="105"/>
      <c r="D26" s="18" t="s">
        <v>115</v>
      </c>
      <c r="E26" s="19">
        <f>Graficos!C49</f>
        <v>6.7901234567901231E-2</v>
      </c>
    </row>
    <row r="27" spans="1:5" ht="15" thickBot="1" x14ac:dyDescent="0.4">
      <c r="A27" s="104"/>
      <c r="B27" s="107"/>
      <c r="C27" s="104"/>
      <c r="D27" s="18" t="s">
        <v>53</v>
      </c>
      <c r="E27" s="19">
        <f>Graficos!C50</f>
        <v>5.802469135802469E-2</v>
      </c>
    </row>
    <row r="28" spans="1:5" ht="23.5" thickBot="1" x14ac:dyDescent="0.4">
      <c r="A28" s="103">
        <v>6</v>
      </c>
      <c r="B28" s="106" t="s">
        <v>22</v>
      </c>
      <c r="C28" s="108">
        <f>Graficos!C8</f>
        <v>7.28744939271255E-2</v>
      </c>
      <c r="D28" s="18" t="s">
        <v>116</v>
      </c>
      <c r="E28" s="19">
        <f>Graficos!C54</f>
        <v>0.26111111111111113</v>
      </c>
    </row>
    <row r="29" spans="1:5" ht="23.5" thickBot="1" x14ac:dyDescent="0.4">
      <c r="A29" s="105"/>
      <c r="B29" s="109"/>
      <c r="C29" s="105"/>
      <c r="D29" s="18" t="s">
        <v>117</v>
      </c>
      <c r="E29" s="19">
        <f>Graficos!C55</f>
        <v>0.27777777777777779</v>
      </c>
    </row>
    <row r="30" spans="1:5" ht="15" thickBot="1" x14ac:dyDescent="0.4">
      <c r="A30" s="105"/>
      <c r="B30" s="109"/>
      <c r="C30" s="105"/>
      <c r="D30" s="18" t="s">
        <v>118</v>
      </c>
      <c r="E30" s="19">
        <f>Graficos!C56</f>
        <v>0.21111111111111111</v>
      </c>
    </row>
    <row r="31" spans="1:5" ht="15" thickBot="1" x14ac:dyDescent="0.4">
      <c r="A31" s="104"/>
      <c r="B31" s="107"/>
      <c r="C31" s="104"/>
      <c r="D31" s="18" t="s">
        <v>57</v>
      </c>
      <c r="E31" s="19">
        <f>Graficos!C57</f>
        <v>0.25</v>
      </c>
    </row>
    <row r="32" spans="1:5" ht="23.5" thickBot="1" x14ac:dyDescent="0.4">
      <c r="A32" s="103">
        <v>7</v>
      </c>
      <c r="B32" s="106" t="s">
        <v>23</v>
      </c>
      <c r="C32" s="108">
        <f>Graficos!C9</f>
        <v>0.10593792172739541</v>
      </c>
      <c r="D32" s="18" t="s">
        <v>119</v>
      </c>
      <c r="E32" s="19">
        <f>Graficos!C61</f>
        <v>0.34782608695652173</v>
      </c>
    </row>
    <row r="33" spans="1:5" ht="23.5" thickBot="1" x14ac:dyDescent="0.4">
      <c r="A33" s="105"/>
      <c r="B33" s="109"/>
      <c r="C33" s="105"/>
      <c r="D33" s="18" t="s">
        <v>120</v>
      </c>
      <c r="E33" s="19">
        <f>Graficos!C62</f>
        <v>0.40579710144927539</v>
      </c>
    </row>
    <row r="34" spans="1:5" ht="23.5" thickBot="1" x14ac:dyDescent="0.4">
      <c r="A34" s="104"/>
      <c r="B34" s="107"/>
      <c r="C34" s="104"/>
      <c r="D34" s="18" t="s">
        <v>60</v>
      </c>
      <c r="E34" s="19">
        <f>Graficos!C63</f>
        <v>0.24637681159420291</v>
      </c>
    </row>
    <row r="35" spans="1:5" x14ac:dyDescent="0.35">
      <c r="A35" s="103">
        <v>8</v>
      </c>
      <c r="B35" s="106" t="s">
        <v>24</v>
      </c>
      <c r="C35" s="108">
        <f>Graficos!C10</f>
        <v>4.7908232118758436E-2</v>
      </c>
      <c r="D35" s="110" t="s">
        <v>121</v>
      </c>
      <c r="E35" s="112">
        <f>Graficos!C66</f>
        <v>0.53333333333333333</v>
      </c>
    </row>
    <row r="36" spans="1:5" ht="15" thickBot="1" x14ac:dyDescent="0.4">
      <c r="A36" s="105"/>
      <c r="B36" s="109"/>
      <c r="C36" s="105"/>
      <c r="D36" s="111"/>
      <c r="E36" s="107"/>
    </row>
    <row r="37" spans="1:5" ht="35" thickBot="1" x14ac:dyDescent="0.4">
      <c r="A37" s="104"/>
      <c r="B37" s="107"/>
      <c r="C37" s="104"/>
      <c r="D37" s="18" t="s">
        <v>62</v>
      </c>
      <c r="E37" s="19">
        <f>Graficos!C67</f>
        <v>0.46666666666666667</v>
      </c>
    </row>
    <row r="38" spans="1:5" ht="15" thickBot="1" x14ac:dyDescent="0.4">
      <c r="A38" s="103">
        <v>9</v>
      </c>
      <c r="B38" s="106" t="s">
        <v>25</v>
      </c>
      <c r="C38" s="108">
        <f>Graficos!C11</f>
        <v>6.4102564102564097E-2</v>
      </c>
      <c r="D38" s="18" t="s">
        <v>122</v>
      </c>
      <c r="E38" s="19">
        <f>Graficos!C71</f>
        <v>0.54761904761904767</v>
      </c>
    </row>
    <row r="39" spans="1:5" ht="15" thickBot="1" x14ac:dyDescent="0.4">
      <c r="A39" s="104"/>
      <c r="B39" s="107"/>
      <c r="C39" s="104"/>
      <c r="D39" s="18" t="s">
        <v>64</v>
      </c>
      <c r="E39" s="19">
        <f>Graficos!C72</f>
        <v>0.45238095238095238</v>
      </c>
    </row>
    <row r="40" spans="1:5" ht="23.5" thickBot="1" x14ac:dyDescent="0.4">
      <c r="A40" s="103">
        <v>10</v>
      </c>
      <c r="B40" s="106" t="s">
        <v>26</v>
      </c>
      <c r="C40" s="108">
        <f>Graficos!C12</f>
        <v>6.8825910931174086E-2</v>
      </c>
      <c r="D40" s="18" t="s">
        <v>123</v>
      </c>
      <c r="E40" s="19">
        <f>Graficos!C76</f>
        <v>0.39855072463768115</v>
      </c>
    </row>
    <row r="41" spans="1:5" ht="23.5" thickBot="1" x14ac:dyDescent="0.4">
      <c r="A41" s="105">
        <v>10</v>
      </c>
      <c r="B41" s="109"/>
      <c r="C41" s="105"/>
      <c r="D41" s="18" t="s">
        <v>124</v>
      </c>
      <c r="E41" s="19">
        <f>Graficos!C77</f>
        <v>0.35507246376811596</v>
      </c>
    </row>
    <row r="42" spans="1:5" ht="23.5" thickBot="1" x14ac:dyDescent="0.4">
      <c r="A42" s="104"/>
      <c r="B42" s="107"/>
      <c r="C42" s="104"/>
      <c r="D42" s="18" t="s">
        <v>67</v>
      </c>
      <c r="E42" s="19">
        <f>Graficos!C78</f>
        <v>0.24637681159420291</v>
      </c>
    </row>
    <row r="43" spans="1:5" ht="15" thickBot="1" x14ac:dyDescent="0.4">
      <c r="A43" s="103">
        <v>11</v>
      </c>
      <c r="B43" s="106" t="s">
        <v>27</v>
      </c>
      <c r="C43" s="108">
        <f>Graficos!C13</f>
        <v>6.6801619433198386E-2</v>
      </c>
      <c r="D43" s="18" t="s">
        <v>125</v>
      </c>
      <c r="E43" s="19">
        <f>Graficos!C82</f>
        <v>0.23015873015873015</v>
      </c>
    </row>
    <row r="44" spans="1:5" ht="15" thickBot="1" x14ac:dyDescent="0.4">
      <c r="A44" s="105"/>
      <c r="B44" s="109"/>
      <c r="C44" s="105"/>
      <c r="D44" s="18" t="s">
        <v>126</v>
      </c>
      <c r="E44" s="19">
        <f>Graficos!C83</f>
        <v>0.21164021164021163</v>
      </c>
    </row>
    <row r="45" spans="1:5" ht="23.5" thickBot="1" x14ac:dyDescent="0.4">
      <c r="A45" s="105"/>
      <c r="B45" s="109"/>
      <c r="C45" s="105"/>
      <c r="D45" s="18" t="s">
        <v>127</v>
      </c>
      <c r="E45" s="19">
        <f>Graficos!C84</f>
        <v>0.13227513227513227</v>
      </c>
    </row>
    <row r="46" spans="1:5" ht="15" thickBot="1" x14ac:dyDescent="0.4">
      <c r="A46" s="105"/>
      <c r="B46" s="109"/>
      <c r="C46" s="105"/>
      <c r="D46" s="18" t="s">
        <v>128</v>
      </c>
      <c r="E46" s="19">
        <f>Graficos!C85</f>
        <v>0.11904761904761904</v>
      </c>
    </row>
    <row r="47" spans="1:5" ht="15" thickBot="1" x14ac:dyDescent="0.4">
      <c r="A47" s="105"/>
      <c r="B47" s="109"/>
      <c r="C47" s="105"/>
      <c r="D47" s="18" t="s">
        <v>129</v>
      </c>
      <c r="E47" s="19">
        <f>Graficos!C86</f>
        <v>0.12962962962962962</v>
      </c>
    </row>
    <row r="48" spans="1:5" ht="23.5" thickBot="1" x14ac:dyDescent="0.4">
      <c r="A48" s="104"/>
      <c r="B48" s="107"/>
      <c r="C48" s="104"/>
      <c r="D48" s="18" t="s">
        <v>73</v>
      </c>
      <c r="E48" s="19">
        <f>Graficos!C87</f>
        <v>0.17724867724867724</v>
      </c>
    </row>
    <row r="49" spans="1:5" ht="23.5" thickBot="1" x14ac:dyDescent="0.4">
      <c r="A49" s="103">
        <v>12</v>
      </c>
      <c r="B49" s="106" t="s">
        <v>28</v>
      </c>
      <c r="C49" s="108">
        <f>Graficos!C14</f>
        <v>3.643724696356275E-2</v>
      </c>
      <c r="D49" s="18" t="s">
        <v>130</v>
      </c>
      <c r="E49" s="19">
        <f>Graficos!C90</f>
        <v>0.52380952380952384</v>
      </c>
    </row>
    <row r="50" spans="1:5" ht="23.5" thickBot="1" x14ac:dyDescent="0.4">
      <c r="A50" s="104"/>
      <c r="B50" s="107"/>
      <c r="C50" s="104"/>
      <c r="D50" s="18" t="s">
        <v>75</v>
      </c>
      <c r="E50" s="19">
        <f>Graficos!C91</f>
        <v>0.47619047619047616</v>
      </c>
    </row>
  </sheetData>
  <mergeCells count="38">
    <mergeCell ref="B2:B3"/>
    <mergeCell ref="C2:C3"/>
    <mergeCell ref="B4:B8"/>
    <mergeCell ref="C4:C8"/>
    <mergeCell ref="B9:B16"/>
    <mergeCell ref="C9:C16"/>
    <mergeCell ref="B17:B18"/>
    <mergeCell ref="C17:C18"/>
    <mergeCell ref="B19:B27"/>
    <mergeCell ref="C19:C27"/>
    <mergeCell ref="B28:B31"/>
    <mergeCell ref="C28:C31"/>
    <mergeCell ref="C32:C34"/>
    <mergeCell ref="B35:B37"/>
    <mergeCell ref="C35:C37"/>
    <mergeCell ref="D35:D36"/>
    <mergeCell ref="E35:E36"/>
    <mergeCell ref="C49:C50"/>
    <mergeCell ref="A2:A3"/>
    <mergeCell ref="A4:A8"/>
    <mergeCell ref="A9:A16"/>
    <mergeCell ref="A17:A18"/>
    <mergeCell ref="A19:A27"/>
    <mergeCell ref="A28:A31"/>
    <mergeCell ref="A32:A34"/>
    <mergeCell ref="A35:A37"/>
    <mergeCell ref="B38:B39"/>
    <mergeCell ref="C38:C39"/>
    <mergeCell ref="B40:B42"/>
    <mergeCell ref="C40:C42"/>
    <mergeCell ref="B43:B48"/>
    <mergeCell ref="C43:C48"/>
    <mergeCell ref="B32:B34"/>
    <mergeCell ref="A38:A39"/>
    <mergeCell ref="A40:A42"/>
    <mergeCell ref="A43:A48"/>
    <mergeCell ref="A49:A50"/>
    <mergeCell ref="B49:B50"/>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AACB6-6C4C-4AA3-8FB5-C34109032C38}">
  <sheetPr>
    <pageSetUpPr fitToPage="1"/>
  </sheetPr>
  <dimension ref="A1:Q96"/>
  <sheetViews>
    <sheetView topLeftCell="A4" zoomScale="70" zoomScaleNormal="70" workbookViewId="0">
      <selection activeCell="A50" sqref="A50:L56"/>
    </sheetView>
  </sheetViews>
  <sheetFormatPr baseColWidth="10" defaultColWidth="11.453125" defaultRowHeight="14.5" x14ac:dyDescent="0.35"/>
  <cols>
    <col min="1" max="1" width="51.81640625" customWidth="1"/>
    <col min="2" max="2" width="22.54296875" bestFit="1" customWidth="1"/>
    <col min="3" max="3" width="5.1796875" bestFit="1" customWidth="1"/>
    <col min="4" max="4" width="11.7265625" bestFit="1" customWidth="1"/>
    <col min="5" max="5" width="9.7265625" customWidth="1"/>
    <col min="6" max="6" width="11.453125" hidden="1" customWidth="1"/>
    <col min="7" max="7" width="11.453125" customWidth="1"/>
    <col min="8" max="8" width="55" style="14" customWidth="1"/>
    <col min="9" max="9" width="12.54296875" bestFit="1" customWidth="1"/>
    <col min="10" max="12" width="11.453125" customWidth="1"/>
    <col min="13" max="13" width="22.54296875" bestFit="1" customWidth="1"/>
    <col min="14" max="14" width="20" bestFit="1" customWidth="1"/>
    <col min="15" max="15" width="15" bestFit="1" customWidth="1"/>
    <col min="16" max="16" width="13" bestFit="1" customWidth="1"/>
    <col min="17" max="17" width="27.81640625" bestFit="1" customWidth="1"/>
    <col min="18" max="18" width="38.26953125" customWidth="1"/>
  </cols>
  <sheetData>
    <row r="1" spans="1:17" ht="24.5" thickBot="1" x14ac:dyDescent="0.4">
      <c r="A1" s="46" t="s">
        <v>76</v>
      </c>
      <c r="B1" s="46" t="s">
        <v>131</v>
      </c>
      <c r="C1" s="46" t="s">
        <v>132</v>
      </c>
      <c r="D1" s="46" t="s">
        <v>77</v>
      </c>
      <c r="E1" s="46"/>
      <c r="F1" s="21"/>
      <c r="G1" s="4" t="s">
        <v>89</v>
      </c>
      <c r="H1" s="4" t="s">
        <v>90</v>
      </c>
      <c r="I1" s="4" t="s">
        <v>91</v>
      </c>
      <c r="J1" s="31" t="s">
        <v>131</v>
      </c>
      <c r="K1" s="31" t="s">
        <v>132</v>
      </c>
      <c r="M1" s="101" t="s">
        <v>5</v>
      </c>
      <c r="N1" s="101"/>
      <c r="O1" s="101"/>
      <c r="P1" s="101"/>
      <c r="Q1" s="101"/>
    </row>
    <row r="2" spans="1:17" ht="15" customHeight="1" x14ac:dyDescent="0.35">
      <c r="A2" s="47" t="s">
        <v>133</v>
      </c>
      <c r="B2" s="48" t="s">
        <v>134</v>
      </c>
      <c r="C2" s="48">
        <v>4.4000000000000004</v>
      </c>
      <c r="D2" s="49">
        <v>0.14699999999999999</v>
      </c>
      <c r="E2" s="48">
        <v>0.7</v>
      </c>
      <c r="F2" s="57"/>
      <c r="G2" s="4">
        <v>1</v>
      </c>
      <c r="H2" s="3" t="s">
        <v>5</v>
      </c>
      <c r="I2" s="20">
        <v>0.12078272604588394</v>
      </c>
      <c r="M2" s="119" t="s">
        <v>135</v>
      </c>
      <c r="N2" s="119"/>
      <c r="O2" s="119" t="s">
        <v>136</v>
      </c>
      <c r="P2" s="119"/>
      <c r="Q2" s="119" t="s">
        <v>137</v>
      </c>
    </row>
    <row r="3" spans="1:17" ht="15" customHeight="1" x14ac:dyDescent="0.35">
      <c r="A3" s="113"/>
      <c r="B3" s="113"/>
      <c r="C3" s="113"/>
      <c r="D3" s="113"/>
      <c r="E3" s="113"/>
      <c r="F3" s="113"/>
      <c r="G3" s="113"/>
      <c r="H3" s="113"/>
      <c r="I3" s="113"/>
      <c r="J3" s="113"/>
      <c r="K3" s="113"/>
      <c r="L3" s="114"/>
      <c r="M3" s="119"/>
      <c r="N3" s="119"/>
      <c r="O3" s="119"/>
      <c r="P3" s="119"/>
      <c r="Q3" s="119"/>
    </row>
    <row r="4" spans="1:17" ht="15" customHeight="1" x14ac:dyDescent="0.35">
      <c r="A4" s="113"/>
      <c r="B4" s="113"/>
      <c r="C4" s="113"/>
      <c r="D4" s="113"/>
      <c r="E4" s="113"/>
      <c r="F4" s="113"/>
      <c r="G4" s="113"/>
      <c r="H4" s="113"/>
      <c r="I4" s="113"/>
      <c r="J4" s="113"/>
      <c r="K4" s="113"/>
      <c r="L4" s="114"/>
      <c r="M4" s="55" t="s">
        <v>138</v>
      </c>
      <c r="N4" s="55" t="s">
        <v>139</v>
      </c>
      <c r="O4" s="55" t="s">
        <v>138</v>
      </c>
      <c r="P4" s="55" t="s">
        <v>139</v>
      </c>
      <c r="Q4" s="119"/>
    </row>
    <row r="5" spans="1:17" ht="15" customHeight="1" x14ac:dyDescent="0.35">
      <c r="A5" s="113"/>
      <c r="B5" s="113"/>
      <c r="C5" s="113"/>
      <c r="D5" s="113"/>
      <c r="E5" s="113"/>
      <c r="F5" s="113"/>
      <c r="G5" s="113"/>
      <c r="H5" s="113"/>
      <c r="I5" s="113"/>
      <c r="J5" s="113"/>
      <c r="K5" s="113"/>
      <c r="L5" s="114"/>
      <c r="M5" s="48" t="s">
        <v>134</v>
      </c>
      <c r="N5" s="48" t="s">
        <v>134</v>
      </c>
      <c r="O5" s="48">
        <v>4.4000000000000004</v>
      </c>
      <c r="P5" s="48">
        <v>4</v>
      </c>
      <c r="Q5" s="20">
        <v>0.12078272604588394</v>
      </c>
    </row>
    <row r="6" spans="1:17" ht="15" customHeight="1" x14ac:dyDescent="0.35">
      <c r="A6" s="113"/>
      <c r="B6" s="113"/>
      <c r="C6" s="113"/>
      <c r="D6" s="113"/>
      <c r="E6" s="113"/>
      <c r="F6" s="113"/>
      <c r="G6" s="113"/>
      <c r="H6" s="113"/>
      <c r="I6" s="113"/>
      <c r="J6" s="113"/>
      <c r="K6" s="113"/>
      <c r="L6" s="114"/>
      <c r="M6" s="54" t="s">
        <v>140</v>
      </c>
      <c r="N6" s="54"/>
      <c r="O6" s="119" t="s">
        <v>141</v>
      </c>
      <c r="P6" s="119"/>
      <c r="Q6" s="119"/>
    </row>
    <row r="7" spans="1:17" ht="15" customHeight="1" x14ac:dyDescent="0.35">
      <c r="A7" s="113"/>
      <c r="B7" s="113"/>
      <c r="C7" s="113"/>
      <c r="D7" s="113"/>
      <c r="E7" s="113"/>
      <c r="F7" s="113"/>
      <c r="G7" s="113"/>
      <c r="H7" s="113"/>
      <c r="I7" s="113"/>
      <c r="J7" s="113"/>
      <c r="K7" s="113"/>
      <c r="L7" s="114"/>
      <c r="M7" s="115"/>
      <c r="N7" s="116"/>
      <c r="O7" s="120"/>
      <c r="P7" s="120"/>
      <c r="Q7" s="120"/>
    </row>
    <row r="8" spans="1:17" ht="15" customHeight="1" x14ac:dyDescent="0.35">
      <c r="A8" s="113"/>
      <c r="B8" s="113"/>
      <c r="C8" s="113"/>
      <c r="D8" s="113"/>
      <c r="E8" s="113"/>
      <c r="F8" s="113"/>
      <c r="G8" s="113"/>
      <c r="H8" s="113"/>
      <c r="I8" s="113"/>
      <c r="J8" s="113"/>
      <c r="K8" s="113"/>
      <c r="L8" s="114"/>
      <c r="M8" s="117"/>
      <c r="N8" s="118"/>
      <c r="O8" s="120"/>
      <c r="P8" s="120"/>
      <c r="Q8" s="120"/>
    </row>
    <row r="9" spans="1:17" ht="30" customHeight="1" x14ac:dyDescent="0.35">
      <c r="A9" s="50" t="s">
        <v>142</v>
      </c>
      <c r="B9" s="51" t="s">
        <v>134</v>
      </c>
      <c r="C9" s="51">
        <v>4</v>
      </c>
      <c r="D9" s="52">
        <v>0.13700000000000001</v>
      </c>
      <c r="E9" s="51">
        <v>0.5</v>
      </c>
      <c r="F9" s="58"/>
      <c r="G9" s="4">
        <v>2</v>
      </c>
      <c r="H9" s="3" t="s">
        <v>19</v>
      </c>
      <c r="I9" s="20">
        <v>0.12415654520917679</v>
      </c>
      <c r="M9" s="101" t="s">
        <v>19</v>
      </c>
      <c r="N9" s="101"/>
      <c r="O9" s="101"/>
      <c r="P9" s="101"/>
      <c r="Q9" s="101"/>
    </row>
    <row r="10" spans="1:17" ht="15" customHeight="1" x14ac:dyDescent="0.35">
      <c r="A10" s="113"/>
      <c r="B10" s="113"/>
      <c r="C10" s="113"/>
      <c r="D10" s="113"/>
      <c r="E10" s="113"/>
      <c r="F10" s="113"/>
      <c r="G10" s="113"/>
      <c r="H10" s="113"/>
      <c r="I10" s="113"/>
      <c r="J10" s="113"/>
      <c r="K10" s="113"/>
      <c r="L10" s="114"/>
      <c r="M10" s="119" t="s">
        <v>135</v>
      </c>
      <c r="N10" s="119"/>
      <c r="O10" s="119" t="s">
        <v>136</v>
      </c>
      <c r="P10" s="119"/>
      <c r="Q10" s="119" t="s">
        <v>137</v>
      </c>
    </row>
    <row r="11" spans="1:17" ht="15" customHeight="1" x14ac:dyDescent="0.35">
      <c r="A11" s="113"/>
      <c r="B11" s="113"/>
      <c r="C11" s="113"/>
      <c r="D11" s="113"/>
      <c r="E11" s="113"/>
      <c r="F11" s="113"/>
      <c r="G11" s="113"/>
      <c r="H11" s="113"/>
      <c r="I11" s="113"/>
      <c r="J11" s="113"/>
      <c r="K11" s="113"/>
      <c r="L11" s="114"/>
      <c r="M11" s="119"/>
      <c r="N11" s="119"/>
      <c r="O11" s="119"/>
      <c r="P11" s="119"/>
      <c r="Q11" s="119"/>
    </row>
    <row r="12" spans="1:17" x14ac:dyDescent="0.35">
      <c r="A12" s="113"/>
      <c r="B12" s="113"/>
      <c r="C12" s="113"/>
      <c r="D12" s="113"/>
      <c r="E12" s="113"/>
      <c r="F12" s="113"/>
      <c r="G12" s="113"/>
      <c r="H12" s="113"/>
      <c r="I12" s="113"/>
      <c r="J12" s="113"/>
      <c r="K12" s="113"/>
      <c r="L12" s="114"/>
      <c r="M12" s="55" t="s">
        <v>138</v>
      </c>
      <c r="N12" s="55" t="s">
        <v>139</v>
      </c>
      <c r="O12" s="55" t="s">
        <v>138</v>
      </c>
      <c r="P12" s="55" t="s">
        <v>139</v>
      </c>
      <c r="Q12" s="119"/>
    </row>
    <row r="13" spans="1:17" x14ac:dyDescent="0.35">
      <c r="A13" s="113"/>
      <c r="B13" s="113"/>
      <c r="C13" s="113"/>
      <c r="D13" s="113"/>
      <c r="E13" s="113"/>
      <c r="F13" s="113"/>
      <c r="G13" s="113"/>
      <c r="H13" s="113"/>
      <c r="I13" s="113"/>
      <c r="J13" s="113"/>
      <c r="K13" s="113"/>
      <c r="L13" s="114"/>
      <c r="M13" s="51" t="s">
        <v>134</v>
      </c>
      <c r="N13" s="51" t="s">
        <v>134</v>
      </c>
      <c r="O13" s="51">
        <v>4</v>
      </c>
      <c r="P13" s="48">
        <v>4.5999999999999996</v>
      </c>
      <c r="Q13" s="20">
        <v>0.124156545209177</v>
      </c>
    </row>
    <row r="14" spans="1:17" x14ac:dyDescent="0.35">
      <c r="A14" s="113"/>
      <c r="B14" s="113"/>
      <c r="C14" s="113"/>
      <c r="D14" s="113"/>
      <c r="E14" s="113"/>
      <c r="F14" s="113"/>
      <c r="G14" s="113"/>
      <c r="H14" s="113"/>
      <c r="I14" s="113"/>
      <c r="J14" s="113"/>
      <c r="K14" s="113"/>
      <c r="L14" s="114"/>
      <c r="M14" s="54" t="s">
        <v>140</v>
      </c>
      <c r="N14" s="54"/>
      <c r="O14" s="119" t="s">
        <v>141</v>
      </c>
      <c r="P14" s="119"/>
      <c r="Q14" s="119"/>
    </row>
    <row r="15" spans="1:17" x14ac:dyDescent="0.35">
      <c r="A15" s="113"/>
      <c r="B15" s="113"/>
      <c r="C15" s="113"/>
      <c r="D15" s="113"/>
      <c r="E15" s="113"/>
      <c r="F15" s="113"/>
      <c r="G15" s="113"/>
      <c r="H15" s="113"/>
      <c r="I15" s="113"/>
      <c r="J15" s="113"/>
      <c r="K15" s="113"/>
      <c r="L15" s="114"/>
      <c r="M15" s="115"/>
      <c r="N15" s="116"/>
      <c r="O15" s="120"/>
      <c r="P15" s="120"/>
      <c r="Q15" s="120"/>
    </row>
    <row r="16" spans="1:17" x14ac:dyDescent="0.35">
      <c r="A16" s="113"/>
      <c r="B16" s="113"/>
      <c r="C16" s="113"/>
      <c r="D16" s="113"/>
      <c r="E16" s="113"/>
      <c r="F16" s="113"/>
      <c r="G16" s="113"/>
      <c r="H16" s="113"/>
      <c r="I16" s="113"/>
      <c r="J16" s="113"/>
      <c r="K16" s="113"/>
      <c r="L16" s="114"/>
      <c r="M16" s="117"/>
      <c r="N16" s="118"/>
      <c r="O16" s="120"/>
      <c r="P16" s="120"/>
      <c r="Q16" s="120"/>
    </row>
    <row r="17" spans="1:17" x14ac:dyDescent="0.35">
      <c r="A17" s="47" t="s">
        <v>143</v>
      </c>
      <c r="B17" s="48" t="s">
        <v>134</v>
      </c>
      <c r="C17" s="48">
        <v>4.2</v>
      </c>
      <c r="D17" s="49">
        <v>0.126</v>
      </c>
      <c r="E17" s="48">
        <v>0.5</v>
      </c>
      <c r="F17" s="58"/>
      <c r="G17" s="4">
        <v>3</v>
      </c>
      <c r="H17" s="3" t="s">
        <v>20</v>
      </c>
      <c r="I17" s="20">
        <v>0.11673414304993253</v>
      </c>
      <c r="M17" s="101" t="s">
        <v>20</v>
      </c>
      <c r="N17" s="101"/>
      <c r="O17" s="101"/>
      <c r="P17" s="101"/>
      <c r="Q17" s="101"/>
    </row>
    <row r="18" spans="1:17" x14ac:dyDescent="0.35">
      <c r="A18" s="113"/>
      <c r="B18" s="113"/>
      <c r="C18" s="113"/>
      <c r="D18" s="113"/>
      <c r="E18" s="113"/>
      <c r="F18" s="113"/>
      <c r="G18" s="113"/>
      <c r="H18" s="113"/>
      <c r="I18" s="113"/>
      <c r="J18" s="113"/>
      <c r="K18" s="113"/>
      <c r="L18" s="114"/>
      <c r="M18" s="119" t="s">
        <v>135</v>
      </c>
      <c r="N18" s="119"/>
      <c r="O18" s="119" t="s">
        <v>136</v>
      </c>
      <c r="P18" s="119"/>
      <c r="Q18" s="119" t="s">
        <v>137</v>
      </c>
    </row>
    <row r="19" spans="1:17" x14ac:dyDescent="0.35">
      <c r="A19" s="113"/>
      <c r="B19" s="113"/>
      <c r="C19" s="113"/>
      <c r="D19" s="113"/>
      <c r="E19" s="113"/>
      <c r="F19" s="113"/>
      <c r="G19" s="113"/>
      <c r="H19" s="113"/>
      <c r="I19" s="113"/>
      <c r="J19" s="113"/>
      <c r="K19" s="113"/>
      <c r="L19" s="114"/>
      <c r="M19" s="119"/>
      <c r="N19" s="119"/>
      <c r="O19" s="119"/>
      <c r="P19" s="119"/>
      <c r="Q19" s="119"/>
    </row>
    <row r="20" spans="1:17" x14ac:dyDescent="0.35">
      <c r="A20" s="113"/>
      <c r="B20" s="113"/>
      <c r="C20" s="113"/>
      <c r="D20" s="113"/>
      <c r="E20" s="113"/>
      <c r="F20" s="113"/>
      <c r="G20" s="113"/>
      <c r="H20" s="113"/>
      <c r="I20" s="113"/>
      <c r="J20" s="113"/>
      <c r="K20" s="113"/>
      <c r="L20" s="114"/>
      <c r="M20" s="55" t="s">
        <v>138</v>
      </c>
      <c r="N20" s="55" t="s">
        <v>139</v>
      </c>
      <c r="O20" s="55" t="s">
        <v>138</v>
      </c>
      <c r="P20" s="55" t="s">
        <v>139</v>
      </c>
      <c r="Q20" s="119"/>
    </row>
    <row r="21" spans="1:17" x14ac:dyDescent="0.35">
      <c r="A21" s="113"/>
      <c r="B21" s="113"/>
      <c r="C21" s="113"/>
      <c r="D21" s="113"/>
      <c r="E21" s="113"/>
      <c r="F21" s="113"/>
      <c r="G21" s="113"/>
      <c r="H21" s="113"/>
      <c r="I21" s="113"/>
      <c r="J21" s="113"/>
      <c r="K21" s="113"/>
      <c r="L21" s="114"/>
      <c r="M21" s="48" t="s">
        <v>134</v>
      </c>
      <c r="N21" s="51" t="s">
        <v>134</v>
      </c>
      <c r="O21" s="48">
        <v>4.2</v>
      </c>
      <c r="P21" s="48">
        <v>4.7</v>
      </c>
      <c r="Q21" s="20">
        <v>0.11673414304993253</v>
      </c>
    </row>
    <row r="22" spans="1:17" x14ac:dyDescent="0.35">
      <c r="A22" s="113"/>
      <c r="B22" s="113"/>
      <c r="C22" s="113"/>
      <c r="D22" s="113"/>
      <c r="E22" s="113"/>
      <c r="F22" s="113"/>
      <c r="G22" s="113"/>
      <c r="H22" s="113"/>
      <c r="I22" s="113"/>
      <c r="J22" s="113"/>
      <c r="K22" s="113"/>
      <c r="L22" s="114"/>
      <c r="M22" s="54" t="s">
        <v>140</v>
      </c>
      <c r="N22" s="54"/>
      <c r="O22" s="119" t="s">
        <v>141</v>
      </c>
      <c r="P22" s="119"/>
      <c r="Q22" s="119"/>
    </row>
    <row r="23" spans="1:17" x14ac:dyDescent="0.35">
      <c r="A23" s="113"/>
      <c r="B23" s="113"/>
      <c r="C23" s="113"/>
      <c r="D23" s="113"/>
      <c r="E23" s="113"/>
      <c r="F23" s="113"/>
      <c r="G23" s="113"/>
      <c r="H23" s="113"/>
      <c r="I23" s="113"/>
      <c r="J23" s="113"/>
      <c r="K23" s="113"/>
      <c r="L23" s="114"/>
      <c r="M23" s="115"/>
      <c r="N23" s="116"/>
      <c r="O23" s="120"/>
      <c r="P23" s="120"/>
      <c r="Q23" s="120"/>
    </row>
    <row r="24" spans="1:17" x14ac:dyDescent="0.35">
      <c r="A24" s="113"/>
      <c r="B24" s="113"/>
      <c r="C24" s="113"/>
      <c r="D24" s="113"/>
      <c r="E24" s="113"/>
      <c r="F24" s="113"/>
      <c r="G24" s="113"/>
      <c r="H24" s="113"/>
      <c r="I24" s="113"/>
      <c r="J24" s="113"/>
      <c r="K24" s="113"/>
      <c r="L24" s="114"/>
      <c r="M24" s="117"/>
      <c r="N24" s="118"/>
      <c r="O24" s="120"/>
      <c r="P24" s="120"/>
      <c r="Q24" s="120"/>
    </row>
    <row r="25" spans="1:17" x14ac:dyDescent="0.35">
      <c r="A25" s="47" t="s">
        <v>144</v>
      </c>
      <c r="B25" s="48" t="s">
        <v>134</v>
      </c>
      <c r="C25" s="48">
        <v>4.0999999999999996</v>
      </c>
      <c r="D25" s="49">
        <v>6.7000000000000004E-2</v>
      </c>
      <c r="E25" s="48">
        <v>0.3</v>
      </c>
      <c r="F25" s="58"/>
      <c r="G25" s="4">
        <v>4</v>
      </c>
      <c r="H25" s="3" t="s">
        <v>29</v>
      </c>
      <c r="I25" s="20">
        <v>0.10796221322537113</v>
      </c>
      <c r="M25" s="101" t="s">
        <v>29</v>
      </c>
      <c r="N25" s="101"/>
      <c r="O25" s="101"/>
      <c r="P25" s="101"/>
      <c r="Q25" s="101"/>
    </row>
    <row r="26" spans="1:17" x14ac:dyDescent="0.35">
      <c r="A26" s="113"/>
      <c r="B26" s="113"/>
      <c r="C26" s="113"/>
      <c r="D26" s="113"/>
      <c r="E26" s="113"/>
      <c r="F26" s="113"/>
      <c r="G26" s="113"/>
      <c r="H26" s="113"/>
      <c r="I26" s="113"/>
      <c r="J26" s="113"/>
      <c r="K26" s="113"/>
      <c r="L26" s="114"/>
      <c r="M26" s="119" t="s">
        <v>135</v>
      </c>
      <c r="N26" s="119"/>
      <c r="O26" s="119" t="s">
        <v>136</v>
      </c>
      <c r="P26" s="119"/>
      <c r="Q26" s="119" t="s">
        <v>137</v>
      </c>
    </row>
    <row r="27" spans="1:17" x14ac:dyDescent="0.35">
      <c r="A27" s="113"/>
      <c r="B27" s="113"/>
      <c r="C27" s="113"/>
      <c r="D27" s="113"/>
      <c r="E27" s="113"/>
      <c r="F27" s="113"/>
      <c r="G27" s="113"/>
      <c r="H27" s="113"/>
      <c r="I27" s="113"/>
      <c r="J27" s="113"/>
      <c r="K27" s="113"/>
      <c r="L27" s="114"/>
      <c r="M27" s="119"/>
      <c r="N27" s="119"/>
      <c r="O27" s="119"/>
      <c r="P27" s="119"/>
      <c r="Q27" s="119"/>
    </row>
    <row r="28" spans="1:17" x14ac:dyDescent="0.35">
      <c r="A28" s="113"/>
      <c r="B28" s="113"/>
      <c r="C28" s="113"/>
      <c r="D28" s="113"/>
      <c r="E28" s="113"/>
      <c r="F28" s="113"/>
      <c r="G28" s="113"/>
      <c r="H28" s="113"/>
      <c r="I28" s="113"/>
      <c r="J28" s="113"/>
      <c r="K28" s="113"/>
      <c r="L28" s="114"/>
      <c r="M28" s="55" t="s">
        <v>138</v>
      </c>
      <c r="N28" s="55" t="s">
        <v>139</v>
      </c>
      <c r="O28" s="55" t="s">
        <v>138</v>
      </c>
      <c r="P28" s="55" t="s">
        <v>139</v>
      </c>
      <c r="Q28" s="119"/>
    </row>
    <row r="29" spans="1:17" x14ac:dyDescent="0.35">
      <c r="A29" s="113"/>
      <c r="B29" s="113"/>
      <c r="C29" s="113"/>
      <c r="D29" s="113"/>
      <c r="E29" s="113"/>
      <c r="F29" s="113"/>
      <c r="G29" s="113"/>
      <c r="H29" s="113"/>
      <c r="I29" s="113"/>
      <c r="J29" s="113"/>
      <c r="K29" s="113"/>
      <c r="L29" s="114"/>
      <c r="M29" s="48" t="s">
        <v>134</v>
      </c>
      <c r="N29" s="51" t="s">
        <v>134</v>
      </c>
      <c r="O29" s="51">
        <v>4</v>
      </c>
      <c r="P29" s="48">
        <v>4.8</v>
      </c>
      <c r="Q29" s="20">
        <v>0.10796221322537113</v>
      </c>
    </row>
    <row r="30" spans="1:17" x14ac:dyDescent="0.35">
      <c r="A30" s="113"/>
      <c r="B30" s="113"/>
      <c r="C30" s="113"/>
      <c r="D30" s="113"/>
      <c r="E30" s="113"/>
      <c r="F30" s="113"/>
      <c r="G30" s="113"/>
      <c r="H30" s="113"/>
      <c r="I30" s="113"/>
      <c r="J30" s="113"/>
      <c r="K30" s="113"/>
      <c r="L30" s="114"/>
      <c r="M30" s="54" t="s">
        <v>140</v>
      </c>
      <c r="N30" s="54"/>
      <c r="O30" s="119" t="s">
        <v>141</v>
      </c>
      <c r="P30" s="119"/>
      <c r="Q30" s="119"/>
    </row>
    <row r="31" spans="1:17" x14ac:dyDescent="0.35">
      <c r="A31" s="113"/>
      <c r="B31" s="113"/>
      <c r="C31" s="113"/>
      <c r="D31" s="113"/>
      <c r="E31" s="113"/>
      <c r="F31" s="113"/>
      <c r="G31" s="113"/>
      <c r="H31" s="113"/>
      <c r="I31" s="113"/>
      <c r="J31" s="113"/>
      <c r="K31" s="113"/>
      <c r="L31" s="114"/>
      <c r="M31" s="115"/>
      <c r="N31" s="116"/>
      <c r="O31" s="120"/>
      <c r="P31" s="120"/>
      <c r="Q31" s="120"/>
    </row>
    <row r="32" spans="1:17" x14ac:dyDescent="0.35">
      <c r="A32" s="113"/>
      <c r="B32" s="113"/>
      <c r="C32" s="113"/>
      <c r="D32" s="113"/>
      <c r="E32" s="113"/>
      <c r="F32" s="113"/>
      <c r="G32" s="113"/>
      <c r="H32" s="113"/>
      <c r="I32" s="113"/>
      <c r="J32" s="113"/>
      <c r="K32" s="113"/>
      <c r="L32" s="114"/>
      <c r="M32" s="117"/>
      <c r="N32" s="118"/>
      <c r="O32" s="120"/>
      <c r="P32" s="120"/>
      <c r="Q32" s="120"/>
    </row>
    <row r="33" spans="1:17" x14ac:dyDescent="0.35">
      <c r="A33" s="50" t="s">
        <v>145</v>
      </c>
      <c r="B33" s="51" t="s">
        <v>134</v>
      </c>
      <c r="C33" s="51">
        <v>4</v>
      </c>
      <c r="D33" s="52">
        <v>0.11</v>
      </c>
      <c r="E33" s="51">
        <v>0.4</v>
      </c>
      <c r="F33" s="58"/>
      <c r="G33" s="4">
        <v>5</v>
      </c>
      <c r="H33" s="3" t="s">
        <v>21</v>
      </c>
      <c r="I33" s="20">
        <v>6.7476383265856948E-2</v>
      </c>
      <c r="M33" s="101" t="s">
        <v>21</v>
      </c>
      <c r="N33" s="101"/>
      <c r="O33" s="101"/>
      <c r="P33" s="101"/>
      <c r="Q33" s="101"/>
    </row>
    <row r="34" spans="1:17" x14ac:dyDescent="0.35">
      <c r="A34" s="113"/>
      <c r="B34" s="113"/>
      <c r="C34" s="113"/>
      <c r="D34" s="113"/>
      <c r="E34" s="113"/>
      <c r="F34" s="113"/>
      <c r="G34" s="113"/>
      <c r="H34" s="113"/>
      <c r="I34" s="113"/>
      <c r="J34" s="113"/>
      <c r="K34" s="113"/>
      <c r="L34" s="114"/>
      <c r="M34" s="119" t="s">
        <v>135</v>
      </c>
      <c r="N34" s="119"/>
      <c r="O34" s="119" t="s">
        <v>136</v>
      </c>
      <c r="P34" s="119"/>
      <c r="Q34" s="119" t="s">
        <v>137</v>
      </c>
    </row>
    <row r="35" spans="1:17" x14ac:dyDescent="0.35">
      <c r="A35" s="113"/>
      <c r="B35" s="113"/>
      <c r="C35" s="113"/>
      <c r="D35" s="113"/>
      <c r="E35" s="113"/>
      <c r="F35" s="113"/>
      <c r="G35" s="113"/>
      <c r="H35" s="113"/>
      <c r="I35" s="113"/>
      <c r="J35" s="113"/>
      <c r="K35" s="113"/>
      <c r="L35" s="114"/>
      <c r="M35" s="119"/>
      <c r="N35" s="119"/>
      <c r="O35" s="119"/>
      <c r="P35" s="119"/>
      <c r="Q35" s="119"/>
    </row>
    <row r="36" spans="1:17" x14ac:dyDescent="0.35">
      <c r="A36" s="113"/>
      <c r="B36" s="113"/>
      <c r="C36" s="113"/>
      <c r="D36" s="113"/>
      <c r="E36" s="113"/>
      <c r="F36" s="113"/>
      <c r="G36" s="113"/>
      <c r="H36" s="113"/>
      <c r="I36" s="113"/>
      <c r="J36" s="113"/>
      <c r="K36" s="113"/>
      <c r="L36" s="114"/>
      <c r="M36" s="55" t="s">
        <v>138</v>
      </c>
      <c r="N36" s="55" t="s">
        <v>139</v>
      </c>
      <c r="O36" s="55" t="s">
        <v>138</v>
      </c>
      <c r="P36" s="55" t="s">
        <v>139</v>
      </c>
      <c r="Q36" s="119"/>
    </row>
    <row r="37" spans="1:17" x14ac:dyDescent="0.35">
      <c r="A37" s="113"/>
      <c r="B37" s="113"/>
      <c r="C37" s="113"/>
      <c r="D37" s="113"/>
      <c r="E37" s="113"/>
      <c r="F37" s="113"/>
      <c r="G37" s="113"/>
      <c r="H37" s="113"/>
      <c r="I37" s="113"/>
      <c r="J37" s="113"/>
      <c r="K37" s="113"/>
      <c r="L37" s="114"/>
      <c r="M37" s="48" t="s">
        <v>134</v>
      </c>
      <c r="N37" s="51" t="s">
        <v>134</v>
      </c>
      <c r="O37" s="48">
        <v>4.2</v>
      </c>
      <c r="P37" s="48">
        <v>4.3</v>
      </c>
      <c r="Q37" s="20">
        <v>6.7476383265856948E-2</v>
      </c>
    </row>
    <row r="38" spans="1:17" x14ac:dyDescent="0.35">
      <c r="A38" s="113"/>
      <c r="B38" s="113"/>
      <c r="C38" s="113"/>
      <c r="D38" s="113"/>
      <c r="E38" s="113"/>
      <c r="F38" s="113"/>
      <c r="G38" s="113"/>
      <c r="H38" s="113"/>
      <c r="I38" s="113"/>
      <c r="J38" s="113"/>
      <c r="K38" s="113"/>
      <c r="L38" s="114"/>
      <c r="M38" s="54" t="s">
        <v>140</v>
      </c>
      <c r="N38" s="54"/>
      <c r="O38" s="119" t="s">
        <v>141</v>
      </c>
      <c r="P38" s="119"/>
      <c r="Q38" s="119"/>
    </row>
    <row r="39" spans="1:17" x14ac:dyDescent="0.35">
      <c r="A39" s="113"/>
      <c r="B39" s="113"/>
      <c r="C39" s="113"/>
      <c r="D39" s="113"/>
      <c r="E39" s="113"/>
      <c r="F39" s="113"/>
      <c r="G39" s="113"/>
      <c r="H39" s="113"/>
      <c r="I39" s="113"/>
      <c r="J39" s="113"/>
      <c r="K39" s="113"/>
      <c r="L39" s="114"/>
      <c r="M39" s="115"/>
      <c r="N39" s="116"/>
      <c r="O39" s="120"/>
      <c r="P39" s="120"/>
      <c r="Q39" s="120"/>
    </row>
    <row r="40" spans="1:17" x14ac:dyDescent="0.35">
      <c r="A40" s="113"/>
      <c r="B40" s="113"/>
      <c r="C40" s="113"/>
      <c r="D40" s="113"/>
      <c r="E40" s="113"/>
      <c r="F40" s="113"/>
      <c r="G40" s="113"/>
      <c r="H40" s="113"/>
      <c r="I40" s="113"/>
      <c r="J40" s="113"/>
      <c r="K40" s="113"/>
      <c r="L40" s="114"/>
      <c r="M40" s="117"/>
      <c r="N40" s="118"/>
      <c r="O40" s="120"/>
      <c r="P40" s="120"/>
      <c r="Q40" s="120"/>
    </row>
    <row r="41" spans="1:17" x14ac:dyDescent="0.35">
      <c r="A41" s="47" t="s">
        <v>146</v>
      </c>
      <c r="B41" s="48" t="s">
        <v>134</v>
      </c>
      <c r="C41" s="48">
        <v>4.2</v>
      </c>
      <c r="D41" s="49">
        <v>0.114</v>
      </c>
      <c r="E41" s="48">
        <v>0.5</v>
      </c>
      <c r="F41" s="58"/>
      <c r="G41" s="4">
        <v>6</v>
      </c>
      <c r="H41" s="3" t="s">
        <v>22</v>
      </c>
      <c r="I41" s="20">
        <v>7.28744939271255E-2</v>
      </c>
      <c r="M41" s="101" t="s">
        <v>22</v>
      </c>
      <c r="N41" s="101"/>
      <c r="O41" s="101"/>
      <c r="P41" s="101"/>
      <c r="Q41" s="101"/>
    </row>
    <row r="42" spans="1:17" x14ac:dyDescent="0.35">
      <c r="A42" s="113"/>
      <c r="B42" s="113"/>
      <c r="C42" s="113"/>
      <c r="D42" s="113"/>
      <c r="E42" s="113"/>
      <c r="F42" s="113"/>
      <c r="G42" s="113"/>
      <c r="H42" s="113"/>
      <c r="I42" s="113"/>
      <c r="J42" s="113"/>
      <c r="K42" s="113"/>
      <c r="L42" s="114"/>
      <c r="M42" s="119" t="s">
        <v>135</v>
      </c>
      <c r="N42" s="119"/>
      <c r="O42" s="119" t="s">
        <v>136</v>
      </c>
      <c r="P42" s="119"/>
      <c r="Q42" s="119" t="s">
        <v>137</v>
      </c>
    </row>
    <row r="43" spans="1:17" x14ac:dyDescent="0.35">
      <c r="A43" s="113"/>
      <c r="B43" s="113"/>
      <c r="C43" s="113"/>
      <c r="D43" s="113"/>
      <c r="E43" s="113"/>
      <c r="F43" s="113"/>
      <c r="G43" s="113"/>
      <c r="H43" s="113"/>
      <c r="I43" s="113"/>
      <c r="J43" s="113"/>
      <c r="K43" s="113"/>
      <c r="L43" s="114"/>
      <c r="M43" s="119"/>
      <c r="N43" s="119"/>
      <c r="O43" s="119"/>
      <c r="P43" s="119"/>
      <c r="Q43" s="119"/>
    </row>
    <row r="44" spans="1:17" x14ac:dyDescent="0.35">
      <c r="A44" s="113"/>
      <c r="B44" s="113"/>
      <c r="C44" s="113"/>
      <c r="D44" s="113"/>
      <c r="E44" s="113"/>
      <c r="F44" s="113"/>
      <c r="G44" s="113"/>
      <c r="H44" s="113"/>
      <c r="I44" s="113"/>
      <c r="J44" s="113"/>
      <c r="K44" s="113"/>
      <c r="L44" s="114"/>
      <c r="M44" s="55" t="s">
        <v>138</v>
      </c>
      <c r="N44" s="55" t="s">
        <v>139</v>
      </c>
      <c r="O44" s="55" t="s">
        <v>138</v>
      </c>
      <c r="P44" s="55" t="s">
        <v>139</v>
      </c>
      <c r="Q44" s="119"/>
    </row>
    <row r="45" spans="1:17" x14ac:dyDescent="0.35">
      <c r="A45" s="113"/>
      <c r="B45" s="113"/>
      <c r="C45" s="113"/>
      <c r="D45" s="113"/>
      <c r="E45" s="113"/>
      <c r="F45" s="113"/>
      <c r="G45" s="113"/>
      <c r="H45" s="113"/>
      <c r="I45" s="113"/>
      <c r="J45" s="113"/>
      <c r="K45" s="113"/>
      <c r="L45" s="114"/>
      <c r="M45" s="48" t="s">
        <v>134</v>
      </c>
      <c r="N45" s="48" t="s">
        <v>134</v>
      </c>
      <c r="O45" s="53">
        <v>4</v>
      </c>
      <c r="P45" s="56">
        <v>5</v>
      </c>
      <c r="Q45" s="20">
        <v>7.28744939271255E-2</v>
      </c>
    </row>
    <row r="46" spans="1:17" x14ac:dyDescent="0.35">
      <c r="A46" s="113"/>
      <c r="B46" s="113"/>
      <c r="C46" s="113"/>
      <c r="D46" s="113"/>
      <c r="E46" s="113"/>
      <c r="F46" s="113"/>
      <c r="G46" s="113"/>
      <c r="H46" s="113"/>
      <c r="I46" s="113"/>
      <c r="J46" s="113"/>
      <c r="K46" s="113"/>
      <c r="L46" s="114"/>
      <c r="M46" s="54" t="s">
        <v>140</v>
      </c>
      <c r="N46" s="54"/>
      <c r="O46" s="119" t="s">
        <v>141</v>
      </c>
      <c r="P46" s="119"/>
      <c r="Q46" s="119"/>
    </row>
    <row r="47" spans="1:17" x14ac:dyDescent="0.35">
      <c r="A47" s="113"/>
      <c r="B47" s="113"/>
      <c r="C47" s="113"/>
      <c r="D47" s="113"/>
      <c r="E47" s="113"/>
      <c r="F47" s="113"/>
      <c r="G47" s="113"/>
      <c r="H47" s="113"/>
      <c r="I47" s="113"/>
      <c r="J47" s="113"/>
      <c r="K47" s="113"/>
      <c r="L47" s="114"/>
      <c r="M47" s="115"/>
      <c r="N47" s="116"/>
      <c r="O47" s="120"/>
      <c r="P47" s="120"/>
      <c r="Q47" s="120"/>
    </row>
    <row r="48" spans="1:17" x14ac:dyDescent="0.35">
      <c r="A48" s="113"/>
      <c r="B48" s="113"/>
      <c r="C48" s="113"/>
      <c r="D48" s="113"/>
      <c r="E48" s="113"/>
      <c r="F48" s="113"/>
      <c r="G48" s="113"/>
      <c r="H48" s="113"/>
      <c r="I48" s="113"/>
      <c r="J48" s="113"/>
      <c r="K48" s="113"/>
      <c r="L48" s="114"/>
      <c r="M48" s="117"/>
      <c r="N48" s="118"/>
      <c r="O48" s="120"/>
      <c r="P48" s="120"/>
      <c r="Q48" s="120"/>
    </row>
    <row r="49" spans="1:17" ht="24" x14ac:dyDescent="0.35">
      <c r="A49" s="50" t="s">
        <v>147</v>
      </c>
      <c r="B49" s="51" t="s">
        <v>134</v>
      </c>
      <c r="C49" s="53">
        <v>4</v>
      </c>
      <c r="D49" s="52">
        <v>9.2999999999999999E-2</v>
      </c>
      <c r="E49" s="51">
        <v>0.4</v>
      </c>
      <c r="F49" s="58"/>
      <c r="G49" s="4">
        <v>7</v>
      </c>
      <c r="H49" s="3" t="s">
        <v>23</v>
      </c>
      <c r="I49" s="20">
        <v>0.10593792172739541</v>
      </c>
      <c r="M49" s="101" t="s">
        <v>23</v>
      </c>
      <c r="N49" s="101"/>
      <c r="O49" s="101"/>
      <c r="P49" s="101"/>
      <c r="Q49" s="101"/>
    </row>
    <row r="50" spans="1:17" x14ac:dyDescent="0.35">
      <c r="A50" s="113"/>
      <c r="B50" s="113"/>
      <c r="C50" s="113"/>
      <c r="D50" s="113"/>
      <c r="E50" s="113"/>
      <c r="F50" s="113"/>
      <c r="G50" s="113"/>
      <c r="H50" s="113"/>
      <c r="I50" s="113"/>
      <c r="J50" s="113"/>
      <c r="K50" s="113"/>
      <c r="L50" s="114"/>
      <c r="M50" s="119" t="s">
        <v>135</v>
      </c>
      <c r="N50" s="119"/>
      <c r="O50" s="119" t="s">
        <v>136</v>
      </c>
      <c r="P50" s="119"/>
      <c r="Q50" s="119" t="s">
        <v>137</v>
      </c>
    </row>
    <row r="51" spans="1:17" x14ac:dyDescent="0.35">
      <c r="A51" s="113"/>
      <c r="B51" s="113"/>
      <c r="C51" s="113"/>
      <c r="D51" s="113"/>
      <c r="E51" s="113"/>
      <c r="F51" s="113"/>
      <c r="G51" s="113"/>
      <c r="H51" s="113"/>
      <c r="I51" s="113"/>
      <c r="J51" s="113"/>
      <c r="K51" s="113"/>
      <c r="L51" s="114"/>
      <c r="M51" s="119"/>
      <c r="N51" s="119"/>
      <c r="O51" s="119"/>
      <c r="P51" s="119"/>
      <c r="Q51" s="119"/>
    </row>
    <row r="52" spans="1:17" x14ac:dyDescent="0.35">
      <c r="A52" s="113"/>
      <c r="B52" s="113"/>
      <c r="C52" s="113"/>
      <c r="D52" s="113"/>
      <c r="E52" s="113"/>
      <c r="F52" s="113"/>
      <c r="G52" s="113"/>
      <c r="H52" s="113"/>
      <c r="I52" s="113"/>
      <c r="J52" s="113"/>
      <c r="K52" s="113"/>
      <c r="L52" s="114"/>
      <c r="M52" s="55" t="s">
        <v>138</v>
      </c>
      <c r="N52" s="55" t="s">
        <v>139</v>
      </c>
      <c r="O52" s="55" t="s">
        <v>138</v>
      </c>
      <c r="P52" s="55" t="s">
        <v>139</v>
      </c>
      <c r="Q52" s="119"/>
    </row>
    <row r="53" spans="1:17" x14ac:dyDescent="0.35">
      <c r="A53" s="113"/>
      <c r="B53" s="113"/>
      <c r="C53" s="113"/>
      <c r="D53" s="113"/>
      <c r="E53" s="113"/>
      <c r="F53" s="113"/>
      <c r="G53" s="113"/>
      <c r="H53" s="113"/>
      <c r="I53" s="113"/>
      <c r="J53" s="113"/>
      <c r="K53" s="113"/>
      <c r="L53" s="114"/>
      <c r="M53" s="51" t="s">
        <v>134</v>
      </c>
      <c r="N53" s="51" t="s">
        <v>134</v>
      </c>
      <c r="O53" s="53">
        <v>4</v>
      </c>
      <c r="P53" s="56">
        <v>4.5</v>
      </c>
      <c r="Q53" s="20">
        <v>0.10593792172739541</v>
      </c>
    </row>
    <row r="54" spans="1:17" x14ac:dyDescent="0.35">
      <c r="A54" s="113"/>
      <c r="B54" s="113"/>
      <c r="C54" s="113"/>
      <c r="D54" s="113"/>
      <c r="E54" s="113"/>
      <c r="F54" s="113"/>
      <c r="G54" s="113"/>
      <c r="H54" s="113"/>
      <c r="I54" s="113"/>
      <c r="J54" s="113"/>
      <c r="K54" s="113"/>
      <c r="L54" s="114"/>
      <c r="M54" s="54" t="s">
        <v>140</v>
      </c>
      <c r="N54" s="54"/>
      <c r="O54" s="119" t="s">
        <v>141</v>
      </c>
      <c r="P54" s="119"/>
      <c r="Q54" s="119"/>
    </row>
    <row r="55" spans="1:17" x14ac:dyDescent="0.35">
      <c r="A55" s="113"/>
      <c r="B55" s="113"/>
      <c r="C55" s="113"/>
      <c r="D55" s="113"/>
      <c r="E55" s="113"/>
      <c r="F55" s="113"/>
      <c r="G55" s="113"/>
      <c r="H55" s="113"/>
      <c r="I55" s="113"/>
      <c r="J55" s="113"/>
      <c r="K55" s="113"/>
      <c r="L55" s="114"/>
      <c r="M55" s="115"/>
      <c r="N55" s="116"/>
      <c r="O55" s="120"/>
      <c r="P55" s="120"/>
      <c r="Q55" s="120"/>
    </row>
    <row r="56" spans="1:17" x14ac:dyDescent="0.35">
      <c r="A56" s="113"/>
      <c r="B56" s="113"/>
      <c r="C56" s="113"/>
      <c r="D56" s="113"/>
      <c r="E56" s="113"/>
      <c r="F56" s="113"/>
      <c r="G56" s="113"/>
      <c r="H56" s="113"/>
      <c r="I56" s="113"/>
      <c r="J56" s="113"/>
      <c r="K56" s="113"/>
      <c r="L56" s="114"/>
      <c r="M56" s="117"/>
      <c r="N56" s="118"/>
      <c r="O56" s="120"/>
      <c r="P56" s="120"/>
      <c r="Q56" s="120"/>
    </row>
    <row r="57" spans="1:17" ht="43.5" x14ac:dyDescent="0.35">
      <c r="A57" s="47" t="s">
        <v>148</v>
      </c>
      <c r="B57" s="48" t="s">
        <v>149</v>
      </c>
      <c r="C57" s="48">
        <v>3.4</v>
      </c>
      <c r="D57" s="49">
        <v>8.5000000000000006E-2</v>
      </c>
      <c r="E57" s="48">
        <v>0.3</v>
      </c>
      <c r="F57" s="58"/>
      <c r="G57" s="4">
        <v>8</v>
      </c>
      <c r="H57" s="3" t="s">
        <v>24</v>
      </c>
      <c r="I57" s="20">
        <v>4.7908232118758436E-2</v>
      </c>
      <c r="M57" s="121" t="s">
        <v>24</v>
      </c>
      <c r="N57" s="121"/>
      <c r="O57" s="121"/>
      <c r="P57" s="121"/>
      <c r="Q57" s="121"/>
    </row>
    <row r="58" spans="1:17" x14ac:dyDescent="0.35">
      <c r="A58" s="113"/>
      <c r="B58" s="113"/>
      <c r="C58" s="113"/>
      <c r="D58" s="113"/>
      <c r="E58" s="113"/>
      <c r="F58" s="113"/>
      <c r="G58" s="113"/>
      <c r="H58" s="113"/>
      <c r="I58" s="113"/>
      <c r="J58" s="113"/>
      <c r="K58" s="113"/>
      <c r="L58" s="114"/>
      <c r="M58" s="119" t="s">
        <v>135</v>
      </c>
      <c r="N58" s="119"/>
      <c r="O58" s="119" t="s">
        <v>136</v>
      </c>
      <c r="P58" s="119"/>
      <c r="Q58" s="119" t="s">
        <v>137</v>
      </c>
    </row>
    <row r="59" spans="1:17" x14ac:dyDescent="0.35">
      <c r="A59" s="113"/>
      <c r="B59" s="113"/>
      <c r="C59" s="113"/>
      <c r="D59" s="113"/>
      <c r="E59" s="113"/>
      <c r="F59" s="113"/>
      <c r="G59" s="113"/>
      <c r="H59" s="113"/>
      <c r="I59" s="113"/>
      <c r="J59" s="113"/>
      <c r="K59" s="113"/>
      <c r="L59" s="114"/>
      <c r="M59" s="119"/>
      <c r="N59" s="119"/>
      <c r="O59" s="119"/>
      <c r="P59" s="119"/>
      <c r="Q59" s="119"/>
    </row>
    <row r="60" spans="1:17" x14ac:dyDescent="0.35">
      <c r="A60" s="113"/>
      <c r="B60" s="113"/>
      <c r="C60" s="113"/>
      <c r="D60" s="113"/>
      <c r="E60" s="113"/>
      <c r="F60" s="113"/>
      <c r="G60" s="113"/>
      <c r="H60" s="113"/>
      <c r="I60" s="113"/>
      <c r="J60" s="113"/>
      <c r="K60" s="113"/>
      <c r="L60" s="114"/>
      <c r="M60" s="55" t="s">
        <v>138</v>
      </c>
      <c r="N60" s="55" t="s">
        <v>139</v>
      </c>
      <c r="O60" s="55" t="s">
        <v>138</v>
      </c>
      <c r="P60" s="55" t="s">
        <v>139</v>
      </c>
      <c r="Q60" s="119"/>
    </row>
    <row r="61" spans="1:17" x14ac:dyDescent="0.35">
      <c r="A61" s="113"/>
      <c r="B61" s="113"/>
      <c r="C61" s="113"/>
      <c r="D61" s="113"/>
      <c r="E61" s="113"/>
      <c r="F61" s="113"/>
      <c r="G61" s="113"/>
      <c r="H61" s="113"/>
      <c r="I61" s="113"/>
      <c r="J61" s="113"/>
      <c r="K61" s="113"/>
      <c r="L61" s="114"/>
      <c r="M61" s="48" t="s">
        <v>149</v>
      </c>
      <c r="N61" s="51" t="s">
        <v>134</v>
      </c>
      <c r="O61" s="48">
        <v>3.4</v>
      </c>
      <c r="P61" s="56">
        <v>4.5</v>
      </c>
      <c r="Q61" s="20">
        <v>4.7908232118758436E-2</v>
      </c>
    </row>
    <row r="62" spans="1:17" x14ac:dyDescent="0.35">
      <c r="A62" s="113"/>
      <c r="B62" s="113"/>
      <c r="C62" s="113"/>
      <c r="D62" s="113"/>
      <c r="E62" s="113"/>
      <c r="F62" s="113"/>
      <c r="G62" s="113"/>
      <c r="H62" s="113"/>
      <c r="I62" s="113"/>
      <c r="J62" s="113"/>
      <c r="K62" s="113"/>
      <c r="L62" s="114"/>
      <c r="M62" s="54" t="s">
        <v>140</v>
      </c>
      <c r="N62" s="54"/>
      <c r="O62" s="119" t="s">
        <v>141</v>
      </c>
      <c r="P62" s="119"/>
      <c r="Q62" s="119"/>
    </row>
    <row r="63" spans="1:17" x14ac:dyDescent="0.35">
      <c r="A63" s="113"/>
      <c r="B63" s="113"/>
      <c r="C63" s="113"/>
      <c r="D63" s="113"/>
      <c r="E63" s="113"/>
      <c r="F63" s="113"/>
      <c r="G63" s="113"/>
      <c r="H63" s="113"/>
      <c r="I63" s="113"/>
      <c r="J63" s="113"/>
      <c r="K63" s="113"/>
      <c r="L63" s="114"/>
      <c r="M63" s="115"/>
      <c r="N63" s="116"/>
      <c r="O63" s="120"/>
      <c r="P63" s="120"/>
      <c r="Q63" s="120"/>
    </row>
    <row r="64" spans="1:17" x14ac:dyDescent="0.35">
      <c r="A64" s="113"/>
      <c r="B64" s="113"/>
      <c r="C64" s="113"/>
      <c r="D64" s="113"/>
      <c r="E64" s="113"/>
      <c r="F64" s="113"/>
      <c r="G64" s="113"/>
      <c r="H64" s="113"/>
      <c r="I64" s="113"/>
      <c r="J64" s="113"/>
      <c r="K64" s="113"/>
      <c r="L64" s="114"/>
      <c r="M64" s="117"/>
      <c r="N64" s="118"/>
      <c r="O64" s="120"/>
      <c r="P64" s="120"/>
      <c r="Q64" s="120"/>
    </row>
    <row r="65" spans="1:17" x14ac:dyDescent="0.35">
      <c r="A65" s="47" t="s">
        <v>144</v>
      </c>
      <c r="B65" s="48" t="s">
        <v>134</v>
      </c>
      <c r="C65" s="48">
        <v>4.0999999999999996</v>
      </c>
      <c r="D65" s="49">
        <v>6.7000000000000004E-2</v>
      </c>
      <c r="E65" s="48">
        <v>0.3</v>
      </c>
      <c r="F65" s="58"/>
      <c r="G65" s="4">
        <v>9</v>
      </c>
      <c r="H65" s="3" t="s">
        <v>25</v>
      </c>
      <c r="I65" s="20">
        <v>6.4102564102564097E-2</v>
      </c>
      <c r="M65" s="101" t="s">
        <v>25</v>
      </c>
      <c r="N65" s="101"/>
      <c r="O65" s="101"/>
      <c r="P65" s="101"/>
      <c r="Q65" s="101"/>
    </row>
    <row r="66" spans="1:17" x14ac:dyDescent="0.35">
      <c r="A66" s="113"/>
      <c r="B66" s="113"/>
      <c r="C66" s="113"/>
      <c r="D66" s="113"/>
      <c r="E66" s="113"/>
      <c r="F66" s="113"/>
      <c r="G66" s="113"/>
      <c r="H66" s="113"/>
      <c r="I66" s="113"/>
      <c r="J66" s="113"/>
      <c r="K66" s="113"/>
      <c r="L66" s="114"/>
      <c r="M66" s="119" t="s">
        <v>135</v>
      </c>
      <c r="N66" s="119"/>
      <c r="O66" s="119" t="s">
        <v>136</v>
      </c>
      <c r="P66" s="119"/>
      <c r="Q66" s="119" t="s">
        <v>137</v>
      </c>
    </row>
    <row r="67" spans="1:17" x14ac:dyDescent="0.35">
      <c r="A67" s="113"/>
      <c r="B67" s="113"/>
      <c r="C67" s="113"/>
      <c r="D67" s="113"/>
      <c r="E67" s="113"/>
      <c r="F67" s="113"/>
      <c r="G67" s="113"/>
      <c r="H67" s="113"/>
      <c r="I67" s="113"/>
      <c r="J67" s="113"/>
      <c r="K67" s="113"/>
      <c r="L67" s="114"/>
      <c r="M67" s="119"/>
      <c r="N67" s="119"/>
      <c r="O67" s="119"/>
      <c r="P67" s="119"/>
      <c r="Q67" s="119"/>
    </row>
    <row r="68" spans="1:17" x14ac:dyDescent="0.35">
      <c r="A68" s="113"/>
      <c r="B68" s="113"/>
      <c r="C68" s="113"/>
      <c r="D68" s="113"/>
      <c r="E68" s="113"/>
      <c r="F68" s="113"/>
      <c r="G68" s="113"/>
      <c r="H68" s="113"/>
      <c r="I68" s="113"/>
      <c r="J68" s="113"/>
      <c r="K68" s="113"/>
      <c r="L68" s="114"/>
      <c r="M68" s="55" t="s">
        <v>138</v>
      </c>
      <c r="N68" s="55" t="s">
        <v>139</v>
      </c>
      <c r="O68" s="55" t="s">
        <v>138</v>
      </c>
      <c r="P68" s="55" t="s">
        <v>139</v>
      </c>
      <c r="Q68" s="119"/>
    </row>
    <row r="69" spans="1:17" x14ac:dyDescent="0.35">
      <c r="A69" s="113"/>
      <c r="B69" s="113"/>
      <c r="C69" s="113"/>
      <c r="D69" s="113"/>
      <c r="E69" s="113"/>
      <c r="F69" s="113"/>
      <c r="G69" s="113"/>
      <c r="H69" s="113"/>
      <c r="I69" s="113"/>
      <c r="J69" s="113"/>
      <c r="K69" s="113"/>
      <c r="L69" s="114"/>
      <c r="M69" s="48" t="s">
        <v>134</v>
      </c>
      <c r="N69" s="48" t="s">
        <v>134</v>
      </c>
      <c r="O69" s="48">
        <v>4.0999999999999996</v>
      </c>
      <c r="P69" s="56">
        <v>4.8</v>
      </c>
      <c r="Q69" s="20">
        <v>6.4102564102564097E-2</v>
      </c>
    </row>
    <row r="70" spans="1:17" x14ac:dyDescent="0.35">
      <c r="A70" s="113"/>
      <c r="B70" s="113"/>
      <c r="C70" s="113"/>
      <c r="D70" s="113"/>
      <c r="E70" s="113"/>
      <c r="F70" s="113"/>
      <c r="G70" s="113"/>
      <c r="H70" s="113"/>
      <c r="I70" s="113"/>
      <c r="J70" s="113"/>
      <c r="K70" s="113"/>
      <c r="L70" s="114"/>
      <c r="M70" s="54" t="s">
        <v>140</v>
      </c>
      <c r="N70" s="54"/>
      <c r="O70" s="119" t="s">
        <v>141</v>
      </c>
      <c r="P70" s="119"/>
      <c r="Q70" s="119"/>
    </row>
    <row r="71" spans="1:17" x14ac:dyDescent="0.35">
      <c r="A71" s="113"/>
      <c r="B71" s="113"/>
      <c r="C71" s="113"/>
      <c r="D71" s="113"/>
      <c r="E71" s="113"/>
      <c r="F71" s="113"/>
      <c r="G71" s="113"/>
      <c r="H71" s="113"/>
      <c r="I71" s="113"/>
      <c r="J71" s="113"/>
      <c r="K71" s="113"/>
      <c r="L71" s="114"/>
      <c r="M71" s="115"/>
      <c r="N71" s="116"/>
      <c r="O71" s="120"/>
      <c r="P71" s="120"/>
      <c r="Q71" s="120"/>
    </row>
    <row r="72" spans="1:17" x14ac:dyDescent="0.35">
      <c r="A72" s="113"/>
      <c r="B72" s="113"/>
      <c r="C72" s="113"/>
      <c r="D72" s="113"/>
      <c r="E72" s="113"/>
      <c r="F72" s="113"/>
      <c r="G72" s="113"/>
      <c r="H72" s="113"/>
      <c r="I72" s="113"/>
      <c r="J72" s="113"/>
      <c r="K72" s="113"/>
      <c r="L72" s="114"/>
      <c r="M72" s="117"/>
      <c r="N72" s="118"/>
      <c r="O72" s="120"/>
      <c r="P72" s="120"/>
      <c r="Q72" s="120"/>
    </row>
    <row r="73" spans="1:17" x14ac:dyDescent="0.35">
      <c r="A73" s="50" t="s">
        <v>150</v>
      </c>
      <c r="B73" s="51" t="s">
        <v>134</v>
      </c>
      <c r="C73" s="51">
        <v>4</v>
      </c>
      <c r="D73" s="52">
        <v>0.05</v>
      </c>
      <c r="E73" s="51">
        <v>0.2</v>
      </c>
      <c r="F73" s="58"/>
      <c r="G73" s="4">
        <v>10</v>
      </c>
      <c r="H73" s="3" t="s">
        <v>26</v>
      </c>
      <c r="I73" s="20">
        <v>6.8825910931174086E-2</v>
      </c>
      <c r="M73" s="101" t="s">
        <v>26</v>
      </c>
      <c r="N73" s="101"/>
      <c r="O73" s="101"/>
      <c r="P73" s="101"/>
      <c r="Q73" s="101"/>
    </row>
    <row r="74" spans="1:17" x14ac:dyDescent="0.35">
      <c r="A74" s="113"/>
      <c r="B74" s="113"/>
      <c r="C74" s="113"/>
      <c r="D74" s="113"/>
      <c r="E74" s="113"/>
      <c r="F74" s="113"/>
      <c r="G74" s="113"/>
      <c r="H74" s="113"/>
      <c r="I74" s="113"/>
      <c r="J74" s="113"/>
      <c r="K74" s="113"/>
      <c r="L74" s="114"/>
      <c r="M74" s="119" t="s">
        <v>135</v>
      </c>
      <c r="N74" s="119"/>
      <c r="O74" s="119" t="s">
        <v>136</v>
      </c>
      <c r="P74" s="119"/>
      <c r="Q74" s="119" t="s">
        <v>137</v>
      </c>
    </row>
    <row r="75" spans="1:17" x14ac:dyDescent="0.35">
      <c r="A75" s="113"/>
      <c r="B75" s="113"/>
      <c r="C75" s="113"/>
      <c r="D75" s="113"/>
      <c r="E75" s="113"/>
      <c r="F75" s="113"/>
      <c r="G75" s="113"/>
      <c r="H75" s="113"/>
      <c r="I75" s="113"/>
      <c r="J75" s="113"/>
      <c r="K75" s="113"/>
      <c r="L75" s="114"/>
      <c r="M75" s="119"/>
      <c r="N75" s="119"/>
      <c r="O75" s="119"/>
      <c r="P75" s="119"/>
      <c r="Q75" s="119"/>
    </row>
    <row r="76" spans="1:17" x14ac:dyDescent="0.35">
      <c r="A76" s="113"/>
      <c r="B76" s="113"/>
      <c r="C76" s="113"/>
      <c r="D76" s="113"/>
      <c r="E76" s="113"/>
      <c r="F76" s="113"/>
      <c r="G76" s="113"/>
      <c r="H76" s="113"/>
      <c r="I76" s="113"/>
      <c r="J76" s="113"/>
      <c r="K76" s="113"/>
      <c r="L76" s="114"/>
      <c r="M76" s="55" t="s">
        <v>138</v>
      </c>
      <c r="N76" s="55" t="s">
        <v>139</v>
      </c>
      <c r="O76" s="55" t="s">
        <v>138</v>
      </c>
      <c r="P76" s="55" t="s">
        <v>139</v>
      </c>
      <c r="Q76" s="119"/>
    </row>
    <row r="77" spans="1:17" x14ac:dyDescent="0.35">
      <c r="A77" s="113"/>
      <c r="B77" s="113"/>
      <c r="C77" s="113"/>
      <c r="D77" s="113"/>
      <c r="E77" s="113"/>
      <c r="F77" s="113"/>
      <c r="G77" s="113"/>
      <c r="H77" s="113"/>
      <c r="I77" s="113"/>
      <c r="J77" s="113"/>
      <c r="K77" s="113"/>
      <c r="L77" s="114"/>
      <c r="M77" s="51" t="s">
        <v>134</v>
      </c>
      <c r="N77" s="48" t="s">
        <v>134</v>
      </c>
      <c r="O77" s="51">
        <v>4</v>
      </c>
      <c r="P77" s="56">
        <v>5</v>
      </c>
      <c r="Q77" s="20">
        <v>6.8825910931174086E-2</v>
      </c>
    </row>
    <row r="78" spans="1:17" x14ac:dyDescent="0.35">
      <c r="A78" s="113"/>
      <c r="B78" s="113"/>
      <c r="C78" s="113"/>
      <c r="D78" s="113"/>
      <c r="E78" s="113"/>
      <c r="F78" s="113"/>
      <c r="G78" s="113"/>
      <c r="H78" s="113"/>
      <c r="I78" s="113"/>
      <c r="J78" s="113"/>
      <c r="K78" s="113"/>
      <c r="L78" s="114"/>
      <c r="M78" s="54" t="s">
        <v>140</v>
      </c>
      <c r="N78" s="54"/>
      <c r="O78" s="119" t="s">
        <v>141</v>
      </c>
      <c r="P78" s="119"/>
      <c r="Q78" s="119"/>
    </row>
    <row r="79" spans="1:17" x14ac:dyDescent="0.35">
      <c r="A79" s="113"/>
      <c r="B79" s="113"/>
      <c r="C79" s="113"/>
      <c r="D79" s="113"/>
      <c r="E79" s="113"/>
      <c r="F79" s="113"/>
      <c r="G79" s="113"/>
      <c r="H79" s="113"/>
      <c r="I79" s="113"/>
      <c r="J79" s="113"/>
      <c r="K79" s="113"/>
      <c r="L79" s="114"/>
      <c r="M79" s="115"/>
      <c r="N79" s="116"/>
      <c r="O79" s="120"/>
      <c r="P79" s="120"/>
      <c r="Q79" s="120"/>
    </row>
    <row r="80" spans="1:17" x14ac:dyDescent="0.35">
      <c r="A80" s="113"/>
      <c r="B80" s="113"/>
      <c r="C80" s="113"/>
      <c r="D80" s="113"/>
      <c r="E80" s="113"/>
      <c r="F80" s="113"/>
      <c r="G80" s="113"/>
      <c r="H80" s="113"/>
      <c r="I80" s="113"/>
      <c r="J80" s="113"/>
      <c r="K80" s="113"/>
      <c r="L80" s="114"/>
      <c r="M80" s="117"/>
      <c r="N80" s="118"/>
      <c r="O80" s="120"/>
      <c r="P80" s="120"/>
      <c r="Q80" s="120"/>
    </row>
    <row r="81" spans="1:17" ht="29" x14ac:dyDescent="0.35">
      <c r="A81" s="50" t="s">
        <v>151</v>
      </c>
      <c r="B81" s="51" t="s">
        <v>134</v>
      </c>
      <c r="C81" s="51">
        <v>3.9</v>
      </c>
      <c r="D81" s="52">
        <v>7.0999999999999994E-2</v>
      </c>
      <c r="E81" s="51">
        <v>0.3</v>
      </c>
      <c r="F81" s="58"/>
      <c r="G81" s="4">
        <v>11</v>
      </c>
      <c r="H81" s="3" t="s">
        <v>27</v>
      </c>
      <c r="I81" s="20">
        <v>6.6801619433198386E-2</v>
      </c>
      <c r="M81" s="101" t="s">
        <v>27</v>
      </c>
      <c r="N81" s="101"/>
      <c r="O81" s="101"/>
      <c r="P81" s="101"/>
      <c r="Q81" s="101"/>
    </row>
    <row r="82" spans="1:17" x14ac:dyDescent="0.35">
      <c r="A82" s="113"/>
      <c r="B82" s="113"/>
      <c r="C82" s="113"/>
      <c r="D82" s="113"/>
      <c r="E82" s="113"/>
      <c r="F82" s="113"/>
      <c r="G82" s="113"/>
      <c r="H82" s="113"/>
      <c r="I82" s="113"/>
      <c r="J82" s="113"/>
      <c r="K82" s="113"/>
      <c r="L82" s="114"/>
      <c r="M82" s="119" t="s">
        <v>135</v>
      </c>
      <c r="N82" s="119"/>
      <c r="O82" s="119" t="s">
        <v>136</v>
      </c>
      <c r="P82" s="119"/>
      <c r="Q82" s="119" t="s">
        <v>137</v>
      </c>
    </row>
    <row r="83" spans="1:17" x14ac:dyDescent="0.35">
      <c r="A83" s="113"/>
      <c r="B83" s="113"/>
      <c r="C83" s="113"/>
      <c r="D83" s="113"/>
      <c r="E83" s="113"/>
      <c r="F83" s="113"/>
      <c r="G83" s="113"/>
      <c r="H83" s="113"/>
      <c r="I83" s="113"/>
      <c r="J83" s="113"/>
      <c r="K83" s="113"/>
      <c r="L83" s="114"/>
      <c r="M83" s="119"/>
      <c r="N83" s="119"/>
      <c r="O83" s="119"/>
      <c r="P83" s="119"/>
      <c r="Q83" s="119"/>
    </row>
    <row r="84" spans="1:17" x14ac:dyDescent="0.35">
      <c r="A84" s="113"/>
      <c r="B84" s="113"/>
      <c r="C84" s="113"/>
      <c r="D84" s="113"/>
      <c r="E84" s="113"/>
      <c r="F84" s="113"/>
      <c r="G84" s="113"/>
      <c r="H84" s="113"/>
      <c r="I84" s="113"/>
      <c r="J84" s="113"/>
      <c r="K84" s="113"/>
      <c r="L84" s="114"/>
      <c r="M84" s="55" t="s">
        <v>138</v>
      </c>
      <c r="N84" s="55" t="s">
        <v>139</v>
      </c>
      <c r="O84" s="55" t="s">
        <v>138</v>
      </c>
      <c r="P84" s="55" t="s">
        <v>139</v>
      </c>
      <c r="Q84" s="119"/>
    </row>
    <row r="85" spans="1:17" x14ac:dyDescent="0.35">
      <c r="A85" s="113"/>
      <c r="B85" s="113"/>
      <c r="C85" s="113"/>
      <c r="D85" s="113"/>
      <c r="E85" s="113"/>
      <c r="F85" s="113"/>
      <c r="G85" s="113"/>
      <c r="H85" s="113"/>
      <c r="I85" s="113"/>
      <c r="J85" s="113"/>
      <c r="K85" s="113"/>
      <c r="L85" s="114"/>
      <c r="M85" s="51" t="s">
        <v>134</v>
      </c>
      <c r="N85" s="51" t="s">
        <v>134</v>
      </c>
      <c r="O85" s="51">
        <v>3.9</v>
      </c>
      <c r="P85" s="56">
        <v>5</v>
      </c>
      <c r="Q85" s="20">
        <v>6.6801619433198386E-2</v>
      </c>
    </row>
    <row r="86" spans="1:17" x14ac:dyDescent="0.35">
      <c r="A86" s="113"/>
      <c r="B86" s="113"/>
      <c r="C86" s="113"/>
      <c r="D86" s="113"/>
      <c r="E86" s="113"/>
      <c r="F86" s="113"/>
      <c r="G86" s="113"/>
      <c r="H86" s="113"/>
      <c r="I86" s="113"/>
      <c r="J86" s="113"/>
      <c r="K86" s="113"/>
      <c r="L86" s="114"/>
      <c r="M86" s="54" t="s">
        <v>140</v>
      </c>
      <c r="N86" s="54"/>
      <c r="O86" s="119" t="s">
        <v>141</v>
      </c>
      <c r="P86" s="119"/>
      <c r="Q86" s="119"/>
    </row>
    <row r="87" spans="1:17" x14ac:dyDescent="0.35">
      <c r="A87" s="113"/>
      <c r="B87" s="113"/>
      <c r="C87" s="113"/>
      <c r="D87" s="113"/>
      <c r="E87" s="113"/>
      <c r="F87" s="113"/>
      <c r="G87" s="113"/>
      <c r="H87" s="113"/>
      <c r="I87" s="113"/>
      <c r="J87" s="113"/>
      <c r="K87" s="113"/>
      <c r="L87" s="114"/>
      <c r="M87" s="115"/>
      <c r="N87" s="116"/>
      <c r="O87" s="120"/>
      <c r="P87" s="120"/>
      <c r="Q87" s="120"/>
    </row>
    <row r="88" spans="1:17" x14ac:dyDescent="0.35">
      <c r="A88" s="113"/>
      <c r="B88" s="113"/>
      <c r="C88" s="113"/>
      <c r="D88" s="113"/>
      <c r="E88" s="113"/>
      <c r="F88" s="113"/>
      <c r="G88" s="113"/>
      <c r="H88" s="113"/>
      <c r="I88" s="113"/>
      <c r="J88" s="113"/>
      <c r="K88" s="113"/>
      <c r="L88" s="114"/>
      <c r="M88" s="117"/>
      <c r="N88" s="118"/>
      <c r="O88" s="120"/>
      <c r="P88" s="120"/>
      <c r="Q88" s="120"/>
    </row>
    <row r="89" spans="1:17" x14ac:dyDescent="0.35">
      <c r="A89" s="50" t="s">
        <v>151</v>
      </c>
      <c r="B89" s="51" t="s">
        <v>134</v>
      </c>
      <c r="C89" s="51">
        <v>3.9</v>
      </c>
      <c r="D89" s="52">
        <v>7.0999999999999994E-2</v>
      </c>
      <c r="E89" s="51">
        <v>0.3</v>
      </c>
      <c r="F89" s="59"/>
      <c r="G89" s="4">
        <v>12</v>
      </c>
      <c r="H89" s="3" t="s">
        <v>28</v>
      </c>
      <c r="I89" s="20">
        <v>3.643724696356275E-2</v>
      </c>
      <c r="M89" s="101" t="s">
        <v>28</v>
      </c>
      <c r="N89" s="101"/>
      <c r="O89" s="101"/>
      <c r="P89" s="101"/>
      <c r="Q89" s="101"/>
    </row>
    <row r="90" spans="1:17" x14ac:dyDescent="0.35">
      <c r="A90" s="113"/>
      <c r="B90" s="113"/>
      <c r="C90" s="113"/>
      <c r="D90" s="113"/>
      <c r="E90" s="113"/>
      <c r="F90" s="113"/>
      <c r="G90" s="113"/>
      <c r="H90" s="113"/>
      <c r="I90" s="113"/>
      <c r="J90" s="113"/>
      <c r="K90" s="113"/>
      <c r="L90" s="114"/>
      <c r="M90" s="119" t="s">
        <v>135</v>
      </c>
      <c r="N90" s="119"/>
      <c r="O90" s="119" t="s">
        <v>136</v>
      </c>
      <c r="P90" s="119"/>
      <c r="Q90" s="119" t="s">
        <v>137</v>
      </c>
    </row>
    <row r="91" spans="1:17" x14ac:dyDescent="0.35">
      <c r="A91" s="113"/>
      <c r="B91" s="113"/>
      <c r="C91" s="113"/>
      <c r="D91" s="113"/>
      <c r="E91" s="113"/>
      <c r="F91" s="113"/>
      <c r="G91" s="113"/>
      <c r="H91" s="113"/>
      <c r="I91" s="113"/>
      <c r="J91" s="113"/>
      <c r="K91" s="113"/>
      <c r="L91" s="114"/>
      <c r="M91" s="119"/>
      <c r="N91" s="119"/>
      <c r="O91" s="119"/>
      <c r="P91" s="119"/>
      <c r="Q91" s="119"/>
    </row>
    <row r="92" spans="1:17" x14ac:dyDescent="0.35">
      <c r="A92" s="113"/>
      <c r="B92" s="113"/>
      <c r="C92" s="113"/>
      <c r="D92" s="113"/>
      <c r="E92" s="113"/>
      <c r="F92" s="113"/>
      <c r="G92" s="113"/>
      <c r="H92" s="113"/>
      <c r="I92" s="113"/>
      <c r="J92" s="113"/>
      <c r="K92" s="113"/>
      <c r="L92" s="114"/>
      <c r="M92" s="55" t="s">
        <v>138</v>
      </c>
      <c r="N92" s="55" t="s">
        <v>139</v>
      </c>
      <c r="O92" s="55" t="s">
        <v>138</v>
      </c>
      <c r="P92" s="55" t="s">
        <v>139</v>
      </c>
      <c r="Q92" s="119"/>
    </row>
    <row r="93" spans="1:17" x14ac:dyDescent="0.35">
      <c r="A93" s="113"/>
      <c r="B93" s="113"/>
      <c r="C93" s="113"/>
      <c r="D93" s="113"/>
      <c r="E93" s="113"/>
      <c r="F93" s="113"/>
      <c r="G93" s="113"/>
      <c r="H93" s="113"/>
      <c r="I93" s="113"/>
      <c r="J93" s="113"/>
      <c r="K93" s="113"/>
      <c r="L93" s="114"/>
      <c r="M93" s="51" t="s">
        <v>134</v>
      </c>
      <c r="N93" s="51" t="s">
        <v>134</v>
      </c>
      <c r="O93" s="51">
        <v>3.9</v>
      </c>
      <c r="P93" s="56">
        <v>5</v>
      </c>
      <c r="Q93" s="20">
        <v>3.643724696356275E-2</v>
      </c>
    </row>
    <row r="94" spans="1:17" x14ac:dyDescent="0.35">
      <c r="A94" s="113"/>
      <c r="B94" s="113"/>
      <c r="C94" s="113"/>
      <c r="D94" s="113"/>
      <c r="E94" s="113"/>
      <c r="F94" s="113"/>
      <c r="G94" s="113"/>
      <c r="H94" s="113"/>
      <c r="I94" s="113"/>
      <c r="J94" s="113"/>
      <c r="K94" s="113"/>
      <c r="L94" s="114"/>
      <c r="M94" s="54" t="s">
        <v>140</v>
      </c>
      <c r="N94" s="54"/>
      <c r="O94" s="119" t="s">
        <v>141</v>
      </c>
      <c r="P94" s="119"/>
      <c r="Q94" s="119"/>
    </row>
    <row r="95" spans="1:17" x14ac:dyDescent="0.35">
      <c r="A95" s="113"/>
      <c r="B95" s="113"/>
      <c r="C95" s="113"/>
      <c r="D95" s="113"/>
      <c r="E95" s="113"/>
      <c r="F95" s="113"/>
      <c r="G95" s="113"/>
      <c r="H95" s="113"/>
      <c r="I95" s="113"/>
      <c r="J95" s="113"/>
      <c r="K95" s="113"/>
      <c r="L95" s="114"/>
      <c r="M95" s="115"/>
      <c r="N95" s="116"/>
      <c r="O95" s="120"/>
      <c r="P95" s="120"/>
      <c r="Q95" s="120"/>
    </row>
    <row r="96" spans="1:17" x14ac:dyDescent="0.35">
      <c r="A96" s="113"/>
      <c r="B96" s="113"/>
      <c r="C96" s="113"/>
      <c r="D96" s="113"/>
      <c r="E96" s="113"/>
      <c r="F96" s="113"/>
      <c r="G96" s="113"/>
      <c r="H96" s="113"/>
      <c r="I96" s="113"/>
      <c r="J96" s="113"/>
      <c r="K96" s="113"/>
      <c r="L96" s="114"/>
      <c r="M96" s="117"/>
      <c r="N96" s="118"/>
      <c r="O96" s="120"/>
      <c r="P96" s="120"/>
      <c r="Q96" s="120"/>
    </row>
  </sheetData>
  <mergeCells count="96">
    <mergeCell ref="Q2:Q4"/>
    <mergeCell ref="Q10:Q12"/>
    <mergeCell ref="M2:N3"/>
    <mergeCell ref="M10:N11"/>
    <mergeCell ref="M18:N19"/>
    <mergeCell ref="O2:P3"/>
    <mergeCell ref="O6:Q6"/>
    <mergeCell ref="O7:Q8"/>
    <mergeCell ref="O10:P11"/>
    <mergeCell ref="M7:N8"/>
    <mergeCell ref="M15:N16"/>
    <mergeCell ref="Q74:Q76"/>
    <mergeCell ref="M71:N72"/>
    <mergeCell ref="M63:N64"/>
    <mergeCell ref="O14:Q14"/>
    <mergeCell ref="O15:Q16"/>
    <mergeCell ref="O46:Q46"/>
    <mergeCell ref="O47:Q48"/>
    <mergeCell ref="Q42:Q44"/>
    <mergeCell ref="Q34:Q36"/>
    <mergeCell ref="O18:P19"/>
    <mergeCell ref="O22:Q22"/>
    <mergeCell ref="O23:Q24"/>
    <mergeCell ref="O26:P27"/>
    <mergeCell ref="O30:Q30"/>
    <mergeCell ref="O31:Q32"/>
    <mergeCell ref="Q18:Q20"/>
    <mergeCell ref="O70:Q70"/>
    <mergeCell ref="O86:Q86"/>
    <mergeCell ref="O87:Q88"/>
    <mergeCell ref="M90:N91"/>
    <mergeCell ref="O90:P91"/>
    <mergeCell ref="Q90:Q92"/>
    <mergeCell ref="M87:N88"/>
    <mergeCell ref="O78:Q78"/>
    <mergeCell ref="O79:Q80"/>
    <mergeCell ref="M82:N83"/>
    <mergeCell ref="O82:P83"/>
    <mergeCell ref="Q82:Q84"/>
    <mergeCell ref="M79:N80"/>
    <mergeCell ref="O71:Q72"/>
    <mergeCell ref="M74:N75"/>
    <mergeCell ref="O74:P75"/>
    <mergeCell ref="O62:Q62"/>
    <mergeCell ref="O63:Q64"/>
    <mergeCell ref="M66:N67"/>
    <mergeCell ref="O66:P67"/>
    <mergeCell ref="Q66:Q68"/>
    <mergeCell ref="O54:Q54"/>
    <mergeCell ref="O55:Q56"/>
    <mergeCell ref="M58:N59"/>
    <mergeCell ref="O58:P59"/>
    <mergeCell ref="Q58:Q60"/>
    <mergeCell ref="M55:N56"/>
    <mergeCell ref="O50:P51"/>
    <mergeCell ref="Q50:Q52"/>
    <mergeCell ref="Q26:Q28"/>
    <mergeCell ref="M42:N43"/>
    <mergeCell ref="M26:N27"/>
    <mergeCell ref="M34:N35"/>
    <mergeCell ref="O34:P35"/>
    <mergeCell ref="O38:Q38"/>
    <mergeCell ref="O39:Q40"/>
    <mergeCell ref="O42:P43"/>
    <mergeCell ref="M47:N48"/>
    <mergeCell ref="O94:Q94"/>
    <mergeCell ref="O95:Q96"/>
    <mergeCell ref="M1:Q1"/>
    <mergeCell ref="M9:Q9"/>
    <mergeCell ref="M17:Q17"/>
    <mergeCell ref="M25:Q25"/>
    <mergeCell ref="M33:Q33"/>
    <mergeCell ref="M41:Q41"/>
    <mergeCell ref="M49:Q49"/>
    <mergeCell ref="M57:Q57"/>
    <mergeCell ref="M65:Q65"/>
    <mergeCell ref="M73:Q73"/>
    <mergeCell ref="M81:Q81"/>
    <mergeCell ref="M89:Q89"/>
    <mergeCell ref="M95:N96"/>
    <mergeCell ref="M50:N51"/>
    <mergeCell ref="A3:L8"/>
    <mergeCell ref="A10:L16"/>
    <mergeCell ref="A18:L24"/>
    <mergeCell ref="A26:L32"/>
    <mergeCell ref="A34:L40"/>
    <mergeCell ref="A82:L88"/>
    <mergeCell ref="A90:L96"/>
    <mergeCell ref="M23:N24"/>
    <mergeCell ref="M31:N32"/>
    <mergeCell ref="M39:N40"/>
    <mergeCell ref="A42:L48"/>
    <mergeCell ref="A50:L56"/>
    <mergeCell ref="A58:L64"/>
    <mergeCell ref="A66:L72"/>
    <mergeCell ref="A74:L80"/>
  </mergeCells>
  <pageMargins left="0.7" right="0.7" top="0.75" bottom="0.75" header="0.3" footer="0.3"/>
  <pageSetup scale="32" orientation="landscape" horizontalDpi="4294967295" verticalDpi="4294967295"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7E1E1-0D9D-4492-B69C-96FC199495FB}">
  <dimension ref="A2:M51"/>
  <sheetViews>
    <sheetView workbookViewId="0">
      <selection activeCell="C4" sqref="C4"/>
    </sheetView>
  </sheetViews>
  <sheetFormatPr baseColWidth="10" defaultColWidth="46.81640625" defaultRowHeight="13.5" customHeight="1" x14ac:dyDescent="0.35"/>
  <cols>
    <col min="1" max="1" width="9.54296875" bestFit="1" customWidth="1"/>
    <col min="2" max="2" width="21.7265625" bestFit="1" customWidth="1"/>
    <col min="3" max="3" width="20.26953125" bestFit="1" customWidth="1"/>
    <col min="4" max="4" width="8.7265625" bestFit="1" customWidth="1"/>
    <col min="5" max="5" width="45.54296875" bestFit="1" customWidth="1"/>
    <col min="6" max="6" width="26.1796875" bestFit="1" customWidth="1"/>
    <col min="7" max="8" width="9.54296875" bestFit="1" customWidth="1"/>
    <col min="9" max="9" width="21.7265625" bestFit="1" customWidth="1"/>
    <col min="10" max="10" width="18.26953125" bestFit="1" customWidth="1"/>
    <col min="11" max="11" width="8.7265625" bestFit="1" customWidth="1"/>
    <col min="12" max="12" width="19.54296875" bestFit="1" customWidth="1"/>
    <col min="13" max="13" width="20.26953125" bestFit="1" customWidth="1"/>
  </cols>
  <sheetData>
    <row r="2" spans="1:13" ht="13.5" customHeight="1" thickBot="1" x14ac:dyDescent="0.4"/>
    <row r="3" spans="1:13" ht="13.5" customHeight="1" thickBot="1" x14ac:dyDescent="0.4">
      <c r="C3" s="123" t="s">
        <v>135</v>
      </c>
      <c r="D3" s="124"/>
      <c r="E3" s="123" t="s">
        <v>152</v>
      </c>
      <c r="F3" s="125"/>
      <c r="G3" s="28" t="s">
        <v>153</v>
      </c>
    </row>
    <row r="4" spans="1:13" ht="13.5" customHeight="1" thickBot="1" x14ac:dyDescent="0.4">
      <c r="C4" s="23" t="s">
        <v>154</v>
      </c>
      <c r="D4" s="24" t="s">
        <v>155</v>
      </c>
      <c r="E4" s="29" t="s">
        <v>156</v>
      </c>
      <c r="F4" s="24" t="s">
        <v>154</v>
      </c>
      <c r="G4" s="24">
        <v>5</v>
      </c>
    </row>
    <row r="5" spans="1:13" ht="13.5" customHeight="1" thickBot="1" x14ac:dyDescent="0.4">
      <c r="C5" s="25" t="s">
        <v>134</v>
      </c>
      <c r="D5" s="26" t="s">
        <v>157</v>
      </c>
      <c r="E5" s="30" t="s">
        <v>158</v>
      </c>
      <c r="F5" s="26" t="s">
        <v>134</v>
      </c>
      <c r="G5" s="26">
        <v>4</v>
      </c>
    </row>
    <row r="6" spans="1:13" ht="13.5" customHeight="1" thickBot="1" x14ac:dyDescent="0.4">
      <c r="C6" s="23" t="s">
        <v>149</v>
      </c>
      <c r="D6" s="24" t="s">
        <v>159</v>
      </c>
      <c r="E6" s="29" t="s">
        <v>160</v>
      </c>
      <c r="F6" s="24" t="s">
        <v>149</v>
      </c>
      <c r="G6" s="24">
        <v>3</v>
      </c>
    </row>
    <row r="7" spans="1:13" ht="13.5" customHeight="1" thickBot="1" x14ac:dyDescent="0.4">
      <c r="C7" s="25" t="s">
        <v>161</v>
      </c>
      <c r="D7" s="26" t="s">
        <v>162</v>
      </c>
      <c r="E7" s="30" t="s">
        <v>163</v>
      </c>
      <c r="F7" s="26" t="s">
        <v>164</v>
      </c>
      <c r="G7" s="26">
        <v>2</v>
      </c>
    </row>
    <row r="8" spans="1:13" ht="13.5" customHeight="1" thickBot="1" x14ac:dyDescent="0.4">
      <c r="C8" s="23" t="s">
        <v>165</v>
      </c>
      <c r="D8" s="24" t="s">
        <v>166</v>
      </c>
      <c r="E8" s="29" t="s">
        <v>167</v>
      </c>
      <c r="F8" s="24" t="s">
        <v>168</v>
      </c>
      <c r="G8" s="24">
        <v>1</v>
      </c>
    </row>
    <row r="10" spans="1:13" ht="13.5" customHeight="1" x14ac:dyDescent="0.35">
      <c r="A10" s="126" t="s">
        <v>169</v>
      </c>
      <c r="B10" s="126"/>
      <c r="C10" s="126"/>
      <c r="D10" s="126"/>
      <c r="E10" s="126"/>
      <c r="H10" s="122" t="s">
        <v>170</v>
      </c>
      <c r="I10" s="122"/>
      <c r="J10" s="122"/>
      <c r="K10" s="122"/>
      <c r="L10" s="122"/>
      <c r="M10" s="122"/>
    </row>
    <row r="11" spans="1:13" ht="13.5" customHeight="1" thickBot="1" x14ac:dyDescent="0.4">
      <c r="H11" s="33"/>
    </row>
    <row r="12" spans="1:13" ht="13.5" customHeight="1" thickBot="1" x14ac:dyDescent="0.4">
      <c r="A12" s="22" t="s">
        <v>93</v>
      </c>
      <c r="B12" s="31" t="s">
        <v>171</v>
      </c>
      <c r="C12" s="31" t="s">
        <v>172</v>
      </c>
      <c r="D12" s="31" t="s">
        <v>173</v>
      </c>
      <c r="E12" s="31" t="s">
        <v>174</v>
      </c>
      <c r="F12" s="27" t="s">
        <v>131</v>
      </c>
      <c r="H12" s="22" t="s">
        <v>93</v>
      </c>
      <c r="I12" s="31" t="s">
        <v>171</v>
      </c>
      <c r="J12" s="31" t="s">
        <v>172</v>
      </c>
      <c r="K12" s="31" t="s">
        <v>173</v>
      </c>
      <c r="L12" s="31" t="s">
        <v>174</v>
      </c>
      <c r="M12" s="27" t="s">
        <v>131</v>
      </c>
    </row>
    <row r="13" spans="1:13" ht="13.5" customHeight="1" thickBot="1" x14ac:dyDescent="0.4">
      <c r="A13" s="32">
        <v>0.14699999999999999</v>
      </c>
      <c r="B13" s="24">
        <v>4.4000000000000004</v>
      </c>
      <c r="C13" s="24">
        <v>0.7</v>
      </c>
      <c r="D13" s="24">
        <v>0.8</v>
      </c>
      <c r="E13" s="24">
        <v>0.9</v>
      </c>
      <c r="F13" s="24" t="s">
        <v>134</v>
      </c>
      <c r="H13" s="34">
        <v>0.09</v>
      </c>
      <c r="I13" s="24">
        <v>4</v>
      </c>
      <c r="J13" s="24">
        <v>0.4</v>
      </c>
      <c r="K13" s="24">
        <v>0.5</v>
      </c>
      <c r="L13" s="24">
        <v>0.8</v>
      </c>
      <c r="M13" s="24" t="s">
        <v>134</v>
      </c>
    </row>
    <row r="15" spans="1:13" ht="13.5" customHeight="1" x14ac:dyDescent="0.35">
      <c r="A15" s="126" t="s">
        <v>175</v>
      </c>
      <c r="B15" s="126"/>
      <c r="C15" s="126"/>
      <c r="D15" s="126"/>
      <c r="E15" s="126"/>
      <c r="H15" s="122" t="s">
        <v>176</v>
      </c>
      <c r="I15" s="122"/>
      <c r="J15" s="122"/>
      <c r="K15" s="122"/>
      <c r="L15" s="122"/>
      <c r="M15" s="122"/>
    </row>
    <row r="16" spans="1:13" ht="13.5" customHeight="1" thickBot="1" x14ac:dyDescent="0.4">
      <c r="A16" s="33"/>
      <c r="H16" s="33"/>
    </row>
    <row r="17" spans="1:13" ht="13.5" customHeight="1" thickBot="1" x14ac:dyDescent="0.4">
      <c r="A17" s="22" t="s">
        <v>93</v>
      </c>
      <c r="B17" s="31" t="s">
        <v>171</v>
      </c>
      <c r="C17" s="31" t="s">
        <v>172</v>
      </c>
      <c r="D17" s="31" t="s">
        <v>173</v>
      </c>
      <c r="E17" s="31" t="s">
        <v>174</v>
      </c>
      <c r="F17" s="27" t="s">
        <v>131</v>
      </c>
      <c r="H17" s="22" t="s">
        <v>93</v>
      </c>
      <c r="I17" s="31" t="s">
        <v>171</v>
      </c>
      <c r="J17" s="31" t="s">
        <v>172</v>
      </c>
      <c r="K17" s="31" t="s">
        <v>173</v>
      </c>
      <c r="L17" s="31" t="s">
        <v>174</v>
      </c>
      <c r="M17" s="27" t="s">
        <v>131</v>
      </c>
    </row>
    <row r="18" spans="1:13" ht="13.5" customHeight="1" thickBot="1" x14ac:dyDescent="0.4">
      <c r="A18" s="34">
        <v>0.14000000000000001</v>
      </c>
      <c r="B18" s="24">
        <v>4</v>
      </c>
      <c r="C18" s="24">
        <v>0.5</v>
      </c>
      <c r="D18" s="24">
        <v>0.7</v>
      </c>
      <c r="E18" s="24">
        <v>0.8</v>
      </c>
      <c r="F18" s="24" t="s">
        <v>134</v>
      </c>
      <c r="H18" s="34">
        <v>0.09</v>
      </c>
      <c r="I18" s="24">
        <v>3.4</v>
      </c>
      <c r="J18" s="24">
        <v>0.3</v>
      </c>
      <c r="K18" s="24">
        <v>0.5</v>
      </c>
      <c r="L18" s="24">
        <v>0.6</v>
      </c>
      <c r="M18" s="24" t="s">
        <v>177</v>
      </c>
    </row>
    <row r="20" spans="1:13" ht="13.5" customHeight="1" x14ac:dyDescent="0.35">
      <c r="A20" s="126" t="s">
        <v>178</v>
      </c>
      <c r="B20" s="126"/>
      <c r="C20" s="126"/>
      <c r="D20" s="126"/>
      <c r="E20" s="126"/>
      <c r="H20" s="122" t="s">
        <v>179</v>
      </c>
      <c r="I20" s="122"/>
      <c r="J20" s="122"/>
      <c r="K20" s="122"/>
      <c r="L20" s="122"/>
      <c r="M20" s="122"/>
    </row>
    <row r="21" spans="1:13" ht="13.5" customHeight="1" thickBot="1" x14ac:dyDescent="0.4">
      <c r="A21" s="33"/>
      <c r="H21" s="33"/>
    </row>
    <row r="22" spans="1:13" ht="13.5" customHeight="1" thickBot="1" x14ac:dyDescent="0.4">
      <c r="A22" s="22" t="s">
        <v>93</v>
      </c>
      <c r="B22" s="31" t="s">
        <v>171</v>
      </c>
      <c r="C22" s="31" t="s">
        <v>172</v>
      </c>
      <c r="D22" s="31" t="s">
        <v>173</v>
      </c>
      <c r="E22" s="31" t="s">
        <v>174</v>
      </c>
      <c r="F22" s="27" t="s">
        <v>131</v>
      </c>
      <c r="H22" s="22" t="s">
        <v>93</v>
      </c>
      <c r="I22" s="31" t="s">
        <v>171</v>
      </c>
      <c r="J22" s="31" t="s">
        <v>172</v>
      </c>
      <c r="K22" s="31" t="s">
        <v>173</v>
      </c>
      <c r="L22" s="31" t="s">
        <v>174</v>
      </c>
      <c r="M22" s="27" t="s">
        <v>131</v>
      </c>
    </row>
    <row r="23" spans="1:13" ht="13.5" customHeight="1" thickBot="1" x14ac:dyDescent="0.4">
      <c r="A23" s="34">
        <v>0.13</v>
      </c>
      <c r="B23" s="24">
        <v>4.2</v>
      </c>
      <c r="C23" s="24">
        <v>0.6</v>
      </c>
      <c r="D23" s="24">
        <v>0.7</v>
      </c>
      <c r="E23" s="24">
        <v>0.9</v>
      </c>
      <c r="F23" s="24" t="s">
        <v>134</v>
      </c>
      <c r="H23" s="34">
        <v>0.05</v>
      </c>
      <c r="I23" s="24">
        <v>4</v>
      </c>
      <c r="J23" s="24">
        <v>0.2</v>
      </c>
      <c r="K23" s="24">
        <v>0.3</v>
      </c>
      <c r="L23" s="24">
        <v>0.8</v>
      </c>
      <c r="M23" s="24" t="s">
        <v>134</v>
      </c>
    </row>
    <row r="25" spans="1:13" ht="13.5" customHeight="1" x14ac:dyDescent="0.35">
      <c r="A25" s="122" t="s">
        <v>180</v>
      </c>
      <c r="B25" s="122"/>
      <c r="C25" s="122"/>
      <c r="D25" s="122"/>
      <c r="E25" s="122"/>
      <c r="H25" s="122" t="s">
        <v>181</v>
      </c>
      <c r="I25" s="122"/>
      <c r="J25" s="122"/>
      <c r="K25" s="122"/>
      <c r="L25" s="122"/>
      <c r="M25" s="122"/>
    </row>
    <row r="26" spans="1:13" ht="13.5" customHeight="1" thickBot="1" x14ac:dyDescent="0.4">
      <c r="A26" s="33"/>
      <c r="H26" s="33"/>
    </row>
    <row r="27" spans="1:13" ht="13.5" customHeight="1" thickBot="1" x14ac:dyDescent="0.4">
      <c r="A27" s="22" t="s">
        <v>93</v>
      </c>
      <c r="B27" s="31" t="s">
        <v>171</v>
      </c>
      <c r="C27" s="31" t="s">
        <v>172</v>
      </c>
      <c r="D27" s="31" t="s">
        <v>173</v>
      </c>
      <c r="E27" s="31" t="s">
        <v>174</v>
      </c>
      <c r="F27" s="27" t="s">
        <v>131</v>
      </c>
      <c r="H27" s="22" t="s">
        <v>93</v>
      </c>
      <c r="I27" s="31" t="s">
        <v>171</v>
      </c>
      <c r="J27" s="31" t="s">
        <v>172</v>
      </c>
      <c r="K27" s="31" t="s">
        <v>173</v>
      </c>
      <c r="L27" s="31" t="s">
        <v>174</v>
      </c>
      <c r="M27" s="27" t="s">
        <v>131</v>
      </c>
    </row>
    <row r="28" spans="1:13" ht="13.5" customHeight="1" thickBot="1" x14ac:dyDescent="0.4">
      <c r="A28" s="34">
        <v>0.11</v>
      </c>
      <c r="B28" s="24">
        <v>4</v>
      </c>
      <c r="C28" s="24">
        <v>0.4</v>
      </c>
      <c r="D28" s="24">
        <v>0.6</v>
      </c>
      <c r="E28" s="24">
        <v>0.8</v>
      </c>
      <c r="F28" s="24" t="s">
        <v>134</v>
      </c>
      <c r="H28" s="36">
        <v>7.0000000000000007E-2</v>
      </c>
      <c r="I28" s="24">
        <v>4.0999999999999996</v>
      </c>
      <c r="J28" s="24">
        <v>0.3</v>
      </c>
      <c r="K28" s="24">
        <v>0.35</v>
      </c>
      <c r="L28" s="24">
        <v>0.8</v>
      </c>
      <c r="M28" s="24" t="s">
        <v>134</v>
      </c>
    </row>
    <row r="30" spans="1:13" ht="13.5" customHeight="1" x14ac:dyDescent="0.35">
      <c r="A30" s="122" t="s">
        <v>182</v>
      </c>
      <c r="B30" s="122"/>
      <c r="C30" s="122"/>
      <c r="D30" s="122"/>
      <c r="E30" s="122"/>
      <c r="H30" s="122" t="s">
        <v>183</v>
      </c>
      <c r="I30" s="122"/>
      <c r="J30" s="122"/>
      <c r="K30" s="122"/>
      <c r="L30" s="122"/>
      <c r="M30" s="122"/>
    </row>
    <row r="31" spans="1:13" ht="13.5" customHeight="1" thickBot="1" x14ac:dyDescent="0.4">
      <c r="B31" s="35"/>
      <c r="H31" s="33"/>
    </row>
    <row r="32" spans="1:13" ht="13.5" customHeight="1" thickBot="1" x14ac:dyDescent="0.4">
      <c r="A32" s="22" t="s">
        <v>93</v>
      </c>
      <c r="B32" s="31" t="s">
        <v>171</v>
      </c>
      <c r="C32" s="31" t="s">
        <v>172</v>
      </c>
      <c r="D32" s="31" t="s">
        <v>173</v>
      </c>
      <c r="E32" s="31" t="s">
        <v>174</v>
      </c>
      <c r="F32" s="27" t="s">
        <v>131</v>
      </c>
      <c r="H32" s="22" t="s">
        <v>93</v>
      </c>
      <c r="I32" s="31" t="s">
        <v>171</v>
      </c>
      <c r="J32" s="31" t="s">
        <v>172</v>
      </c>
      <c r="K32" s="31" t="s">
        <v>173</v>
      </c>
      <c r="L32" s="31" t="s">
        <v>174</v>
      </c>
      <c r="M32" s="27" t="s">
        <v>131</v>
      </c>
    </row>
    <row r="33" spans="1:13" ht="13.5" customHeight="1" thickBot="1" x14ac:dyDescent="0.4">
      <c r="A33" s="34">
        <v>0.11</v>
      </c>
      <c r="B33" s="24">
        <v>4.2</v>
      </c>
      <c r="C33" s="24">
        <v>0.5</v>
      </c>
      <c r="D33" s="24">
        <v>0.6</v>
      </c>
      <c r="E33" s="24">
        <v>0.8</v>
      </c>
      <c r="F33" s="24" t="s">
        <v>134</v>
      </c>
      <c r="H33" s="34">
        <v>7.0000000000000007E-2</v>
      </c>
      <c r="I33" s="24">
        <v>3.9</v>
      </c>
      <c r="J33" s="24">
        <v>0.3</v>
      </c>
      <c r="K33" s="24">
        <v>0.4</v>
      </c>
      <c r="L33" s="24">
        <v>0.8</v>
      </c>
      <c r="M33" s="24" t="s">
        <v>134</v>
      </c>
    </row>
    <row r="36" spans="1:13" ht="14.5" x14ac:dyDescent="0.35">
      <c r="B36" s="122" t="s">
        <v>184</v>
      </c>
      <c r="C36" s="122"/>
      <c r="D36" s="122"/>
      <c r="E36" s="122"/>
    </row>
    <row r="37" spans="1:13" ht="14.5" x14ac:dyDescent="0.35">
      <c r="B37" s="37"/>
    </row>
    <row r="38" spans="1:13" ht="15" thickBot="1" x14ac:dyDescent="0.4">
      <c r="B38" s="33"/>
    </row>
    <row r="39" spans="1:13" ht="15" thickBot="1" x14ac:dyDescent="0.4">
      <c r="B39" s="22" t="s">
        <v>76</v>
      </c>
      <c r="C39" s="31" t="s">
        <v>131</v>
      </c>
      <c r="D39" s="31" t="s">
        <v>132</v>
      </c>
      <c r="E39" s="31" t="s">
        <v>77</v>
      </c>
      <c r="F39" s="27"/>
    </row>
    <row r="40" spans="1:13" ht="24.5" thickBot="1" x14ac:dyDescent="0.4">
      <c r="B40" s="29" t="s">
        <v>133</v>
      </c>
      <c r="C40" s="24" t="s">
        <v>134</v>
      </c>
      <c r="D40" s="24">
        <v>4.4000000000000004</v>
      </c>
      <c r="E40" s="38">
        <v>0.14699999999999999</v>
      </c>
      <c r="F40" s="24">
        <v>0.7</v>
      </c>
    </row>
    <row r="41" spans="1:13" ht="15" thickBot="1" x14ac:dyDescent="0.4">
      <c r="B41" s="30" t="s">
        <v>142</v>
      </c>
      <c r="C41" s="26" t="s">
        <v>134</v>
      </c>
      <c r="D41" s="26">
        <v>4</v>
      </c>
      <c r="E41" s="39">
        <v>0.13700000000000001</v>
      </c>
      <c r="F41" s="26">
        <v>0.5</v>
      </c>
    </row>
    <row r="42" spans="1:13" ht="15" thickBot="1" x14ac:dyDescent="0.4">
      <c r="B42" s="29" t="s">
        <v>143</v>
      </c>
      <c r="C42" s="24" t="s">
        <v>134</v>
      </c>
      <c r="D42" s="24">
        <v>4.2</v>
      </c>
      <c r="E42" s="38">
        <v>0.126</v>
      </c>
      <c r="F42" s="24">
        <v>0.5</v>
      </c>
    </row>
    <row r="43" spans="1:13" ht="36.5" thickBot="1" x14ac:dyDescent="0.4">
      <c r="B43" s="30" t="s">
        <v>145</v>
      </c>
      <c r="C43" s="26" t="s">
        <v>134</v>
      </c>
      <c r="D43" s="26">
        <v>4</v>
      </c>
      <c r="E43" s="39">
        <v>0.11</v>
      </c>
      <c r="F43" s="26">
        <v>0.4</v>
      </c>
    </row>
    <row r="44" spans="1:13" ht="36.5" thickBot="1" x14ac:dyDescent="0.4">
      <c r="B44" s="29" t="s">
        <v>146</v>
      </c>
      <c r="C44" s="24" t="s">
        <v>134</v>
      </c>
      <c r="D44" s="24">
        <v>4.2</v>
      </c>
      <c r="E44" s="38">
        <v>0.114</v>
      </c>
      <c r="F44" s="24">
        <v>0.5</v>
      </c>
    </row>
    <row r="45" spans="1:13" ht="48.5" thickBot="1" x14ac:dyDescent="0.4">
      <c r="B45" s="30" t="s">
        <v>147</v>
      </c>
      <c r="C45" s="26" t="s">
        <v>134</v>
      </c>
      <c r="D45" s="40">
        <v>4</v>
      </c>
      <c r="E45" s="39">
        <v>9.2999999999999999E-2</v>
      </c>
      <c r="F45" s="26">
        <v>0.4</v>
      </c>
    </row>
    <row r="46" spans="1:13" ht="48.5" thickBot="1" x14ac:dyDescent="0.4">
      <c r="B46" s="29" t="s">
        <v>148</v>
      </c>
      <c r="C46" s="24" t="s">
        <v>149</v>
      </c>
      <c r="D46" s="24">
        <v>3.4</v>
      </c>
      <c r="E46" s="38">
        <v>8.5000000000000006E-2</v>
      </c>
      <c r="F46" s="24">
        <v>0.3</v>
      </c>
    </row>
    <row r="47" spans="1:13" ht="24.5" thickBot="1" x14ac:dyDescent="0.4">
      <c r="B47" s="30" t="s">
        <v>150</v>
      </c>
      <c r="C47" s="26" t="s">
        <v>134</v>
      </c>
      <c r="D47" s="26">
        <v>4</v>
      </c>
      <c r="E47" s="39">
        <v>0.05</v>
      </c>
      <c r="F47" s="26">
        <v>0.2</v>
      </c>
    </row>
    <row r="48" spans="1:13" ht="24.5" thickBot="1" x14ac:dyDescent="0.4">
      <c r="B48" s="29" t="s">
        <v>144</v>
      </c>
      <c r="C48" s="24" t="s">
        <v>134</v>
      </c>
      <c r="D48" s="24">
        <v>4.0999999999999996</v>
      </c>
      <c r="E48" s="38">
        <v>6.7000000000000004E-2</v>
      </c>
      <c r="F48" s="24">
        <v>0.3</v>
      </c>
    </row>
    <row r="49" spans="2:6" ht="36.5" thickBot="1" x14ac:dyDescent="0.4">
      <c r="B49" s="30" t="s">
        <v>151</v>
      </c>
      <c r="C49" s="26" t="s">
        <v>134</v>
      </c>
      <c r="D49" s="26">
        <v>3.9</v>
      </c>
      <c r="E49" s="39">
        <v>7.0999999999999994E-2</v>
      </c>
      <c r="F49" s="26">
        <v>0.3</v>
      </c>
    </row>
    <row r="50" spans="2:6" ht="15" thickBot="1" x14ac:dyDescent="0.4">
      <c r="B50" s="41" t="s">
        <v>185</v>
      </c>
      <c r="C50" s="42" t="s">
        <v>134</v>
      </c>
      <c r="D50" s="44">
        <v>1</v>
      </c>
      <c r="E50" s="45"/>
      <c r="F50" s="43">
        <v>4.0999999999999996</v>
      </c>
    </row>
    <row r="51" spans="2:6" ht="14.5" x14ac:dyDescent="0.35"/>
  </sheetData>
  <mergeCells count="13">
    <mergeCell ref="C3:D3"/>
    <mergeCell ref="E3:F3"/>
    <mergeCell ref="A10:E10"/>
    <mergeCell ref="A15:E15"/>
    <mergeCell ref="A20:E20"/>
    <mergeCell ref="B36:E36"/>
    <mergeCell ref="A30:E30"/>
    <mergeCell ref="H10:M10"/>
    <mergeCell ref="H15:M15"/>
    <mergeCell ref="H20:M20"/>
    <mergeCell ref="H25:M25"/>
    <mergeCell ref="H30:M30"/>
    <mergeCell ref="A25:E25"/>
  </mergeCells>
  <pageMargins left="0.7" right="0.7" top="0.75" bottom="0.75" header="0.3" footer="0.3"/>
  <pageSetup paperSize="9" orientation="portrait" horizontalDpi="4294967295" verticalDpi="4294967295"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4AC46-32DC-46A4-941D-5BC0917FF84E}">
  <sheetPr>
    <pageSetUpPr fitToPage="1"/>
  </sheetPr>
  <dimension ref="A1:V101"/>
  <sheetViews>
    <sheetView zoomScale="160" zoomScaleNormal="160" workbookViewId="0">
      <pane xSplit="3" ySplit="2" topLeftCell="H3" activePane="bottomRight" state="frozen"/>
      <selection pane="topRight" activeCell="D1" sqref="D1"/>
      <selection pane="bottomLeft" activeCell="A3" sqref="A3"/>
      <selection pane="bottomRight" activeCell="K3" sqref="K3"/>
    </sheetView>
  </sheetViews>
  <sheetFormatPr baseColWidth="10" defaultColWidth="62.26953125" defaultRowHeight="14.5" x14ac:dyDescent="0.35"/>
  <cols>
    <col min="1" max="1" width="3" bestFit="1" customWidth="1"/>
    <col min="2" max="2" width="27.81640625" customWidth="1"/>
    <col min="3" max="3" width="20.7265625" bestFit="1" customWidth="1"/>
    <col min="4" max="4" width="41.26953125" customWidth="1"/>
    <col min="5" max="5" width="20.7265625" style="1" customWidth="1"/>
    <col min="6" max="6" width="79.81640625" style="14" customWidth="1"/>
    <col min="7" max="7" width="26.1796875" customWidth="1"/>
    <col min="8" max="8" width="26.1796875" style="72" customWidth="1"/>
    <col min="9" max="11" width="24" customWidth="1"/>
    <col min="12" max="19" width="14" bestFit="1" customWidth="1"/>
    <col min="20" max="20" width="22.7265625" bestFit="1" customWidth="1"/>
    <col min="21" max="21" width="19.7265625" bestFit="1" customWidth="1"/>
    <col min="22" max="22" width="27.453125" bestFit="1" customWidth="1"/>
  </cols>
  <sheetData>
    <row r="1" spans="1:22" x14ac:dyDescent="0.35">
      <c r="A1" s="73"/>
    </row>
    <row r="2" spans="1:22" ht="15" thickBot="1" x14ac:dyDescent="0.4">
      <c r="A2" t="s">
        <v>186</v>
      </c>
      <c r="B2" s="60" t="s">
        <v>76</v>
      </c>
      <c r="C2" s="60" t="s">
        <v>187</v>
      </c>
      <c r="D2" s="60" t="s">
        <v>188</v>
      </c>
      <c r="E2" s="60" t="s">
        <v>187</v>
      </c>
      <c r="F2" s="60" t="s">
        <v>189</v>
      </c>
      <c r="G2" s="60" t="s">
        <v>190</v>
      </c>
      <c r="H2" s="70" t="s">
        <v>187</v>
      </c>
      <c r="I2" s="60" t="s">
        <v>191</v>
      </c>
      <c r="J2" s="60" t="s">
        <v>191</v>
      </c>
      <c r="K2" s="61"/>
    </row>
    <row r="3" spans="1:22" ht="73" thickBot="1" x14ac:dyDescent="0.4">
      <c r="A3" s="130">
        <v>1</v>
      </c>
      <c r="B3" s="101" t="s">
        <v>192</v>
      </c>
      <c r="C3" s="131">
        <v>0.120782726045884</v>
      </c>
      <c r="D3" s="3" t="s">
        <v>193</v>
      </c>
      <c r="E3" s="20">
        <v>0.53846153846153844</v>
      </c>
      <c r="F3" s="3" t="s">
        <v>194</v>
      </c>
      <c r="G3" s="4">
        <v>4</v>
      </c>
      <c r="H3" s="71">
        <f>+AVERAGE(G3)</f>
        <v>4</v>
      </c>
      <c r="I3" s="130">
        <f>AVERAGE(G3:G6)</f>
        <v>4</v>
      </c>
      <c r="J3" s="89" t="str">
        <f>IF(I3&gt;=4.5,"Se cumple plenamente",IF(I3&gt;=4,"Se cumple en alto grado",IF(I3&gt;=3.5,"Se cumple aceptablemente",IF(I3&gt;=2.5,"Se cumple insatisfactoriamente",IF(I3&gt;=1,"No se cumple","")))))</f>
        <v>Se cumple en alto grado</v>
      </c>
      <c r="K3" t="s">
        <v>195</v>
      </c>
      <c r="T3" s="128" t="s">
        <v>196</v>
      </c>
      <c r="U3" s="66" t="s">
        <v>197</v>
      </c>
      <c r="V3" s="128" t="s">
        <v>135</v>
      </c>
    </row>
    <row r="4" spans="1:22" ht="29.5" thickBot="1" x14ac:dyDescent="0.4">
      <c r="A4" s="130"/>
      <c r="B4" s="101"/>
      <c r="C4" s="131"/>
      <c r="D4" s="101" t="s">
        <v>198</v>
      </c>
      <c r="E4" s="131">
        <v>0.46153846153846156</v>
      </c>
      <c r="F4" s="3" t="s">
        <v>199</v>
      </c>
      <c r="G4" s="4">
        <v>4</v>
      </c>
      <c r="H4" s="127">
        <f>AVERAGE(G4:G6)</f>
        <v>4</v>
      </c>
      <c r="I4" s="130"/>
      <c r="J4" s="89"/>
      <c r="K4" t="s">
        <v>200</v>
      </c>
      <c r="T4" s="129"/>
      <c r="U4" s="63"/>
      <c r="V4" s="129"/>
    </row>
    <row r="5" spans="1:22" ht="75" customHeight="1" thickBot="1" x14ac:dyDescent="0.4">
      <c r="A5" s="130"/>
      <c r="B5" s="101"/>
      <c r="C5" s="131"/>
      <c r="D5" s="101"/>
      <c r="E5" s="131"/>
      <c r="F5" s="3" t="s">
        <v>201</v>
      </c>
      <c r="G5" s="4">
        <v>5</v>
      </c>
      <c r="H5" s="127"/>
      <c r="I5" s="130"/>
      <c r="J5" s="89"/>
      <c r="K5" t="s">
        <v>200</v>
      </c>
      <c r="T5" s="67">
        <v>1</v>
      </c>
      <c r="U5" s="68">
        <v>1</v>
      </c>
      <c r="V5" s="64" t="s">
        <v>168</v>
      </c>
    </row>
    <row r="6" spans="1:22" ht="29.5" thickBot="1" x14ac:dyDescent="0.4">
      <c r="A6" s="130"/>
      <c r="B6" s="101"/>
      <c r="C6" s="131"/>
      <c r="D6" s="101"/>
      <c r="E6" s="131"/>
      <c r="F6" s="3" t="s">
        <v>202</v>
      </c>
      <c r="G6" s="4">
        <v>3</v>
      </c>
      <c r="H6" s="127"/>
      <c r="I6" s="130"/>
      <c r="J6" s="89"/>
      <c r="K6" t="s">
        <v>203</v>
      </c>
      <c r="T6" s="69" t="s">
        <v>204</v>
      </c>
      <c r="U6" s="65">
        <v>2</v>
      </c>
      <c r="V6" s="64" t="s">
        <v>164</v>
      </c>
    </row>
    <row r="7" spans="1:22" ht="75" customHeight="1" thickBot="1" x14ac:dyDescent="0.4">
      <c r="A7" s="130">
        <v>2</v>
      </c>
      <c r="B7" s="101" t="s">
        <v>175</v>
      </c>
      <c r="C7" s="131">
        <v>0.12415654520917679</v>
      </c>
      <c r="D7" s="101" t="s">
        <v>95</v>
      </c>
      <c r="E7" s="131">
        <v>0.33139534883720928</v>
      </c>
      <c r="F7" s="3" t="s">
        <v>205</v>
      </c>
      <c r="G7" s="4">
        <v>4</v>
      </c>
      <c r="H7" s="127">
        <f>AVERAGE(G7:G10)</f>
        <v>4</v>
      </c>
      <c r="I7" s="127">
        <f>+AVERAGE(G7:G16)</f>
        <v>4.5999999999999996</v>
      </c>
      <c r="J7" s="89" t="str">
        <f>IF(I3&gt;=4.5,"Se cumple plenamente",IF(I3&gt;=4,"Se cumple en alto grado",IF(I3&gt;=3.5,"Se cumple aceptablemente",IF(I3&gt;=2.5,"Se cumple insatisfactoriamente",IF(I3&gt;=1,"No se cumple","")))))</f>
        <v>Se cumple en alto grado</v>
      </c>
      <c r="K7" t="s">
        <v>206</v>
      </c>
      <c r="L7" s="1" t="s">
        <v>207</v>
      </c>
      <c r="M7" s="1" t="s">
        <v>208</v>
      </c>
      <c r="N7" s="1" t="s">
        <v>209</v>
      </c>
      <c r="O7" s="1" t="s">
        <v>210</v>
      </c>
      <c r="P7" s="1" t="s">
        <v>211</v>
      </c>
      <c r="Q7" s="1" t="s">
        <v>212</v>
      </c>
      <c r="T7" s="69" t="s">
        <v>213</v>
      </c>
      <c r="U7" s="65">
        <v>3</v>
      </c>
      <c r="V7" s="64" t="s">
        <v>149</v>
      </c>
    </row>
    <row r="8" spans="1:22" ht="44" thickBot="1" x14ac:dyDescent="0.4">
      <c r="A8" s="130"/>
      <c r="B8" s="101"/>
      <c r="C8" s="131"/>
      <c r="D8" s="101"/>
      <c r="E8" s="131"/>
      <c r="F8" s="3" t="s">
        <v>214</v>
      </c>
      <c r="G8" s="4">
        <v>4</v>
      </c>
      <c r="H8" s="127"/>
      <c r="I8" s="127"/>
      <c r="J8" s="89"/>
      <c r="K8" t="s">
        <v>206</v>
      </c>
      <c r="L8" s="1" t="s">
        <v>212</v>
      </c>
      <c r="T8" s="69">
        <v>4</v>
      </c>
      <c r="U8" s="65">
        <v>4</v>
      </c>
      <c r="V8" s="64" t="s">
        <v>134</v>
      </c>
    </row>
    <row r="9" spans="1:22" ht="45" customHeight="1" thickBot="1" x14ac:dyDescent="0.4">
      <c r="A9" s="130"/>
      <c r="B9" s="101"/>
      <c r="C9" s="131"/>
      <c r="D9" s="101"/>
      <c r="E9" s="131"/>
      <c r="F9" s="3" t="s">
        <v>215</v>
      </c>
      <c r="G9" s="4">
        <v>4</v>
      </c>
      <c r="H9" s="127"/>
      <c r="I9" s="127"/>
      <c r="J9" s="89"/>
      <c r="K9" t="s">
        <v>206</v>
      </c>
      <c r="L9" s="1" t="s">
        <v>212</v>
      </c>
      <c r="T9" s="69" t="s">
        <v>216</v>
      </c>
      <c r="U9" s="65">
        <v>5</v>
      </c>
      <c r="V9" s="64" t="s">
        <v>154</v>
      </c>
    </row>
    <row r="10" spans="1:22" ht="90" customHeight="1" x14ac:dyDescent="0.35">
      <c r="A10" s="130"/>
      <c r="B10" s="101"/>
      <c r="C10" s="131"/>
      <c r="D10" s="101"/>
      <c r="E10" s="131"/>
      <c r="F10" s="3" t="s">
        <v>217</v>
      </c>
      <c r="G10" s="4">
        <v>4</v>
      </c>
      <c r="H10" s="127"/>
      <c r="I10" s="127"/>
      <c r="J10" s="89"/>
      <c r="K10" t="s">
        <v>206</v>
      </c>
      <c r="L10" s="1" t="s">
        <v>212</v>
      </c>
    </row>
    <row r="11" spans="1:22" ht="43.5" x14ac:dyDescent="0.35">
      <c r="A11" s="130"/>
      <c r="B11" s="101"/>
      <c r="C11" s="131"/>
      <c r="D11" s="3" t="s">
        <v>96</v>
      </c>
      <c r="E11" s="20">
        <v>0.18023255813953487</v>
      </c>
      <c r="F11" s="3" t="s">
        <v>218</v>
      </c>
      <c r="G11" s="4">
        <v>5</v>
      </c>
      <c r="H11" s="71">
        <f>+AVERAGE(G3)</f>
        <v>4</v>
      </c>
      <c r="I11" s="127"/>
      <c r="J11" s="89"/>
      <c r="K11" t="s">
        <v>219</v>
      </c>
    </row>
    <row r="12" spans="1:22" ht="29" x14ac:dyDescent="0.35">
      <c r="A12" s="130"/>
      <c r="B12" s="101"/>
      <c r="C12" s="131"/>
      <c r="D12" s="3" t="s">
        <v>97</v>
      </c>
      <c r="E12" s="20">
        <v>0.19186046511627908</v>
      </c>
      <c r="F12" s="3" t="s">
        <v>220</v>
      </c>
      <c r="G12" s="4">
        <v>5</v>
      </c>
      <c r="H12" s="71">
        <f>+AVERAGE(G3)</f>
        <v>4</v>
      </c>
      <c r="I12" s="127"/>
      <c r="J12" s="89"/>
      <c r="K12" t="s">
        <v>219</v>
      </c>
      <c r="L12" s="1" t="s">
        <v>209</v>
      </c>
      <c r="M12" s="1" t="s">
        <v>210</v>
      </c>
    </row>
    <row r="13" spans="1:22" ht="75" customHeight="1" x14ac:dyDescent="0.35">
      <c r="A13" s="130"/>
      <c r="B13" s="101"/>
      <c r="C13" s="131"/>
      <c r="D13" s="101" t="s">
        <v>98</v>
      </c>
      <c r="E13" s="131">
        <v>0.13372093023255813</v>
      </c>
      <c r="F13" s="3" t="s">
        <v>221</v>
      </c>
      <c r="G13" s="4">
        <v>5</v>
      </c>
      <c r="H13" s="127">
        <f>+AVERAGE(G13:G14)</f>
        <v>5</v>
      </c>
      <c r="I13" s="127"/>
      <c r="J13" s="89"/>
      <c r="L13" s="1" t="s">
        <v>222</v>
      </c>
      <c r="M13" s="1" t="s">
        <v>223</v>
      </c>
      <c r="N13" s="1" t="s">
        <v>209</v>
      </c>
      <c r="O13" s="1" t="s">
        <v>224</v>
      </c>
    </row>
    <row r="14" spans="1:22" ht="29" x14ac:dyDescent="0.35">
      <c r="A14" s="130"/>
      <c r="B14" s="101"/>
      <c r="C14" s="131"/>
      <c r="D14" s="101"/>
      <c r="E14" s="131"/>
      <c r="F14" s="3" t="s">
        <v>225</v>
      </c>
      <c r="G14" s="4">
        <v>5</v>
      </c>
      <c r="H14" s="127"/>
      <c r="I14" s="127"/>
      <c r="J14" s="89"/>
      <c r="L14" s="1" t="s">
        <v>222</v>
      </c>
      <c r="M14" s="1" t="s">
        <v>224</v>
      </c>
    </row>
    <row r="15" spans="1:22" ht="29" x14ac:dyDescent="0.35">
      <c r="A15" s="130"/>
      <c r="B15" s="101"/>
      <c r="C15" s="131"/>
      <c r="D15" s="101" t="s">
        <v>36</v>
      </c>
      <c r="E15" s="131">
        <v>0.16279069767441862</v>
      </c>
      <c r="F15" s="3" t="s">
        <v>226</v>
      </c>
      <c r="G15" s="4">
        <v>5</v>
      </c>
      <c r="H15" s="127">
        <f>+AVERAGE(G15:G16)</f>
        <v>5</v>
      </c>
      <c r="I15" s="127"/>
      <c r="J15" s="89"/>
      <c r="L15" s="1" t="s">
        <v>227</v>
      </c>
      <c r="M15" s="1" t="s">
        <v>210</v>
      </c>
    </row>
    <row r="16" spans="1:22" ht="60" customHeight="1" x14ac:dyDescent="0.35">
      <c r="A16" s="130"/>
      <c r="B16" s="101"/>
      <c r="C16" s="131"/>
      <c r="D16" s="101"/>
      <c r="E16" s="131"/>
      <c r="F16" s="3" t="s">
        <v>228</v>
      </c>
      <c r="G16" s="4">
        <v>5</v>
      </c>
      <c r="H16" s="127"/>
      <c r="I16" s="127"/>
      <c r="J16" s="89"/>
      <c r="L16" s="1" t="s">
        <v>210</v>
      </c>
      <c r="M16" s="1" t="s">
        <v>229</v>
      </c>
    </row>
    <row r="17" spans="1:15" ht="43.5" x14ac:dyDescent="0.35">
      <c r="A17" s="130">
        <v>3</v>
      </c>
      <c r="B17" s="101" t="s">
        <v>178</v>
      </c>
      <c r="C17" s="131">
        <v>0.11673414304993253</v>
      </c>
      <c r="D17" s="101" t="s">
        <v>99</v>
      </c>
      <c r="E17" s="131">
        <v>0.17129629629629631</v>
      </c>
      <c r="F17" s="3" t="s">
        <v>230</v>
      </c>
      <c r="G17" s="4">
        <v>5</v>
      </c>
      <c r="H17" s="127">
        <f>+AVERAGE(G17:G18)</f>
        <v>5</v>
      </c>
      <c r="I17" s="127">
        <f>+AVERAGE(G17:G34)</f>
        <v>4.666666666666667</v>
      </c>
      <c r="J17" s="89" t="str">
        <f>IF(I3&gt;=4.5,"Se cumple plenamente",IF(I3&gt;=4,"Se cumple en alto grado",IF(I3&gt;=3.5,"Se cumple aceptablemente",IF(I3&gt;=2.5,"Se cumple insatisfactoriamente",IF(I3&gt;=1,"No se cumple","")))))</f>
        <v>Se cumple en alto grado</v>
      </c>
    </row>
    <row r="18" spans="1:15" ht="43.5" x14ac:dyDescent="0.35">
      <c r="A18" s="130"/>
      <c r="B18" s="101"/>
      <c r="C18" s="131"/>
      <c r="D18" s="101"/>
      <c r="E18" s="131"/>
      <c r="F18" s="3" t="s">
        <v>231</v>
      </c>
      <c r="G18" s="4">
        <v>5</v>
      </c>
      <c r="H18" s="127"/>
      <c r="I18" s="127"/>
      <c r="J18" s="89"/>
    </row>
    <row r="19" spans="1:15" ht="43.5" x14ac:dyDescent="0.35">
      <c r="A19" s="130"/>
      <c r="B19" s="101"/>
      <c r="C19" s="131"/>
      <c r="D19" s="101" t="s">
        <v>100</v>
      </c>
      <c r="E19" s="131">
        <v>0.13734567901234568</v>
      </c>
      <c r="F19" s="3" t="s">
        <v>232</v>
      </c>
      <c r="G19" s="4">
        <v>5</v>
      </c>
      <c r="H19" s="127">
        <f>+AVERAGE(G19:G21)</f>
        <v>5</v>
      </c>
      <c r="I19" s="127"/>
      <c r="J19" s="89"/>
      <c r="L19" s="1" t="s">
        <v>233</v>
      </c>
      <c r="M19" s="1" t="s">
        <v>234</v>
      </c>
    </row>
    <row r="20" spans="1:15" ht="43.5" x14ac:dyDescent="0.35">
      <c r="A20" s="130"/>
      <c r="B20" s="101"/>
      <c r="C20" s="131"/>
      <c r="D20" s="101"/>
      <c r="E20" s="131"/>
      <c r="F20" s="3" t="s">
        <v>235</v>
      </c>
      <c r="G20" s="4">
        <v>5</v>
      </c>
      <c r="H20" s="127"/>
      <c r="I20" s="127"/>
      <c r="J20" s="89"/>
      <c r="L20" s="1" t="s">
        <v>236</v>
      </c>
      <c r="M20" s="1" t="s">
        <v>233</v>
      </c>
    </row>
    <row r="21" spans="1:15" ht="43.5" x14ac:dyDescent="0.35">
      <c r="A21" s="130"/>
      <c r="B21" s="101"/>
      <c r="C21" s="131"/>
      <c r="D21" s="101"/>
      <c r="E21" s="131"/>
      <c r="F21" s="3" t="s">
        <v>237</v>
      </c>
      <c r="G21" s="4">
        <v>5</v>
      </c>
      <c r="H21" s="127"/>
      <c r="I21" s="127"/>
      <c r="J21" s="89"/>
      <c r="L21" s="1" t="s">
        <v>236</v>
      </c>
      <c r="M21" s="1" t="s">
        <v>234</v>
      </c>
      <c r="N21" s="1" t="s">
        <v>238</v>
      </c>
    </row>
    <row r="22" spans="1:15" ht="60" customHeight="1" x14ac:dyDescent="0.35">
      <c r="A22" s="130"/>
      <c r="B22" s="101"/>
      <c r="C22" s="131"/>
      <c r="D22" s="101" t="s">
        <v>101</v>
      </c>
      <c r="E22" s="131">
        <v>0.15740740740740741</v>
      </c>
      <c r="F22" s="3" t="s">
        <v>239</v>
      </c>
      <c r="G22" s="4">
        <v>5</v>
      </c>
      <c r="H22" s="127">
        <f>+AVERAGE(G22:G24)</f>
        <v>5</v>
      </c>
      <c r="I22" s="127"/>
      <c r="J22" s="89"/>
    </row>
    <row r="23" spans="1:15" ht="58" x14ac:dyDescent="0.35">
      <c r="A23" s="130"/>
      <c r="B23" s="101"/>
      <c r="C23" s="131"/>
      <c r="D23" s="101"/>
      <c r="E23" s="131"/>
      <c r="F23" s="3" t="s">
        <v>240</v>
      </c>
      <c r="G23" s="4">
        <v>5</v>
      </c>
      <c r="H23" s="127"/>
      <c r="I23" s="127"/>
      <c r="J23" s="89"/>
    </row>
    <row r="24" spans="1:15" ht="120" customHeight="1" x14ac:dyDescent="0.35">
      <c r="A24" s="130"/>
      <c r="B24" s="101"/>
      <c r="C24" s="131"/>
      <c r="D24" s="101"/>
      <c r="E24" s="131"/>
      <c r="F24" s="3" t="s">
        <v>241</v>
      </c>
      <c r="G24" s="4">
        <v>5</v>
      </c>
      <c r="H24" s="127"/>
      <c r="I24" s="127"/>
      <c r="J24" s="89"/>
    </row>
    <row r="25" spans="1:15" ht="75" customHeight="1" x14ac:dyDescent="0.35">
      <c r="A25" s="130"/>
      <c r="B25" s="101"/>
      <c r="C25" s="131"/>
      <c r="D25" s="101" t="s">
        <v>102</v>
      </c>
      <c r="E25" s="131">
        <v>0.15277777777777779</v>
      </c>
      <c r="F25" s="3" t="s">
        <v>242</v>
      </c>
      <c r="G25" s="4">
        <v>5</v>
      </c>
      <c r="H25" s="127">
        <f>+AVERAGE(G25:G27)</f>
        <v>4.333333333333333</v>
      </c>
      <c r="I25" s="127"/>
      <c r="J25" s="89"/>
      <c r="L25" s="1" t="s">
        <v>233</v>
      </c>
      <c r="M25" s="1" t="s">
        <v>234</v>
      </c>
    </row>
    <row r="26" spans="1:15" ht="60" customHeight="1" x14ac:dyDescent="0.35">
      <c r="A26" s="130"/>
      <c r="B26" s="101"/>
      <c r="C26" s="131"/>
      <c r="D26" s="101"/>
      <c r="E26" s="131"/>
      <c r="F26" s="3" t="s">
        <v>243</v>
      </c>
      <c r="G26" s="4">
        <v>4</v>
      </c>
      <c r="H26" s="127"/>
      <c r="I26" s="127"/>
      <c r="J26" s="89"/>
      <c r="K26" t="s">
        <v>244</v>
      </c>
      <c r="L26" s="1" t="s">
        <v>233</v>
      </c>
    </row>
    <row r="27" spans="1:15" ht="90" customHeight="1" x14ac:dyDescent="0.35">
      <c r="A27" s="130"/>
      <c r="B27" s="101"/>
      <c r="C27" s="131"/>
      <c r="D27" s="101"/>
      <c r="E27" s="131"/>
      <c r="F27" s="3" t="s">
        <v>245</v>
      </c>
      <c r="G27" s="4">
        <v>4</v>
      </c>
      <c r="H27" s="127"/>
      <c r="I27" s="127"/>
      <c r="J27" s="89"/>
      <c r="L27" s="1" t="s">
        <v>236</v>
      </c>
      <c r="M27" s="1" t="s">
        <v>234</v>
      </c>
    </row>
    <row r="28" spans="1:15" ht="45" customHeight="1" x14ac:dyDescent="0.35">
      <c r="A28" s="130"/>
      <c r="B28" s="101"/>
      <c r="C28" s="131"/>
      <c r="D28" s="101" t="s">
        <v>103</v>
      </c>
      <c r="E28" s="131">
        <v>0.10339506172839506</v>
      </c>
      <c r="F28" s="3" t="s">
        <v>246</v>
      </c>
      <c r="G28" s="4">
        <v>5</v>
      </c>
      <c r="H28" s="127">
        <f>+AVERAGE(G28:G29)</f>
        <v>5</v>
      </c>
      <c r="I28" s="127"/>
      <c r="J28" s="89"/>
      <c r="K28" t="s">
        <v>247</v>
      </c>
      <c r="L28" s="1" t="s">
        <v>233</v>
      </c>
      <c r="M28" s="1" t="s">
        <v>234</v>
      </c>
    </row>
    <row r="29" spans="1:15" ht="90" customHeight="1" x14ac:dyDescent="0.35">
      <c r="A29" s="130"/>
      <c r="B29" s="101"/>
      <c r="C29" s="131"/>
      <c r="D29" s="101"/>
      <c r="E29" s="131"/>
      <c r="F29" s="3" t="s">
        <v>248</v>
      </c>
      <c r="G29" s="4">
        <v>5</v>
      </c>
      <c r="H29" s="127"/>
      <c r="I29" s="127"/>
      <c r="J29" s="89"/>
      <c r="K29" t="s">
        <v>249</v>
      </c>
      <c r="L29" s="1" t="s">
        <v>236</v>
      </c>
      <c r="M29" s="1" t="s">
        <v>234</v>
      </c>
      <c r="N29" s="1" t="s">
        <v>238</v>
      </c>
      <c r="O29" s="1" t="s">
        <v>250</v>
      </c>
    </row>
    <row r="30" spans="1:15" ht="60" customHeight="1" x14ac:dyDescent="0.35">
      <c r="A30" s="130"/>
      <c r="B30" s="101"/>
      <c r="C30" s="131"/>
      <c r="D30" s="101" t="s">
        <v>251</v>
      </c>
      <c r="E30" s="131">
        <v>0.11728395061728394</v>
      </c>
      <c r="F30" s="3" t="s">
        <v>252</v>
      </c>
      <c r="G30" s="4">
        <v>3</v>
      </c>
      <c r="H30" s="127">
        <f>+AVERAGE(G30:G31)</f>
        <v>3</v>
      </c>
      <c r="I30" s="127"/>
      <c r="J30" s="89"/>
      <c r="K30" t="s">
        <v>253</v>
      </c>
      <c r="L30" s="1" t="s">
        <v>233</v>
      </c>
      <c r="M30" s="1" t="s">
        <v>234</v>
      </c>
    </row>
    <row r="31" spans="1:15" ht="43.5" x14ac:dyDescent="0.35">
      <c r="A31" s="130"/>
      <c r="B31" s="101"/>
      <c r="C31" s="131"/>
      <c r="D31" s="101"/>
      <c r="E31" s="131"/>
      <c r="F31" s="3" t="s">
        <v>254</v>
      </c>
      <c r="G31" s="4">
        <v>3</v>
      </c>
      <c r="H31" s="127"/>
      <c r="I31" s="127"/>
      <c r="J31" s="89"/>
      <c r="K31" t="s">
        <v>253</v>
      </c>
      <c r="L31" s="1" t="s">
        <v>233</v>
      </c>
    </row>
    <row r="32" spans="1:15" ht="75" customHeight="1" x14ac:dyDescent="0.35">
      <c r="A32" s="130"/>
      <c r="B32" s="101"/>
      <c r="C32" s="131"/>
      <c r="D32" s="3" t="s">
        <v>105</v>
      </c>
      <c r="E32" s="20">
        <v>9.4135802469135804E-2</v>
      </c>
      <c r="F32" s="3" t="s">
        <v>255</v>
      </c>
      <c r="G32" s="4">
        <v>5</v>
      </c>
      <c r="H32" s="71">
        <f>+AVERAGE(G32)</f>
        <v>5</v>
      </c>
      <c r="I32" s="127"/>
      <c r="J32" s="89"/>
      <c r="L32" s="1" t="s">
        <v>236</v>
      </c>
      <c r="M32" s="1" t="s">
        <v>234</v>
      </c>
    </row>
    <row r="33" spans="1:18" ht="58" x14ac:dyDescent="0.35">
      <c r="A33" s="130"/>
      <c r="B33" s="101"/>
      <c r="C33" s="131"/>
      <c r="D33" s="101" t="s">
        <v>44</v>
      </c>
      <c r="E33" s="131">
        <v>6.6358024691358028E-2</v>
      </c>
      <c r="F33" s="3" t="s">
        <v>256</v>
      </c>
      <c r="G33" s="4">
        <v>5</v>
      </c>
      <c r="H33" s="127">
        <f>+AVERAGE(G33:G34)</f>
        <v>5</v>
      </c>
      <c r="I33" s="127"/>
      <c r="J33" s="89"/>
      <c r="L33" s="1" t="s">
        <v>223</v>
      </c>
    </row>
    <row r="34" spans="1:18" ht="43.5" x14ac:dyDescent="0.35">
      <c r="A34" s="130"/>
      <c r="B34" s="101"/>
      <c r="C34" s="131"/>
      <c r="D34" s="101"/>
      <c r="E34" s="131"/>
      <c r="F34" s="3" t="s">
        <v>257</v>
      </c>
      <c r="G34" s="4">
        <v>5</v>
      </c>
      <c r="H34" s="127"/>
      <c r="I34" s="127"/>
      <c r="J34" s="89"/>
      <c r="L34" s="1" t="s">
        <v>233</v>
      </c>
    </row>
    <row r="35" spans="1:18" ht="43.5" x14ac:dyDescent="0.35">
      <c r="A35" s="130">
        <v>4</v>
      </c>
      <c r="B35" s="101" t="s">
        <v>258</v>
      </c>
      <c r="C35" s="131">
        <v>0.10796221322537113</v>
      </c>
      <c r="D35" s="101" t="s">
        <v>259</v>
      </c>
      <c r="E35" s="131">
        <v>0.54761904761904767</v>
      </c>
      <c r="F35" s="3" t="s">
        <v>260</v>
      </c>
      <c r="G35" s="4">
        <v>5</v>
      </c>
      <c r="H35" s="127">
        <f>+AVERAGE(G35:G36)</f>
        <v>5</v>
      </c>
      <c r="I35" s="127">
        <f>+AVERAGE(G35:G38)</f>
        <v>4.75</v>
      </c>
      <c r="J35" s="89" t="str">
        <f>IF(I3&gt;=4.5,"Se cumple plenamente",IF(I3&gt;=4,"Se cumple en alto grado",IF(I3&gt;=3.5,"Se cumple aceptablemente",IF(I3&gt;=2.5,"Se cumple insatisfactoriamente",IF(I3&gt;=1,"No se cumple","")))))</f>
        <v>Se cumple en alto grado</v>
      </c>
      <c r="L35" s="1" t="s">
        <v>209</v>
      </c>
    </row>
    <row r="36" spans="1:18" ht="43.5" x14ac:dyDescent="0.35">
      <c r="A36" s="130"/>
      <c r="B36" s="101"/>
      <c r="C36" s="131"/>
      <c r="D36" s="101"/>
      <c r="E36" s="131"/>
      <c r="F36" s="3" t="s">
        <v>261</v>
      </c>
      <c r="G36" s="4">
        <v>5</v>
      </c>
      <c r="H36" s="127"/>
      <c r="I36" s="127"/>
      <c r="J36" s="89"/>
      <c r="L36" s="1" t="s">
        <v>262</v>
      </c>
      <c r="M36" s="1" t="s">
        <v>223</v>
      </c>
      <c r="N36" s="1" t="s">
        <v>208</v>
      </c>
      <c r="O36" s="1" t="s">
        <v>209</v>
      </c>
    </row>
    <row r="37" spans="1:18" ht="60" customHeight="1" x14ac:dyDescent="0.35">
      <c r="A37" s="130"/>
      <c r="B37" s="101"/>
      <c r="C37" s="131"/>
      <c r="D37" s="101" t="s">
        <v>107</v>
      </c>
      <c r="E37" s="131">
        <v>0.45238095238095238</v>
      </c>
      <c r="F37" s="3" t="s">
        <v>263</v>
      </c>
      <c r="G37" s="4">
        <v>5</v>
      </c>
      <c r="H37" s="127">
        <f>+AVERAGE(G37:G38)</f>
        <v>4.5</v>
      </c>
      <c r="I37" s="127"/>
      <c r="J37" s="89"/>
      <c r="L37" s="1" t="s">
        <v>209</v>
      </c>
    </row>
    <row r="38" spans="1:18" ht="43.5" x14ac:dyDescent="0.35">
      <c r="A38" s="130"/>
      <c r="B38" s="101"/>
      <c r="C38" s="131"/>
      <c r="D38" s="101"/>
      <c r="E38" s="131"/>
      <c r="F38" s="3" t="s">
        <v>264</v>
      </c>
      <c r="G38" s="4">
        <v>4</v>
      </c>
      <c r="H38" s="127"/>
      <c r="I38" s="127"/>
      <c r="J38" s="89"/>
      <c r="L38" s="1" t="s">
        <v>262</v>
      </c>
      <c r="M38" s="1" t="s">
        <v>223</v>
      </c>
    </row>
    <row r="39" spans="1:18" ht="105" customHeight="1" x14ac:dyDescent="0.35">
      <c r="A39" s="130">
        <v>5</v>
      </c>
      <c r="B39" s="101" t="s">
        <v>265</v>
      </c>
      <c r="C39" s="131">
        <v>6.7476383265856948E-2</v>
      </c>
      <c r="D39" s="101" t="s">
        <v>108</v>
      </c>
      <c r="E39" s="131">
        <v>0.17160493827160495</v>
      </c>
      <c r="F39" s="3" t="s">
        <v>266</v>
      </c>
      <c r="G39" s="4">
        <v>5</v>
      </c>
      <c r="H39" s="127">
        <f>+AVERAGE(G39:G40)</f>
        <v>5</v>
      </c>
      <c r="I39" s="127">
        <f>+AVERAGE(G39:G57)</f>
        <v>4.333333333333333</v>
      </c>
      <c r="J39" s="89" t="str">
        <f>IF(I3&gt;=4.5,"Se cumple plenamente",IF(I3&gt;=4,"Se cumple en alto grado",IF(I3&gt;=3.5,"Se cumple aceptablemente",IF(I3&gt;=2.5,"Se cumple insatisfactoriamente",IF(I3&gt;=1,"No se cumple","")))))</f>
        <v>Se cumple en alto grado</v>
      </c>
      <c r="K39" t="s">
        <v>267</v>
      </c>
    </row>
    <row r="40" spans="1:18" ht="29" x14ac:dyDescent="0.35">
      <c r="A40" s="130"/>
      <c r="B40" s="101"/>
      <c r="C40" s="131"/>
      <c r="D40" s="101"/>
      <c r="E40" s="131"/>
      <c r="F40" s="3" t="s">
        <v>268</v>
      </c>
      <c r="G40" s="4">
        <v>5</v>
      </c>
      <c r="H40" s="127"/>
      <c r="I40" s="127"/>
      <c r="J40" s="89"/>
      <c r="K40" t="s">
        <v>269</v>
      </c>
    </row>
    <row r="41" spans="1:18" ht="75" customHeight="1" x14ac:dyDescent="0.35">
      <c r="A41" s="130"/>
      <c r="B41" s="101"/>
      <c r="C41" s="131"/>
      <c r="D41" s="101" t="s">
        <v>109</v>
      </c>
      <c r="E41" s="131">
        <v>0.14691358024691359</v>
      </c>
      <c r="F41" s="3" t="s">
        <v>270</v>
      </c>
      <c r="G41" s="4">
        <v>4</v>
      </c>
      <c r="H41" s="127">
        <f>+AVERAGE(G41:G42)</f>
        <v>4</v>
      </c>
      <c r="I41" s="127"/>
      <c r="J41" s="89"/>
      <c r="K41" t="s">
        <v>271</v>
      </c>
      <c r="L41" s="1" t="s">
        <v>250</v>
      </c>
      <c r="M41" s="1" t="s">
        <v>209</v>
      </c>
    </row>
    <row r="42" spans="1:18" ht="75" customHeight="1" x14ac:dyDescent="0.35">
      <c r="A42" s="130"/>
      <c r="B42" s="101"/>
      <c r="C42" s="131"/>
      <c r="D42" s="101"/>
      <c r="E42" s="131"/>
      <c r="F42" s="3" t="s">
        <v>272</v>
      </c>
      <c r="G42" s="4">
        <v>4</v>
      </c>
      <c r="H42" s="127"/>
      <c r="I42" s="127"/>
      <c r="J42" s="89"/>
      <c r="K42" t="s">
        <v>273</v>
      </c>
      <c r="L42" s="1" t="s">
        <v>227</v>
      </c>
      <c r="M42" s="1" t="s">
        <v>274</v>
      </c>
      <c r="N42" s="1" t="s">
        <v>250</v>
      </c>
      <c r="O42" s="1" t="s">
        <v>208</v>
      </c>
      <c r="P42" s="1" t="s">
        <v>209</v>
      </c>
      <c r="Q42" s="1" t="s">
        <v>275</v>
      </c>
      <c r="R42" s="1" t="s">
        <v>276</v>
      </c>
    </row>
    <row r="43" spans="1:18" ht="60" customHeight="1" x14ac:dyDescent="0.35">
      <c r="A43" s="130"/>
      <c r="B43" s="101"/>
      <c r="C43" s="131"/>
      <c r="D43" s="101" t="s">
        <v>110</v>
      </c>
      <c r="E43" s="131">
        <v>0.12839506172839507</v>
      </c>
      <c r="F43" s="3" t="s">
        <v>277</v>
      </c>
      <c r="G43" s="4">
        <v>5</v>
      </c>
      <c r="H43" s="127">
        <f>+AVERAGE(G43:G44)</f>
        <v>5</v>
      </c>
      <c r="I43" s="127"/>
      <c r="J43" s="89"/>
      <c r="K43" s="62" t="s">
        <v>278</v>
      </c>
      <c r="L43" s="1" t="s">
        <v>209</v>
      </c>
      <c r="M43" s="1" t="s">
        <v>210</v>
      </c>
    </row>
    <row r="44" spans="1:18" ht="43.5" x14ac:dyDescent="0.35">
      <c r="A44" s="130"/>
      <c r="B44" s="101"/>
      <c r="C44" s="131"/>
      <c r="D44" s="101"/>
      <c r="E44" s="131"/>
      <c r="F44" s="3" t="s">
        <v>279</v>
      </c>
      <c r="G44" s="4">
        <v>5</v>
      </c>
      <c r="H44" s="127"/>
      <c r="I44" s="127"/>
      <c r="J44" s="89"/>
      <c r="K44" t="s">
        <v>206</v>
      </c>
      <c r="L44" s="1" t="s">
        <v>227</v>
      </c>
      <c r="M44" s="1" t="s">
        <v>262</v>
      </c>
      <c r="N44" s="1" t="s">
        <v>209</v>
      </c>
      <c r="O44" s="1" t="s">
        <v>275</v>
      </c>
      <c r="P44" s="1" t="s">
        <v>276</v>
      </c>
    </row>
    <row r="45" spans="1:18" ht="105" customHeight="1" x14ac:dyDescent="0.35">
      <c r="A45" s="130"/>
      <c r="B45" s="101"/>
      <c r="C45" s="131"/>
      <c r="D45" s="101" t="s">
        <v>111</v>
      </c>
      <c r="E45" s="131">
        <v>0.11358024691358025</v>
      </c>
      <c r="F45" s="3" t="s">
        <v>280</v>
      </c>
      <c r="G45" s="4">
        <v>3</v>
      </c>
      <c r="H45" s="127">
        <f>+AVERAGE(G45:G47)</f>
        <v>3.5</v>
      </c>
      <c r="I45" s="127"/>
      <c r="J45" s="89"/>
      <c r="K45" t="s">
        <v>281</v>
      </c>
      <c r="L45" s="1" t="s">
        <v>208</v>
      </c>
      <c r="M45" s="1" t="s">
        <v>209</v>
      </c>
    </row>
    <row r="46" spans="1:18" ht="43.5" x14ac:dyDescent="0.35">
      <c r="A46" s="130"/>
      <c r="B46" s="101"/>
      <c r="C46" s="131"/>
      <c r="D46" s="101"/>
      <c r="E46" s="131"/>
      <c r="F46" s="3" t="s">
        <v>282</v>
      </c>
      <c r="G46" s="4">
        <v>4</v>
      </c>
      <c r="H46" s="127"/>
      <c r="I46" s="127"/>
      <c r="J46" s="89"/>
      <c r="K46" t="s">
        <v>283</v>
      </c>
      <c r="L46" s="1" t="s">
        <v>209</v>
      </c>
      <c r="M46" s="1" t="s">
        <v>210</v>
      </c>
    </row>
    <row r="47" spans="1:18" ht="90" customHeight="1" x14ac:dyDescent="0.35">
      <c r="A47" s="130"/>
      <c r="B47" s="101"/>
      <c r="C47" s="131"/>
      <c r="D47" s="101"/>
      <c r="E47" s="131"/>
      <c r="F47" s="3" t="s">
        <v>284</v>
      </c>
      <c r="G47" s="4" t="s">
        <v>285</v>
      </c>
      <c r="H47" s="127"/>
      <c r="I47" s="127"/>
      <c r="J47" s="89"/>
      <c r="K47" t="s">
        <v>286</v>
      </c>
    </row>
    <row r="48" spans="1:18" ht="60" customHeight="1" x14ac:dyDescent="0.35">
      <c r="A48" s="130"/>
      <c r="B48" s="101"/>
      <c r="C48" s="131"/>
      <c r="D48" s="101" t="s">
        <v>112</v>
      </c>
      <c r="E48" s="131">
        <v>7.5308641975308649E-2</v>
      </c>
      <c r="F48" s="3" t="s">
        <v>287</v>
      </c>
      <c r="G48" s="4">
        <v>3</v>
      </c>
      <c r="H48" s="127">
        <f>+AVERAGE(G48:G50)</f>
        <v>3.6666666666666665</v>
      </c>
      <c r="I48" s="127"/>
      <c r="J48" s="89"/>
      <c r="K48" t="s">
        <v>281</v>
      </c>
      <c r="L48" s="1" t="s">
        <v>223</v>
      </c>
    </row>
    <row r="49" spans="1:13" ht="29" x14ac:dyDescent="0.35">
      <c r="A49" s="130"/>
      <c r="B49" s="101"/>
      <c r="C49" s="131"/>
      <c r="D49" s="101"/>
      <c r="E49" s="131"/>
      <c r="F49" s="3" t="s">
        <v>288</v>
      </c>
      <c r="G49" s="4">
        <v>5</v>
      </c>
      <c r="H49" s="127"/>
      <c r="I49" s="127"/>
      <c r="J49" s="89"/>
    </row>
    <row r="50" spans="1:13" ht="43.5" x14ac:dyDescent="0.35">
      <c r="A50" s="130"/>
      <c r="B50" s="101"/>
      <c r="C50" s="131"/>
      <c r="D50" s="101"/>
      <c r="E50" s="131"/>
      <c r="F50" s="3" t="s">
        <v>289</v>
      </c>
      <c r="G50" s="4">
        <v>3</v>
      </c>
      <c r="H50" s="127"/>
      <c r="I50" s="127"/>
      <c r="J50" s="89"/>
      <c r="K50" t="s">
        <v>290</v>
      </c>
    </row>
    <row r="51" spans="1:13" ht="58" x14ac:dyDescent="0.35">
      <c r="A51" s="130"/>
      <c r="B51" s="101"/>
      <c r="C51" s="131"/>
      <c r="D51" s="101" t="s">
        <v>113</v>
      </c>
      <c r="E51" s="131">
        <v>0.12839506172839507</v>
      </c>
      <c r="F51" s="3" t="s">
        <v>291</v>
      </c>
      <c r="G51" s="4">
        <v>5</v>
      </c>
      <c r="H51" s="127">
        <f>+AVERAGE(G51:G52)</f>
        <v>4</v>
      </c>
      <c r="I51" s="127"/>
      <c r="J51" s="89"/>
    </row>
    <row r="52" spans="1:13" ht="58" x14ac:dyDescent="0.35">
      <c r="A52" s="130"/>
      <c r="B52" s="101"/>
      <c r="C52" s="131"/>
      <c r="D52" s="101"/>
      <c r="E52" s="131"/>
      <c r="F52" s="3" t="s">
        <v>292</v>
      </c>
      <c r="G52" s="4">
        <v>3</v>
      </c>
      <c r="H52" s="127"/>
      <c r="I52" s="127"/>
      <c r="J52" s="89"/>
      <c r="K52" t="s">
        <v>281</v>
      </c>
    </row>
    <row r="53" spans="1:13" ht="45" customHeight="1" x14ac:dyDescent="0.35">
      <c r="A53" s="130"/>
      <c r="B53" s="101"/>
      <c r="C53" s="131"/>
      <c r="D53" s="3" t="s">
        <v>114</v>
      </c>
      <c r="E53" s="20">
        <v>0.10987654320987654</v>
      </c>
      <c r="F53" s="3" t="s">
        <v>293</v>
      </c>
      <c r="G53" s="4">
        <v>5</v>
      </c>
      <c r="H53" s="71">
        <f>+AVERAGE(G53)</f>
        <v>5</v>
      </c>
      <c r="I53" s="127"/>
      <c r="J53" s="89"/>
      <c r="K53" t="s">
        <v>294</v>
      </c>
      <c r="L53" s="1" t="s">
        <v>209</v>
      </c>
      <c r="M53" s="1" t="s">
        <v>210</v>
      </c>
    </row>
    <row r="54" spans="1:13" ht="29" x14ac:dyDescent="0.35">
      <c r="A54" s="130"/>
      <c r="B54" s="101"/>
      <c r="C54" s="131"/>
      <c r="D54" s="101" t="s">
        <v>115</v>
      </c>
      <c r="E54" s="131">
        <v>6.7901234567901231E-2</v>
      </c>
      <c r="F54" s="3" t="s">
        <v>295</v>
      </c>
      <c r="G54" s="4">
        <v>5</v>
      </c>
      <c r="H54" s="127">
        <f>+AVERAGE(G54:G55)</f>
        <v>4.5</v>
      </c>
      <c r="I54" s="127"/>
      <c r="J54" s="89"/>
    </row>
    <row r="55" spans="1:13" ht="43.5" x14ac:dyDescent="0.35">
      <c r="A55" s="130"/>
      <c r="B55" s="101"/>
      <c r="C55" s="131"/>
      <c r="D55" s="101"/>
      <c r="E55" s="131"/>
      <c r="F55" s="3" t="s">
        <v>296</v>
      </c>
      <c r="G55" s="4">
        <v>4</v>
      </c>
      <c r="H55" s="127"/>
      <c r="I55" s="127"/>
      <c r="J55" s="89"/>
      <c r="L55" s="1" t="s">
        <v>223</v>
      </c>
    </row>
    <row r="56" spans="1:13" ht="29" x14ac:dyDescent="0.35">
      <c r="A56" s="130"/>
      <c r="B56" s="101"/>
      <c r="C56" s="131"/>
      <c r="D56" s="101" t="s">
        <v>53</v>
      </c>
      <c r="E56" s="131">
        <v>5.802469135802469E-2</v>
      </c>
      <c r="F56" s="3" t="s">
        <v>297</v>
      </c>
      <c r="G56" s="4">
        <v>5</v>
      </c>
      <c r="H56" s="127">
        <f>+AVERAGE(G56:G57)</f>
        <v>5</v>
      </c>
      <c r="I56" s="127"/>
      <c r="J56" s="89"/>
      <c r="K56" t="s">
        <v>298</v>
      </c>
    </row>
    <row r="57" spans="1:13" ht="60" customHeight="1" x14ac:dyDescent="0.35">
      <c r="A57" s="130"/>
      <c r="B57" s="101"/>
      <c r="C57" s="131"/>
      <c r="D57" s="101"/>
      <c r="E57" s="131"/>
      <c r="F57" s="3" t="s">
        <v>299</v>
      </c>
      <c r="G57" s="4">
        <v>5</v>
      </c>
      <c r="H57" s="127"/>
      <c r="I57" s="127"/>
      <c r="J57" s="89"/>
      <c r="K57" t="s">
        <v>300</v>
      </c>
    </row>
    <row r="58" spans="1:13" ht="90" customHeight="1" x14ac:dyDescent="0.35">
      <c r="A58" s="130">
        <v>6</v>
      </c>
      <c r="B58" s="101" t="s">
        <v>301</v>
      </c>
      <c r="C58" s="131">
        <v>7.28744939271255E-2</v>
      </c>
      <c r="D58" s="3" t="s">
        <v>116</v>
      </c>
      <c r="E58" s="20">
        <v>0.26111111111111113</v>
      </c>
      <c r="F58" s="3" t="s">
        <v>302</v>
      </c>
      <c r="G58" s="4">
        <v>5</v>
      </c>
      <c r="H58" s="71">
        <f>+AVERAGE(G58)</f>
        <v>5</v>
      </c>
      <c r="I58" s="127">
        <f>+AVERAGE(G58:G64)</f>
        <v>5</v>
      </c>
      <c r="J58" s="89" t="str">
        <f>IF(I3&gt;=4.5,"Se cumple plenamente",IF(I3&gt;=4,"Se cumple en alto grado",IF(I3&gt;=3.5,"Se cumple aceptablemente",IF(I3&gt;=2.5,"Se cumple insatisfactoriamente",IF(I3&gt;=1,"No se cumple","")))))</f>
        <v>Se cumple en alto grado</v>
      </c>
      <c r="K58" t="s">
        <v>303</v>
      </c>
    </row>
    <row r="59" spans="1:13" ht="58" x14ac:dyDescent="0.35">
      <c r="A59" s="130"/>
      <c r="B59" s="101"/>
      <c r="C59" s="131"/>
      <c r="D59" s="101" t="s">
        <v>117</v>
      </c>
      <c r="E59" s="131">
        <v>0.27777777777777779</v>
      </c>
      <c r="F59" s="3" t="s">
        <v>304</v>
      </c>
      <c r="G59" s="4">
        <v>5</v>
      </c>
      <c r="H59" s="127">
        <f>+AVERAGE(G59:G61)</f>
        <v>5</v>
      </c>
      <c r="I59" s="127"/>
      <c r="J59" s="89"/>
      <c r="K59" t="s">
        <v>305</v>
      </c>
    </row>
    <row r="60" spans="1:13" ht="60" customHeight="1" x14ac:dyDescent="0.35">
      <c r="A60" s="130"/>
      <c r="B60" s="101"/>
      <c r="C60" s="131"/>
      <c r="D60" s="101"/>
      <c r="E60" s="131"/>
      <c r="F60" s="3" t="s">
        <v>306</v>
      </c>
      <c r="G60" s="4">
        <v>5</v>
      </c>
      <c r="H60" s="127"/>
      <c r="I60" s="127"/>
      <c r="J60" s="89"/>
      <c r="K60" t="s">
        <v>305</v>
      </c>
      <c r="L60" s="1" t="s">
        <v>208</v>
      </c>
      <c r="M60" s="1" t="s">
        <v>229</v>
      </c>
    </row>
    <row r="61" spans="1:13" ht="43.5" x14ac:dyDescent="0.35">
      <c r="A61" s="130"/>
      <c r="B61" s="101"/>
      <c r="C61" s="131"/>
      <c r="D61" s="101"/>
      <c r="E61" s="131"/>
      <c r="F61" s="3" t="s">
        <v>307</v>
      </c>
      <c r="G61" s="4">
        <v>5</v>
      </c>
      <c r="H61" s="127"/>
      <c r="I61" s="127"/>
      <c r="J61" s="89"/>
      <c r="K61" s="78" t="s">
        <v>308</v>
      </c>
    </row>
    <row r="62" spans="1:13" ht="29" x14ac:dyDescent="0.35">
      <c r="A62" s="130"/>
      <c r="B62" s="101"/>
      <c r="C62" s="131"/>
      <c r="D62" s="3" t="s">
        <v>309</v>
      </c>
      <c r="E62" s="20">
        <v>0.21111111111111111</v>
      </c>
      <c r="F62" s="3" t="s">
        <v>310</v>
      </c>
      <c r="G62" s="4">
        <v>5</v>
      </c>
      <c r="H62" s="71">
        <f>+AVERAGE(G62)</f>
        <v>5</v>
      </c>
      <c r="I62" s="127"/>
      <c r="J62" s="89"/>
      <c r="K62" t="s">
        <v>311</v>
      </c>
      <c r="L62" s="1" t="s">
        <v>209</v>
      </c>
    </row>
    <row r="63" spans="1:13" ht="60" customHeight="1" x14ac:dyDescent="0.35">
      <c r="A63" s="130"/>
      <c r="B63" s="101"/>
      <c r="C63" s="131"/>
      <c r="D63" s="101" t="s">
        <v>57</v>
      </c>
      <c r="E63" s="131">
        <v>0.25</v>
      </c>
      <c r="F63" s="3" t="s">
        <v>312</v>
      </c>
      <c r="G63" s="4">
        <v>5</v>
      </c>
      <c r="H63" s="127">
        <f>+AVERAGE(G63:G64)</f>
        <v>5</v>
      </c>
      <c r="I63" s="127"/>
      <c r="J63" s="89"/>
      <c r="K63" t="s">
        <v>313</v>
      </c>
    </row>
    <row r="64" spans="1:13" ht="29" x14ac:dyDescent="0.35">
      <c r="A64" s="130"/>
      <c r="B64" s="101"/>
      <c r="C64" s="131"/>
      <c r="D64" s="101"/>
      <c r="E64" s="131"/>
      <c r="F64" s="3" t="s">
        <v>314</v>
      </c>
      <c r="G64" s="4">
        <v>5</v>
      </c>
      <c r="H64" s="127"/>
      <c r="I64" s="127"/>
      <c r="J64" s="89"/>
      <c r="K64" t="s">
        <v>315</v>
      </c>
    </row>
    <row r="65" spans="1:19" ht="90" customHeight="1" x14ac:dyDescent="0.35">
      <c r="A65" s="130">
        <v>7</v>
      </c>
      <c r="B65" s="101" t="s">
        <v>316</v>
      </c>
      <c r="C65" s="131">
        <v>0.10593792172739541</v>
      </c>
      <c r="D65" s="3" t="s">
        <v>119</v>
      </c>
      <c r="E65" s="20">
        <v>0.34782608695652173</v>
      </c>
      <c r="F65" s="3" t="s">
        <v>317</v>
      </c>
      <c r="G65" s="4">
        <v>4</v>
      </c>
      <c r="H65" s="71">
        <f>+AVERAGE(G65)</f>
        <v>4</v>
      </c>
      <c r="I65" s="127">
        <f>+AVERAGE(G65:G68)</f>
        <v>4.5</v>
      </c>
      <c r="J65" s="89" t="str">
        <f>IF(I3&gt;=4.5,"Se cumple plenamente",IF(I3&gt;=4,"Se cumple en alto grado",IF(I3&gt;=3.5,"Se cumple aceptablemente",IF(I3&gt;=2.5,"Se cumple insatisfactoriamente",IF(I3&gt;=1,"No se cumple","")))))</f>
        <v>Se cumple en alto grado</v>
      </c>
      <c r="K65" t="s">
        <v>318</v>
      </c>
      <c r="L65" s="1" t="s">
        <v>222</v>
      </c>
      <c r="M65" s="1" t="s">
        <v>319</v>
      </c>
      <c r="N65" s="1" t="s">
        <v>210</v>
      </c>
    </row>
    <row r="66" spans="1:19" ht="60" customHeight="1" x14ac:dyDescent="0.35">
      <c r="A66" s="130"/>
      <c r="B66" s="101"/>
      <c r="C66" s="131"/>
      <c r="D66" s="101" t="s">
        <v>120</v>
      </c>
      <c r="E66" s="131">
        <v>0.40579710144927539</v>
      </c>
      <c r="F66" s="3" t="s">
        <v>320</v>
      </c>
      <c r="G66" s="4">
        <v>4</v>
      </c>
      <c r="I66" s="127"/>
      <c r="J66" s="89"/>
      <c r="L66" s="1" t="s">
        <v>250</v>
      </c>
      <c r="M66" s="1" t="s">
        <v>319</v>
      </c>
      <c r="N66" s="1" t="s">
        <v>210</v>
      </c>
    </row>
    <row r="67" spans="1:19" ht="58" x14ac:dyDescent="0.35">
      <c r="A67" s="130"/>
      <c r="B67" s="101"/>
      <c r="C67" s="131"/>
      <c r="D67" s="101"/>
      <c r="E67" s="131"/>
      <c r="F67" s="3" t="s">
        <v>321</v>
      </c>
      <c r="G67" s="4">
        <v>5</v>
      </c>
      <c r="I67" s="127"/>
      <c r="J67" s="89"/>
      <c r="L67" s="1" t="s">
        <v>274</v>
      </c>
      <c r="M67" s="1" t="s">
        <v>262</v>
      </c>
      <c r="N67" s="1" t="s">
        <v>223</v>
      </c>
      <c r="O67" s="1" t="s">
        <v>250</v>
      </c>
      <c r="P67" s="1" t="s">
        <v>208</v>
      </c>
      <c r="Q67" s="1" t="s">
        <v>209</v>
      </c>
      <c r="R67" s="1" t="s">
        <v>319</v>
      </c>
      <c r="S67" s="1" t="s">
        <v>210</v>
      </c>
    </row>
    <row r="68" spans="1:19" ht="75" customHeight="1" x14ac:dyDescent="0.35">
      <c r="A68" s="130"/>
      <c r="B68" s="101"/>
      <c r="C68" s="131"/>
      <c r="D68" s="3" t="s">
        <v>60</v>
      </c>
      <c r="E68" s="20">
        <v>0.24637681159420291</v>
      </c>
      <c r="F68" s="3" t="s">
        <v>322</v>
      </c>
      <c r="G68" s="4">
        <v>5</v>
      </c>
      <c r="H68" s="71">
        <f>+AVERAGE(G68)</f>
        <v>5</v>
      </c>
      <c r="I68" s="127"/>
      <c r="J68" s="89"/>
      <c r="K68" t="s">
        <v>323</v>
      </c>
      <c r="L68" s="1" t="s">
        <v>250</v>
      </c>
    </row>
    <row r="69" spans="1:19" ht="43.5" x14ac:dyDescent="0.35">
      <c r="A69" s="130">
        <v>8</v>
      </c>
      <c r="B69" s="101" t="s">
        <v>324</v>
      </c>
      <c r="C69" s="131">
        <v>4.7908232118758436E-2</v>
      </c>
      <c r="D69" s="101" t="s">
        <v>121</v>
      </c>
      <c r="E69" s="131">
        <v>0.53333333333333333</v>
      </c>
      <c r="F69" s="3" t="s">
        <v>325</v>
      </c>
      <c r="G69" s="4">
        <v>5</v>
      </c>
      <c r="H69" s="127">
        <f>+AVERAGE(G66:G67)</f>
        <v>4.5</v>
      </c>
      <c r="I69" s="127">
        <f>+AVERAGE(G69:G72)</f>
        <v>5</v>
      </c>
      <c r="J69" s="89" t="str">
        <f>IF(I3&gt;=4.5,"Se cumple plenamente",IF(I3&gt;=4,"Se cumple en alto grado",IF(I3&gt;=3.5,"Se cumple aceptablemente",IF(I3&gt;=2.5,"Se cumple insatisfactoriamente",IF(I3&gt;=1,"No se cumple","")))))</f>
        <v>Se cumple en alto grado</v>
      </c>
      <c r="K69" t="s">
        <v>326</v>
      </c>
      <c r="L69" s="1" t="s">
        <v>233</v>
      </c>
      <c r="M69" s="1" t="s">
        <v>319</v>
      </c>
      <c r="N69" s="1" t="s">
        <v>210</v>
      </c>
      <c r="O69" s="1" t="s">
        <v>211</v>
      </c>
    </row>
    <row r="70" spans="1:19" ht="75" customHeight="1" x14ac:dyDescent="0.35">
      <c r="A70" s="130"/>
      <c r="B70" s="101"/>
      <c r="C70" s="131"/>
      <c r="D70" s="101"/>
      <c r="E70" s="131"/>
      <c r="F70" s="3" t="s">
        <v>327</v>
      </c>
      <c r="G70" s="4">
        <v>5</v>
      </c>
      <c r="H70" s="127"/>
      <c r="I70" s="127"/>
      <c r="J70" s="89"/>
      <c r="L70" s="1" t="s">
        <v>262</v>
      </c>
      <c r="M70" s="1" t="s">
        <v>223</v>
      </c>
      <c r="N70" s="1" t="s">
        <v>208</v>
      </c>
      <c r="O70" s="1" t="s">
        <v>319</v>
      </c>
      <c r="P70" s="1" t="s">
        <v>210</v>
      </c>
      <c r="Q70" s="1" t="s">
        <v>211</v>
      </c>
      <c r="R70" s="1" t="s">
        <v>212</v>
      </c>
    </row>
    <row r="71" spans="1:19" ht="75" customHeight="1" x14ac:dyDescent="0.35">
      <c r="A71" s="130"/>
      <c r="B71" s="101"/>
      <c r="C71" s="131"/>
      <c r="D71" s="101" t="s">
        <v>62</v>
      </c>
      <c r="E71" s="131">
        <v>0.46666666666666667</v>
      </c>
      <c r="F71" s="3" t="s">
        <v>328</v>
      </c>
      <c r="G71" s="4">
        <v>5</v>
      </c>
      <c r="H71" s="127">
        <f>+AVERAGE(G68:G69)</f>
        <v>5</v>
      </c>
      <c r="I71" s="127"/>
      <c r="J71" s="89"/>
      <c r="K71" t="s">
        <v>329</v>
      </c>
      <c r="L71" s="1" t="s">
        <v>233</v>
      </c>
    </row>
    <row r="72" spans="1:19" ht="90" customHeight="1" x14ac:dyDescent="0.35">
      <c r="A72" s="130"/>
      <c r="B72" s="101"/>
      <c r="C72" s="131"/>
      <c r="D72" s="101"/>
      <c r="E72" s="131"/>
      <c r="F72" s="3" t="s">
        <v>330</v>
      </c>
      <c r="G72" s="4">
        <v>5</v>
      </c>
      <c r="H72" s="127"/>
      <c r="I72" s="127"/>
      <c r="J72" s="89"/>
      <c r="K72" t="s">
        <v>331</v>
      </c>
      <c r="L72" s="1" t="s">
        <v>234</v>
      </c>
      <c r="M72" s="1" t="s">
        <v>210</v>
      </c>
      <c r="N72" s="1" t="s">
        <v>211</v>
      </c>
      <c r="O72" s="1" t="s">
        <v>212</v>
      </c>
    </row>
    <row r="73" spans="1:19" ht="29" x14ac:dyDescent="0.35">
      <c r="A73" s="130">
        <v>9</v>
      </c>
      <c r="B73" s="101" t="s">
        <v>332</v>
      </c>
      <c r="C73" s="131">
        <v>6.4102564102564097E-2</v>
      </c>
      <c r="D73" s="101" t="s">
        <v>333</v>
      </c>
      <c r="E73" s="131">
        <v>0.54761904761904767</v>
      </c>
      <c r="F73" s="3" t="s">
        <v>334</v>
      </c>
      <c r="G73" s="4">
        <v>5</v>
      </c>
      <c r="H73" s="127">
        <f>+AVERAGE(G70:G71)</f>
        <v>5</v>
      </c>
      <c r="I73" s="127">
        <f>+AVERAGE(G73:G76)</f>
        <v>4.75</v>
      </c>
      <c r="J73" s="89" t="str">
        <f>IF(I3&gt;=4.5,"Se cumple plenamente",IF(I3&gt;=4,"Se cumple en alto grado",IF(I3&gt;=3.5,"Se cumple aceptablemente",IF(I3&gt;=2.5,"Se cumple insatisfactoriamente",IF(I3&gt;=1,"No se cumple","")))))</f>
        <v>Se cumple en alto grado</v>
      </c>
    </row>
    <row r="74" spans="1:19" ht="105" customHeight="1" x14ac:dyDescent="0.35">
      <c r="A74" s="130"/>
      <c r="B74" s="101"/>
      <c r="C74" s="131"/>
      <c r="D74" s="101"/>
      <c r="E74" s="131"/>
      <c r="F74" s="3" t="s">
        <v>335</v>
      </c>
      <c r="G74" s="4">
        <v>5</v>
      </c>
      <c r="H74" s="127"/>
      <c r="I74" s="127"/>
      <c r="J74" s="89"/>
      <c r="L74" s="1" t="s">
        <v>229</v>
      </c>
    </row>
    <row r="75" spans="1:19" ht="43.5" x14ac:dyDescent="0.35">
      <c r="A75" s="130"/>
      <c r="B75" s="101"/>
      <c r="C75" s="131"/>
      <c r="D75" s="101" t="s">
        <v>64</v>
      </c>
      <c r="E75" s="131">
        <v>0.45238095238095238</v>
      </c>
      <c r="F75" s="3" t="s">
        <v>336</v>
      </c>
      <c r="G75" s="4">
        <v>5</v>
      </c>
      <c r="H75" s="127">
        <f>+AVERAGE(G72:G73)</f>
        <v>5</v>
      </c>
      <c r="I75" s="127"/>
      <c r="J75" s="89"/>
    </row>
    <row r="76" spans="1:19" ht="43.5" x14ac:dyDescent="0.35">
      <c r="A76" s="130"/>
      <c r="B76" s="101"/>
      <c r="C76" s="131"/>
      <c r="D76" s="101"/>
      <c r="E76" s="131"/>
      <c r="F76" s="3" t="s">
        <v>337</v>
      </c>
      <c r="G76" s="4">
        <v>4</v>
      </c>
      <c r="H76" s="127"/>
      <c r="I76" s="127"/>
      <c r="J76" s="89"/>
    </row>
    <row r="77" spans="1:19" ht="75" customHeight="1" x14ac:dyDescent="0.35">
      <c r="A77" s="130">
        <v>10</v>
      </c>
      <c r="B77" s="101" t="s">
        <v>338</v>
      </c>
      <c r="C77" s="131">
        <v>6.8825910931174086E-2</v>
      </c>
      <c r="D77" s="101" t="s">
        <v>123</v>
      </c>
      <c r="E77" s="131">
        <v>0.39855072463768115</v>
      </c>
      <c r="F77" s="3" t="s">
        <v>339</v>
      </c>
      <c r="G77" s="4">
        <v>5</v>
      </c>
      <c r="H77" s="127">
        <f>+AVERAGE(G77:G79)</f>
        <v>5</v>
      </c>
      <c r="I77" s="127">
        <f>+AVERAGE(G77:G84)</f>
        <v>5</v>
      </c>
      <c r="J77" s="89" t="str">
        <f>IF(I3&gt;=4.5,"Se cumple plenamente",IF(I3&gt;=4,"Se cumple en alto grado",IF(I3&gt;=3.5,"Se cumple aceptablemente",IF(I3&gt;=2.5,"Se cumple insatisfactoriamente",IF(I3&gt;=1,"No se cumple","")))))</f>
        <v>Se cumple en alto grado</v>
      </c>
      <c r="K77" t="s">
        <v>340</v>
      </c>
    </row>
    <row r="78" spans="1:19" ht="58" x14ac:dyDescent="0.35">
      <c r="A78" s="130"/>
      <c r="B78" s="101"/>
      <c r="C78" s="131"/>
      <c r="D78" s="101"/>
      <c r="E78" s="131"/>
      <c r="F78" s="3" t="s">
        <v>341</v>
      </c>
      <c r="G78" s="4">
        <v>5</v>
      </c>
      <c r="H78" s="127"/>
      <c r="I78" s="127"/>
      <c r="J78" s="89"/>
      <c r="K78" t="s">
        <v>342</v>
      </c>
      <c r="L78" s="1" t="s">
        <v>343</v>
      </c>
    </row>
    <row r="79" spans="1:19" ht="43.5" x14ac:dyDescent="0.35">
      <c r="A79" s="130"/>
      <c r="B79" s="101"/>
      <c r="C79" s="131"/>
      <c r="D79" s="101"/>
      <c r="E79" s="131"/>
      <c r="F79" s="3" t="s">
        <v>344</v>
      </c>
      <c r="G79" s="4"/>
      <c r="H79" s="127"/>
      <c r="I79" s="127"/>
      <c r="J79" s="89"/>
      <c r="K79" t="s">
        <v>286</v>
      </c>
    </row>
    <row r="80" spans="1:19" ht="75" customHeight="1" x14ac:dyDescent="0.35">
      <c r="A80" s="130"/>
      <c r="B80" s="101"/>
      <c r="C80" s="131"/>
      <c r="D80" s="101" t="s">
        <v>124</v>
      </c>
      <c r="E80" s="131">
        <v>0.35507246376811596</v>
      </c>
      <c r="F80" s="3" t="s">
        <v>345</v>
      </c>
      <c r="G80" s="4">
        <v>5</v>
      </c>
      <c r="H80" s="127">
        <f>+AVERAGE(G80:G82)</f>
        <v>5</v>
      </c>
      <c r="I80" s="127"/>
      <c r="J80" s="89"/>
      <c r="K80" t="s">
        <v>346</v>
      </c>
      <c r="L80" s="1" t="s">
        <v>210</v>
      </c>
    </row>
    <row r="81" spans="1:14" ht="43.5" x14ac:dyDescent="0.35">
      <c r="A81" s="130"/>
      <c r="B81" s="101"/>
      <c r="C81" s="131"/>
      <c r="D81" s="101"/>
      <c r="E81" s="131"/>
      <c r="F81" s="3" t="s">
        <v>347</v>
      </c>
      <c r="G81" s="4">
        <v>5</v>
      </c>
      <c r="H81" s="127"/>
      <c r="I81" s="127"/>
      <c r="J81" s="89"/>
      <c r="L81" s="1" t="s">
        <v>208</v>
      </c>
      <c r="M81" s="1" t="s">
        <v>319</v>
      </c>
      <c r="N81" s="1" t="s">
        <v>210</v>
      </c>
    </row>
    <row r="82" spans="1:14" ht="43.5" x14ac:dyDescent="0.35">
      <c r="A82" s="130"/>
      <c r="B82" s="101"/>
      <c r="C82" s="131"/>
      <c r="D82" s="101"/>
      <c r="E82" s="131"/>
      <c r="F82" s="3" t="s">
        <v>348</v>
      </c>
      <c r="G82" s="4"/>
      <c r="H82" s="127"/>
      <c r="I82" s="127"/>
      <c r="J82" s="89"/>
      <c r="K82" t="s">
        <v>286</v>
      </c>
    </row>
    <row r="83" spans="1:14" ht="75" customHeight="1" x14ac:dyDescent="0.35">
      <c r="A83" s="130"/>
      <c r="B83" s="101"/>
      <c r="C83" s="131"/>
      <c r="D83" s="101" t="s">
        <v>67</v>
      </c>
      <c r="E83" s="131">
        <v>0.24637681159420291</v>
      </c>
      <c r="F83" s="3" t="s">
        <v>349</v>
      </c>
      <c r="G83" s="4">
        <v>5</v>
      </c>
      <c r="H83" s="127">
        <f>+AVERAGE(G80:G81)</f>
        <v>5</v>
      </c>
      <c r="I83" s="127"/>
      <c r="J83" s="89"/>
      <c r="K83" t="s">
        <v>350</v>
      </c>
    </row>
    <row r="84" spans="1:14" ht="58" x14ac:dyDescent="0.35">
      <c r="A84" s="130"/>
      <c r="B84" s="101"/>
      <c r="C84" s="131"/>
      <c r="D84" s="101"/>
      <c r="E84" s="131"/>
      <c r="F84" s="3" t="s">
        <v>351</v>
      </c>
      <c r="G84" s="4">
        <v>5</v>
      </c>
      <c r="H84" s="127"/>
      <c r="I84" s="127"/>
      <c r="J84" s="89"/>
      <c r="K84" t="s">
        <v>350</v>
      </c>
      <c r="L84" s="1" t="s">
        <v>343</v>
      </c>
    </row>
    <row r="85" spans="1:14" ht="60" customHeight="1" x14ac:dyDescent="0.35">
      <c r="A85" s="130">
        <v>11</v>
      </c>
      <c r="B85" s="101" t="s">
        <v>352</v>
      </c>
      <c r="C85" s="131">
        <v>6.6801619433198386E-2</v>
      </c>
      <c r="D85" s="101" t="s">
        <v>353</v>
      </c>
      <c r="E85" s="131">
        <v>0.23015873015873015</v>
      </c>
      <c r="F85" s="3" t="s">
        <v>354</v>
      </c>
      <c r="G85" s="4">
        <v>5</v>
      </c>
      <c r="H85" s="127">
        <f>+AVERAGE(G82:G83)</f>
        <v>5</v>
      </c>
      <c r="I85" s="127">
        <f>+AVERAGE(G85:G97)</f>
        <v>5</v>
      </c>
      <c r="J85" s="89" t="str">
        <f>IF(I3&gt;=4.5,"Se cumple plenamente",IF(I3&gt;=4,"Se cumple en alto grado",IF(I3&gt;=3.5,"Se cumple aceptablemente",IF(I3&gt;=2.5,"Se cumple insatisfactoriamente",IF(I3&gt;=1,"No se cumple","")))))</f>
        <v>Se cumple en alto grado</v>
      </c>
      <c r="K85" t="s">
        <v>355</v>
      </c>
    </row>
    <row r="86" spans="1:14" ht="60" customHeight="1" x14ac:dyDescent="0.35">
      <c r="A86" s="130"/>
      <c r="B86" s="101"/>
      <c r="C86" s="131"/>
      <c r="D86" s="101"/>
      <c r="E86" s="131"/>
      <c r="F86" s="3" t="s">
        <v>356</v>
      </c>
      <c r="G86" s="4">
        <v>5</v>
      </c>
      <c r="H86" s="127"/>
      <c r="I86" s="127"/>
      <c r="J86" s="89"/>
      <c r="K86" t="s">
        <v>355</v>
      </c>
      <c r="L86" s="1" t="s">
        <v>207</v>
      </c>
      <c r="M86" s="1"/>
    </row>
    <row r="87" spans="1:14" ht="60" customHeight="1" x14ac:dyDescent="0.35">
      <c r="A87" s="130"/>
      <c r="B87" s="101"/>
      <c r="C87" s="131"/>
      <c r="D87" s="101" t="s">
        <v>126</v>
      </c>
      <c r="E87" s="131">
        <v>0.21164021164021163</v>
      </c>
      <c r="F87" s="3" t="s">
        <v>357</v>
      </c>
      <c r="G87" s="4">
        <v>5</v>
      </c>
      <c r="H87" s="127">
        <f>+AVERAGE(G84:G85)</f>
        <v>5</v>
      </c>
      <c r="I87" s="127"/>
      <c r="J87" s="89"/>
      <c r="K87" t="s">
        <v>355</v>
      </c>
    </row>
    <row r="88" spans="1:14" ht="75" customHeight="1" x14ac:dyDescent="0.35">
      <c r="A88" s="130"/>
      <c r="B88" s="101"/>
      <c r="C88" s="131"/>
      <c r="D88" s="101"/>
      <c r="E88" s="131"/>
      <c r="F88" s="3" t="s">
        <v>358</v>
      </c>
      <c r="G88" s="4">
        <v>5</v>
      </c>
      <c r="H88" s="127"/>
      <c r="I88" s="127"/>
      <c r="J88" s="89"/>
      <c r="K88" t="s">
        <v>359</v>
      </c>
      <c r="L88" s="1" t="s">
        <v>208</v>
      </c>
    </row>
    <row r="89" spans="1:14" ht="29" x14ac:dyDescent="0.35">
      <c r="A89" s="130"/>
      <c r="B89" s="101"/>
      <c r="C89" s="131"/>
      <c r="D89" s="101" t="s">
        <v>127</v>
      </c>
      <c r="E89" s="131">
        <v>0.13227513227513227</v>
      </c>
      <c r="F89" s="3" t="s">
        <v>360</v>
      </c>
      <c r="G89" s="4">
        <v>5</v>
      </c>
      <c r="H89" s="127">
        <v>5</v>
      </c>
      <c r="I89" s="127"/>
      <c r="J89" s="89"/>
      <c r="K89" t="s">
        <v>359</v>
      </c>
    </row>
    <row r="90" spans="1:14" ht="60" customHeight="1" x14ac:dyDescent="0.35">
      <c r="A90" s="130"/>
      <c r="B90" s="101"/>
      <c r="C90" s="131"/>
      <c r="D90" s="101"/>
      <c r="E90" s="131"/>
      <c r="F90" s="3" t="s">
        <v>361</v>
      </c>
      <c r="G90" s="4">
        <v>5</v>
      </c>
      <c r="H90" s="127"/>
      <c r="I90" s="127"/>
      <c r="J90" s="89"/>
      <c r="K90" t="s">
        <v>362</v>
      </c>
    </row>
    <row r="91" spans="1:14" ht="60" customHeight="1" x14ac:dyDescent="0.35">
      <c r="A91" s="130"/>
      <c r="B91" s="101"/>
      <c r="C91" s="131"/>
      <c r="D91" s="101"/>
      <c r="E91" s="131"/>
      <c r="F91" s="3" t="s">
        <v>363</v>
      </c>
      <c r="G91" s="4">
        <v>5</v>
      </c>
      <c r="H91" s="127"/>
      <c r="I91" s="127"/>
      <c r="J91" s="89"/>
      <c r="K91" t="s">
        <v>362</v>
      </c>
    </row>
    <row r="92" spans="1:14" ht="58" x14ac:dyDescent="0.35">
      <c r="A92" s="130"/>
      <c r="B92" s="101"/>
      <c r="C92" s="131"/>
      <c r="D92" s="101" t="s">
        <v>128</v>
      </c>
      <c r="E92" s="131">
        <v>0.11904761904761904</v>
      </c>
      <c r="F92" s="3" t="s">
        <v>364</v>
      </c>
      <c r="G92" s="4">
        <v>5</v>
      </c>
      <c r="H92" s="127">
        <f>+AVERAGE(G89:G90)</f>
        <v>5</v>
      </c>
      <c r="I92" s="127"/>
      <c r="J92" s="89"/>
    </row>
    <row r="93" spans="1:14" ht="29" x14ac:dyDescent="0.35">
      <c r="A93" s="130"/>
      <c r="B93" s="101"/>
      <c r="C93" s="131"/>
      <c r="D93" s="101"/>
      <c r="E93" s="131"/>
      <c r="F93" s="3" t="s">
        <v>365</v>
      </c>
      <c r="G93" s="4">
        <v>5</v>
      </c>
      <c r="H93" s="127"/>
      <c r="I93" s="127"/>
      <c r="J93" s="89"/>
      <c r="K93" t="s">
        <v>366</v>
      </c>
    </row>
    <row r="94" spans="1:14" ht="75" customHeight="1" x14ac:dyDescent="0.35">
      <c r="A94" s="130"/>
      <c r="B94" s="101"/>
      <c r="C94" s="131"/>
      <c r="D94" s="101" t="s">
        <v>129</v>
      </c>
      <c r="E94" s="131">
        <v>0.12962962962962962</v>
      </c>
      <c r="F94" s="3" t="s">
        <v>367</v>
      </c>
      <c r="G94" s="4">
        <v>5</v>
      </c>
      <c r="H94" s="127">
        <f>+AVERAGE(G91:G92)</f>
        <v>5</v>
      </c>
      <c r="I94" s="127"/>
      <c r="J94" s="89"/>
      <c r="K94" t="s">
        <v>368</v>
      </c>
    </row>
    <row r="95" spans="1:14" ht="45" customHeight="1" x14ac:dyDescent="0.35">
      <c r="A95" s="130"/>
      <c r="B95" s="101"/>
      <c r="C95" s="131"/>
      <c r="D95" s="101"/>
      <c r="E95" s="131"/>
      <c r="F95" s="3" t="s">
        <v>369</v>
      </c>
      <c r="G95" s="4">
        <v>5</v>
      </c>
      <c r="H95" s="127"/>
      <c r="I95" s="127"/>
      <c r="J95" s="89"/>
      <c r="K95" t="s">
        <v>370</v>
      </c>
    </row>
    <row r="96" spans="1:14" ht="75" customHeight="1" x14ac:dyDescent="0.35">
      <c r="A96" s="130"/>
      <c r="B96" s="101"/>
      <c r="C96" s="131"/>
      <c r="D96" s="101" t="s">
        <v>73</v>
      </c>
      <c r="E96" s="131">
        <v>0.17724867724867724</v>
      </c>
      <c r="F96" s="3" t="s">
        <v>371</v>
      </c>
      <c r="G96" s="4">
        <v>5</v>
      </c>
      <c r="H96" s="127">
        <f>+AVERAGE(G93:G94)</f>
        <v>5</v>
      </c>
      <c r="I96" s="127"/>
      <c r="J96" s="89"/>
      <c r="K96" t="s">
        <v>372</v>
      </c>
    </row>
    <row r="97" spans="1:12" ht="60" customHeight="1" x14ac:dyDescent="0.35">
      <c r="A97" s="130"/>
      <c r="B97" s="101"/>
      <c r="C97" s="131"/>
      <c r="D97" s="101"/>
      <c r="E97" s="131"/>
      <c r="F97" s="3" t="s">
        <v>373</v>
      </c>
      <c r="G97" s="4"/>
      <c r="H97" s="127"/>
      <c r="I97" s="127"/>
      <c r="J97" s="89"/>
      <c r="K97" t="s">
        <v>286</v>
      </c>
    </row>
    <row r="98" spans="1:12" ht="75" customHeight="1" x14ac:dyDescent="0.35">
      <c r="A98" s="130">
        <v>12</v>
      </c>
      <c r="B98" s="101" t="s">
        <v>374</v>
      </c>
      <c r="C98" s="131">
        <v>3.643724696356275E-2</v>
      </c>
      <c r="D98" s="101" t="s">
        <v>130</v>
      </c>
      <c r="E98" s="131">
        <v>0.52380952380952395</v>
      </c>
      <c r="F98" s="3" t="s">
        <v>375</v>
      </c>
      <c r="G98" s="4">
        <v>5</v>
      </c>
      <c r="H98" s="127">
        <f>+AVERAGE(G95:G96)</f>
        <v>5</v>
      </c>
      <c r="I98" s="127">
        <f>+AVERAGE(G98:G101)</f>
        <v>5</v>
      </c>
      <c r="J98" s="89" t="str">
        <f>IF(I3&gt;=4.5,"Se cumple plenamente",IF(I3&gt;=4,"Se cumple en alto grado",IF(I3&gt;=3.5,"Se cumple aceptablemente",IF(I3&gt;=2.5,"Se cumple insatisfactoriamente",IF(I3&gt;=1,"No se cumple","")))))</f>
        <v>Se cumple en alto grado</v>
      </c>
      <c r="L98" s="1" t="s">
        <v>227</v>
      </c>
    </row>
    <row r="99" spans="1:12" ht="43.5" x14ac:dyDescent="0.35">
      <c r="A99" s="130"/>
      <c r="B99" s="101"/>
      <c r="C99" s="131"/>
      <c r="D99" s="101"/>
      <c r="E99" s="131"/>
      <c r="F99" s="3" t="s">
        <v>376</v>
      </c>
      <c r="G99" s="4">
        <v>5</v>
      </c>
      <c r="H99" s="127"/>
      <c r="I99" s="127"/>
      <c r="J99" s="89"/>
    </row>
    <row r="100" spans="1:12" ht="58" x14ac:dyDescent="0.35">
      <c r="A100" s="130"/>
      <c r="B100" s="101"/>
      <c r="C100" s="131"/>
      <c r="D100" s="101" t="s">
        <v>75</v>
      </c>
      <c r="E100" s="131">
        <v>0.47619047619047616</v>
      </c>
      <c r="F100" s="3" t="s">
        <v>377</v>
      </c>
      <c r="G100" s="4">
        <v>5</v>
      </c>
      <c r="H100" s="127">
        <f>+AVERAGE(G97:G98)</f>
        <v>5</v>
      </c>
      <c r="I100" s="127"/>
      <c r="J100" s="89"/>
      <c r="K100" t="s">
        <v>346</v>
      </c>
    </row>
    <row r="101" spans="1:12" ht="43.5" x14ac:dyDescent="0.35">
      <c r="A101" s="130"/>
      <c r="B101" s="101"/>
      <c r="C101" s="131"/>
      <c r="D101" s="101"/>
      <c r="E101" s="131"/>
      <c r="F101" s="3" t="s">
        <v>378</v>
      </c>
      <c r="G101" s="4">
        <v>5</v>
      </c>
      <c r="H101" s="127"/>
      <c r="I101" s="127"/>
      <c r="J101" s="89"/>
      <c r="K101" t="s">
        <v>359</v>
      </c>
    </row>
  </sheetData>
  <mergeCells count="178">
    <mergeCell ref="B7:B16"/>
    <mergeCell ref="B3:B6"/>
    <mergeCell ref="B17:B34"/>
    <mergeCell ref="D35:D36"/>
    <mergeCell ref="C3:C6"/>
    <mergeCell ref="B73:B76"/>
    <mergeCell ref="D77:D79"/>
    <mergeCell ref="D80:D82"/>
    <mergeCell ref="D83:D84"/>
    <mergeCell ref="B77:B84"/>
    <mergeCell ref="B58:B64"/>
    <mergeCell ref="D66:D67"/>
    <mergeCell ref="D69:D70"/>
    <mergeCell ref="D71:D72"/>
    <mergeCell ref="D73:D74"/>
    <mergeCell ref="B65:B68"/>
    <mergeCell ref="B69:B72"/>
    <mergeCell ref="D59:D61"/>
    <mergeCell ref="D63:D64"/>
    <mergeCell ref="C77:C84"/>
    <mergeCell ref="B85:B97"/>
    <mergeCell ref="D98:D99"/>
    <mergeCell ref="D100:D101"/>
    <mergeCell ref="B98:B101"/>
    <mergeCell ref="D87:D88"/>
    <mergeCell ref="D89:D91"/>
    <mergeCell ref="D92:D93"/>
    <mergeCell ref="D94:D95"/>
    <mergeCell ref="D96:D97"/>
    <mergeCell ref="C85:C97"/>
    <mergeCell ref="D85:D86"/>
    <mergeCell ref="C98:C101"/>
    <mergeCell ref="A17:A34"/>
    <mergeCell ref="A7:A16"/>
    <mergeCell ref="A3:A6"/>
    <mergeCell ref="D56:D57"/>
    <mergeCell ref="B39:B57"/>
    <mergeCell ref="D41:D42"/>
    <mergeCell ref="D43:D44"/>
    <mergeCell ref="D45:D47"/>
    <mergeCell ref="D48:D50"/>
    <mergeCell ref="D51:D52"/>
    <mergeCell ref="D54:D55"/>
    <mergeCell ref="D33:D34"/>
    <mergeCell ref="D37:D38"/>
    <mergeCell ref="B35:B38"/>
    <mergeCell ref="D39:D40"/>
    <mergeCell ref="D17:D18"/>
    <mergeCell ref="D19:D21"/>
    <mergeCell ref="D22:D24"/>
    <mergeCell ref="D25:D27"/>
    <mergeCell ref="D28:D29"/>
    <mergeCell ref="D30:D31"/>
    <mergeCell ref="D4:D6"/>
    <mergeCell ref="D7:D10"/>
    <mergeCell ref="D13:D14"/>
    <mergeCell ref="A73:A76"/>
    <mergeCell ref="A58:A64"/>
    <mergeCell ref="A39:A57"/>
    <mergeCell ref="A35:A38"/>
    <mergeCell ref="A65:A68"/>
    <mergeCell ref="A69:A72"/>
    <mergeCell ref="A98:A101"/>
    <mergeCell ref="A85:A97"/>
    <mergeCell ref="A77:A84"/>
    <mergeCell ref="E4:E6"/>
    <mergeCell ref="C7:C16"/>
    <mergeCell ref="C17:C34"/>
    <mergeCell ref="C35:C38"/>
    <mergeCell ref="C39:C57"/>
    <mergeCell ref="C58:C64"/>
    <mergeCell ref="C65:C68"/>
    <mergeCell ref="C69:C72"/>
    <mergeCell ref="C73:C76"/>
    <mergeCell ref="E66:E67"/>
    <mergeCell ref="E69:E70"/>
    <mergeCell ref="E71:E72"/>
    <mergeCell ref="E73:E74"/>
    <mergeCell ref="E75:E76"/>
    <mergeCell ref="D75:D76"/>
    <mergeCell ref="D15:D16"/>
    <mergeCell ref="E48:E50"/>
    <mergeCell ref="E51:E52"/>
    <mergeCell ref="E56:E57"/>
    <mergeCell ref="E54:E55"/>
    <mergeCell ref="E59:E61"/>
    <mergeCell ref="E63:E64"/>
    <mergeCell ref="E7:E10"/>
    <mergeCell ref="E13:E14"/>
    <mergeCell ref="E98:E99"/>
    <mergeCell ref="E100:E101"/>
    <mergeCell ref="E77:E79"/>
    <mergeCell ref="E80:E82"/>
    <mergeCell ref="E83:E84"/>
    <mergeCell ref="E85:E86"/>
    <mergeCell ref="E87:E88"/>
    <mergeCell ref="E89:E91"/>
    <mergeCell ref="E92:E93"/>
    <mergeCell ref="E94:E95"/>
    <mergeCell ref="E96:E97"/>
    <mergeCell ref="I69:I72"/>
    <mergeCell ref="I73:I76"/>
    <mergeCell ref="E37:E38"/>
    <mergeCell ref="E39:E40"/>
    <mergeCell ref="E41:E42"/>
    <mergeCell ref="E43:E44"/>
    <mergeCell ref="E45:E47"/>
    <mergeCell ref="E15:E16"/>
    <mergeCell ref="E17:E18"/>
    <mergeCell ref="E19:E21"/>
    <mergeCell ref="E22:E24"/>
    <mergeCell ref="E25:E27"/>
    <mergeCell ref="E28:E29"/>
    <mergeCell ref="E30:E31"/>
    <mergeCell ref="E33:E34"/>
    <mergeCell ref="E35:E36"/>
    <mergeCell ref="H51:H52"/>
    <mergeCell ref="H54:H55"/>
    <mergeCell ref="H56:H57"/>
    <mergeCell ref="H59:H61"/>
    <mergeCell ref="H63:H64"/>
    <mergeCell ref="H69:H70"/>
    <mergeCell ref="H71:H72"/>
    <mergeCell ref="H73:H74"/>
    <mergeCell ref="I77:I84"/>
    <mergeCell ref="I85:I97"/>
    <mergeCell ref="I98:I101"/>
    <mergeCell ref="V3:V4"/>
    <mergeCell ref="T3:T4"/>
    <mergeCell ref="J3:J6"/>
    <mergeCell ref="J7:J16"/>
    <mergeCell ref="J17:J34"/>
    <mergeCell ref="J35:J38"/>
    <mergeCell ref="J39:J57"/>
    <mergeCell ref="J58:J64"/>
    <mergeCell ref="J65:J68"/>
    <mergeCell ref="J69:J72"/>
    <mergeCell ref="J73:J76"/>
    <mergeCell ref="J77:J84"/>
    <mergeCell ref="J85:J97"/>
    <mergeCell ref="J98:J101"/>
    <mergeCell ref="I3:I6"/>
    <mergeCell ref="I7:I16"/>
    <mergeCell ref="I17:I34"/>
    <mergeCell ref="I35:I38"/>
    <mergeCell ref="I39:I57"/>
    <mergeCell ref="I58:I64"/>
    <mergeCell ref="I65:I68"/>
    <mergeCell ref="H4:H6"/>
    <mergeCell ref="H7:H10"/>
    <mergeCell ref="H13:H14"/>
    <mergeCell ref="H15:H16"/>
    <mergeCell ref="H17:H18"/>
    <mergeCell ref="H19:H21"/>
    <mergeCell ref="H22:H24"/>
    <mergeCell ref="H25:H27"/>
    <mergeCell ref="H28:H29"/>
    <mergeCell ref="H30:H31"/>
    <mergeCell ref="H33:H34"/>
    <mergeCell ref="H35:H36"/>
    <mergeCell ref="H37:H38"/>
    <mergeCell ref="H39:H40"/>
    <mergeCell ref="H41:H42"/>
    <mergeCell ref="H43:H44"/>
    <mergeCell ref="H45:H47"/>
    <mergeCell ref="H48:H50"/>
    <mergeCell ref="H96:H97"/>
    <mergeCell ref="H98:H99"/>
    <mergeCell ref="H100:H101"/>
    <mergeCell ref="H75:H76"/>
    <mergeCell ref="H77:H79"/>
    <mergeCell ref="H80:H82"/>
    <mergeCell ref="H83:H84"/>
    <mergeCell ref="H85:H86"/>
    <mergeCell ref="H87:H88"/>
    <mergeCell ref="H89:H91"/>
    <mergeCell ref="H92:H93"/>
    <mergeCell ref="H94:H95"/>
  </mergeCells>
  <pageMargins left="0.7" right="0.7" top="0.75" bottom="0.75" header="0.3" footer="0.3"/>
  <pageSetup scale="18" fitToHeight="0" orientation="portrait"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3A8DE-D0E2-4670-A0C1-DF6E1CA41BFC}">
  <dimension ref="A1:D30"/>
  <sheetViews>
    <sheetView workbookViewId="0">
      <selection activeCell="E21" sqref="E21"/>
    </sheetView>
  </sheetViews>
  <sheetFormatPr baseColWidth="10" defaultColWidth="63.81640625" defaultRowHeight="14.5" x14ac:dyDescent="0.35"/>
  <cols>
    <col min="1" max="1" width="11.26953125" bestFit="1" customWidth="1"/>
    <col min="2" max="2" width="43.26953125" bestFit="1" customWidth="1"/>
    <col min="4" max="4" width="33.26953125" bestFit="1" customWidth="1"/>
  </cols>
  <sheetData>
    <row r="1" spans="1:4" x14ac:dyDescent="0.35">
      <c r="A1" s="74" t="s">
        <v>206</v>
      </c>
      <c r="B1" s="74" t="s">
        <v>379</v>
      </c>
      <c r="C1" s="74" t="s">
        <v>380</v>
      </c>
      <c r="D1" s="74" t="s">
        <v>381</v>
      </c>
    </row>
    <row r="2" spans="1:4" x14ac:dyDescent="0.35">
      <c r="A2" s="76" t="s">
        <v>382</v>
      </c>
      <c r="B2" s="75" t="s">
        <v>383</v>
      </c>
      <c r="C2" s="76" t="s">
        <v>384</v>
      </c>
      <c r="D2" s="75" t="s">
        <v>385</v>
      </c>
    </row>
    <row r="3" spans="1:4" x14ac:dyDescent="0.35">
      <c r="A3" s="75"/>
      <c r="B3" s="75" t="s">
        <v>386</v>
      </c>
      <c r="C3" s="76" t="s">
        <v>387</v>
      </c>
      <c r="D3" s="75" t="s">
        <v>385</v>
      </c>
    </row>
    <row r="4" spans="1:4" x14ac:dyDescent="0.35">
      <c r="A4" s="75"/>
      <c r="B4" s="75" t="s">
        <v>388</v>
      </c>
      <c r="C4" s="76" t="s">
        <v>389</v>
      </c>
      <c r="D4" s="75" t="s">
        <v>385</v>
      </c>
    </row>
    <row r="5" spans="1:4" x14ac:dyDescent="0.35">
      <c r="A5" s="75"/>
      <c r="B5" s="75" t="s">
        <v>390</v>
      </c>
      <c r="C5" s="76" t="s">
        <v>391</v>
      </c>
      <c r="D5" s="75" t="s">
        <v>392</v>
      </c>
    </row>
    <row r="6" spans="1:4" x14ac:dyDescent="0.35">
      <c r="A6" s="75"/>
      <c r="B6" s="75" t="s">
        <v>393</v>
      </c>
      <c r="C6" s="76" t="s">
        <v>394</v>
      </c>
      <c r="D6" s="75" t="s">
        <v>395</v>
      </c>
    </row>
    <row r="7" spans="1:4" x14ac:dyDescent="0.35">
      <c r="A7" s="75"/>
      <c r="B7" s="75" t="s">
        <v>396</v>
      </c>
      <c r="C7" s="76" t="s">
        <v>397</v>
      </c>
      <c r="D7" s="75" t="s">
        <v>398</v>
      </c>
    </row>
    <row r="8" spans="1:4" x14ac:dyDescent="0.35">
      <c r="A8" s="75"/>
      <c r="B8" s="75" t="s">
        <v>399</v>
      </c>
      <c r="C8" s="76" t="s">
        <v>397</v>
      </c>
      <c r="D8" s="75" t="s">
        <v>398</v>
      </c>
    </row>
    <row r="9" spans="1:4" x14ac:dyDescent="0.35">
      <c r="A9" s="75"/>
      <c r="B9" s="75" t="s">
        <v>400</v>
      </c>
      <c r="C9" s="76" t="s">
        <v>401</v>
      </c>
      <c r="D9" s="75" t="s">
        <v>402</v>
      </c>
    </row>
    <row r="10" spans="1:4" x14ac:dyDescent="0.35">
      <c r="A10" s="75"/>
      <c r="B10" s="75" t="s">
        <v>403</v>
      </c>
      <c r="C10" s="76" t="s">
        <v>401</v>
      </c>
      <c r="D10" s="75" t="s">
        <v>402</v>
      </c>
    </row>
    <row r="11" spans="1:4" x14ac:dyDescent="0.35">
      <c r="A11" s="75"/>
      <c r="B11" s="75" t="s">
        <v>404</v>
      </c>
      <c r="C11" s="76" t="s">
        <v>405</v>
      </c>
      <c r="D11" s="75" t="s">
        <v>406</v>
      </c>
    </row>
    <row r="12" spans="1:4" x14ac:dyDescent="0.35">
      <c r="A12" s="75"/>
      <c r="B12" s="75" t="s">
        <v>407</v>
      </c>
      <c r="C12" s="76" t="s">
        <v>408</v>
      </c>
      <c r="D12" s="75" t="s">
        <v>409</v>
      </c>
    </row>
    <row r="13" spans="1:4" x14ac:dyDescent="0.35">
      <c r="A13" s="75"/>
      <c r="B13" s="75" t="s">
        <v>410</v>
      </c>
      <c r="C13" s="76" t="s">
        <v>411</v>
      </c>
      <c r="D13" s="75" t="s">
        <v>412</v>
      </c>
    </row>
    <row r="14" spans="1:4" x14ac:dyDescent="0.35">
      <c r="A14" s="76" t="s">
        <v>413</v>
      </c>
      <c r="B14" s="75" t="s">
        <v>414</v>
      </c>
      <c r="C14" s="76" t="s">
        <v>415</v>
      </c>
      <c r="D14" s="75" t="s">
        <v>416</v>
      </c>
    </row>
    <row r="15" spans="1:4" x14ac:dyDescent="0.35">
      <c r="A15" s="75"/>
      <c r="B15" s="75" t="s">
        <v>417</v>
      </c>
      <c r="C15" s="76" t="s">
        <v>415</v>
      </c>
      <c r="D15" s="75" t="s">
        <v>416</v>
      </c>
    </row>
    <row r="16" spans="1:4" x14ac:dyDescent="0.35">
      <c r="A16" s="75"/>
      <c r="B16" s="75" t="s">
        <v>418</v>
      </c>
      <c r="C16" s="76" t="s">
        <v>415</v>
      </c>
      <c r="D16" s="75" t="s">
        <v>416</v>
      </c>
    </row>
    <row r="17" spans="1:4" x14ac:dyDescent="0.35">
      <c r="A17" s="75"/>
      <c r="B17" s="75" t="s">
        <v>419</v>
      </c>
      <c r="C17" s="76" t="s">
        <v>420</v>
      </c>
      <c r="D17" s="75" t="s">
        <v>421</v>
      </c>
    </row>
    <row r="18" spans="1:4" x14ac:dyDescent="0.35">
      <c r="A18" s="75"/>
      <c r="B18" s="75" t="s">
        <v>422</v>
      </c>
      <c r="C18" s="76" t="s">
        <v>423</v>
      </c>
      <c r="D18" s="75" t="s">
        <v>416</v>
      </c>
    </row>
    <row r="19" spans="1:4" x14ac:dyDescent="0.35">
      <c r="A19" s="75"/>
      <c r="B19" s="75" t="s">
        <v>424</v>
      </c>
      <c r="C19" s="76" t="s">
        <v>425</v>
      </c>
      <c r="D19" s="75" t="s">
        <v>392</v>
      </c>
    </row>
    <row r="20" spans="1:4" x14ac:dyDescent="0.35">
      <c r="A20" s="75"/>
      <c r="B20" s="75" t="s">
        <v>426</v>
      </c>
      <c r="C20" s="76" t="s">
        <v>427</v>
      </c>
      <c r="D20" s="75" t="s">
        <v>428</v>
      </c>
    </row>
    <row r="21" spans="1:4" x14ac:dyDescent="0.35">
      <c r="A21" s="76" t="s">
        <v>429</v>
      </c>
      <c r="B21" s="75" t="s">
        <v>430</v>
      </c>
      <c r="C21" s="76" t="s">
        <v>431</v>
      </c>
      <c r="D21" s="75" t="s">
        <v>428</v>
      </c>
    </row>
    <row r="22" spans="1:4" x14ac:dyDescent="0.35">
      <c r="A22" s="75"/>
      <c r="B22" s="75" t="s">
        <v>432</v>
      </c>
      <c r="C22" s="76" t="s">
        <v>431</v>
      </c>
      <c r="D22" s="75" t="s">
        <v>428</v>
      </c>
    </row>
    <row r="23" spans="1:4" x14ac:dyDescent="0.35">
      <c r="A23" s="75"/>
      <c r="B23" s="75" t="s">
        <v>424</v>
      </c>
      <c r="C23" s="76" t="s">
        <v>425</v>
      </c>
      <c r="D23" s="75" t="s">
        <v>392</v>
      </c>
    </row>
    <row r="24" spans="1:4" x14ac:dyDescent="0.35">
      <c r="A24" s="75"/>
      <c r="B24" s="75" t="s">
        <v>111</v>
      </c>
      <c r="C24" s="76" t="s">
        <v>425</v>
      </c>
      <c r="D24" s="75" t="s">
        <v>392</v>
      </c>
    </row>
    <row r="25" spans="1:4" x14ac:dyDescent="0.35">
      <c r="A25" s="75"/>
      <c r="B25" s="75" t="s">
        <v>390</v>
      </c>
      <c r="C25" s="76" t="s">
        <v>425</v>
      </c>
      <c r="D25" s="75" t="s">
        <v>392</v>
      </c>
    </row>
    <row r="26" spans="1:4" x14ac:dyDescent="0.35">
      <c r="A26" s="75"/>
      <c r="B26" s="75" t="s">
        <v>433</v>
      </c>
      <c r="C26" s="76" t="s">
        <v>425</v>
      </c>
      <c r="D26" s="75" t="s">
        <v>392</v>
      </c>
    </row>
    <row r="27" spans="1:4" x14ac:dyDescent="0.35">
      <c r="A27" s="75"/>
      <c r="B27" s="75" t="s">
        <v>434</v>
      </c>
      <c r="C27" s="76" t="s">
        <v>425</v>
      </c>
      <c r="D27" s="75" t="s">
        <v>392</v>
      </c>
    </row>
    <row r="28" spans="1:4" x14ac:dyDescent="0.35">
      <c r="A28" s="75"/>
      <c r="B28" s="75" t="s">
        <v>435</v>
      </c>
      <c r="C28" s="76" t="s">
        <v>436</v>
      </c>
      <c r="D28" s="75" t="s">
        <v>412</v>
      </c>
    </row>
    <row r="29" spans="1:4" x14ac:dyDescent="0.35">
      <c r="A29" s="75"/>
      <c r="B29" s="75" t="s">
        <v>437</v>
      </c>
      <c r="C29" s="76" t="s">
        <v>425</v>
      </c>
      <c r="D29" s="75" t="s">
        <v>392</v>
      </c>
    </row>
    <row r="30" spans="1:4" x14ac:dyDescent="0.35">
      <c r="A30" s="75"/>
      <c r="B30" s="75" t="s">
        <v>438</v>
      </c>
      <c r="C30" s="76" t="s">
        <v>397</v>
      </c>
      <c r="D30" s="75" t="s">
        <v>398</v>
      </c>
    </row>
  </sheetData>
  <autoFilter ref="A1:D30" xr:uid="{F1686718-23F9-4944-A56E-3BF237EB7E1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D90E-C2B0-41CF-9E36-6B299E782E00}">
  <dimension ref="A1:G33"/>
  <sheetViews>
    <sheetView topLeftCell="A21" zoomScale="85" zoomScaleNormal="85" workbookViewId="0">
      <selection activeCell="F31" sqref="F31"/>
    </sheetView>
  </sheetViews>
  <sheetFormatPr baseColWidth="10" defaultColWidth="30.81640625" defaultRowHeight="14.5" x14ac:dyDescent="0.35"/>
  <cols>
    <col min="1" max="1" width="48" customWidth="1"/>
    <col min="2" max="2" width="18.7265625" customWidth="1"/>
    <col min="3" max="3" width="30.81640625" customWidth="1"/>
    <col min="4" max="4" width="13.26953125" bestFit="1" customWidth="1"/>
    <col min="5" max="5" width="11" customWidth="1"/>
    <col min="7" max="7" width="10.1796875" bestFit="1" customWidth="1"/>
  </cols>
  <sheetData>
    <row r="1" spans="1:7" ht="15" thickBot="1" x14ac:dyDescent="0.4"/>
    <row r="2" spans="1:7" x14ac:dyDescent="0.35">
      <c r="A2" s="132" t="s">
        <v>76</v>
      </c>
      <c r="B2" s="132" t="s">
        <v>77</v>
      </c>
      <c r="C2" s="132" t="s">
        <v>439</v>
      </c>
      <c r="D2" s="79" t="s">
        <v>440</v>
      </c>
      <c r="E2" s="79"/>
      <c r="F2" s="79" t="s">
        <v>440</v>
      </c>
      <c r="G2" s="79"/>
    </row>
    <row r="3" spans="1:7" ht="15" thickBot="1" x14ac:dyDescent="0.4">
      <c r="A3" s="133"/>
      <c r="B3" s="134"/>
      <c r="C3" s="133"/>
      <c r="D3" s="80" t="s">
        <v>441</v>
      </c>
      <c r="E3" s="80"/>
      <c r="F3" s="80" t="s">
        <v>442</v>
      </c>
      <c r="G3" s="80"/>
    </row>
    <row r="4" spans="1:7" ht="26.5" thickBot="1" x14ac:dyDescent="0.4">
      <c r="A4" s="85" t="s">
        <v>443</v>
      </c>
      <c r="B4" s="77">
        <v>0.12078272604588394</v>
      </c>
      <c r="C4" s="83" t="s">
        <v>134</v>
      </c>
      <c r="D4" s="48">
        <v>4</v>
      </c>
      <c r="E4" s="88">
        <f>B4*D4</f>
        <v>0.48313090418353577</v>
      </c>
      <c r="F4" s="48">
        <v>4.4000000000000004</v>
      </c>
      <c r="G4" s="88">
        <f>B4*F4</f>
        <v>0.5314439946018894</v>
      </c>
    </row>
    <row r="5" spans="1:7" ht="15" thickBot="1" x14ac:dyDescent="0.4">
      <c r="A5" s="85" t="s">
        <v>444</v>
      </c>
      <c r="B5" s="77">
        <v>0.12415654520917679</v>
      </c>
      <c r="C5" s="84" t="s">
        <v>134</v>
      </c>
      <c r="D5" s="48">
        <v>4.5999999999999996</v>
      </c>
      <c r="E5" s="88">
        <f t="shared" ref="E5:E15" si="0">B5*D5</f>
        <v>0.57112010796221324</v>
      </c>
      <c r="F5" s="51">
        <v>4</v>
      </c>
      <c r="G5" s="88">
        <f t="shared" ref="G5:G15" si="1">B5*F5</f>
        <v>0.49662618083670718</v>
      </c>
    </row>
    <row r="6" spans="1:7" ht="15" thickBot="1" x14ac:dyDescent="0.4">
      <c r="A6" s="85" t="s">
        <v>445</v>
      </c>
      <c r="B6" s="77">
        <v>0.11673414304993253</v>
      </c>
      <c r="C6" s="84" t="s">
        <v>134</v>
      </c>
      <c r="D6" s="48">
        <v>4.7</v>
      </c>
      <c r="E6" s="88">
        <f t="shared" si="0"/>
        <v>0.54865047233468289</v>
      </c>
      <c r="F6" s="48">
        <v>4.2</v>
      </c>
      <c r="G6" s="88">
        <f t="shared" si="1"/>
        <v>0.49028340080971666</v>
      </c>
    </row>
    <row r="7" spans="1:7" ht="15" thickBot="1" x14ac:dyDescent="0.4">
      <c r="A7" s="85" t="s">
        <v>446</v>
      </c>
      <c r="B7" s="77">
        <v>0.10796221322537113</v>
      </c>
      <c r="C7" s="84" t="s">
        <v>134</v>
      </c>
      <c r="D7" s="48">
        <v>4.8</v>
      </c>
      <c r="E7" s="88">
        <f t="shared" si="0"/>
        <v>0.51821862348178138</v>
      </c>
      <c r="F7" s="51">
        <v>4</v>
      </c>
      <c r="G7" s="88">
        <f t="shared" si="1"/>
        <v>0.4318488529014845</v>
      </c>
    </row>
    <row r="8" spans="1:7" ht="15" customHeight="1" thickBot="1" x14ac:dyDescent="0.4">
      <c r="A8" s="85" t="s">
        <v>447</v>
      </c>
      <c r="B8" s="77">
        <v>6.7476383265856948E-2</v>
      </c>
      <c r="C8" s="84" t="s">
        <v>134</v>
      </c>
      <c r="D8" s="48">
        <v>4.3</v>
      </c>
      <c r="E8" s="88">
        <f t="shared" si="0"/>
        <v>0.29014844804318485</v>
      </c>
      <c r="F8" s="48">
        <v>4.2</v>
      </c>
      <c r="G8" s="88">
        <f t="shared" si="1"/>
        <v>0.2834008097165992</v>
      </c>
    </row>
    <row r="9" spans="1:7" ht="15" thickBot="1" x14ac:dyDescent="0.4">
      <c r="A9" s="85" t="s">
        <v>448</v>
      </c>
      <c r="B9" s="77">
        <v>7.28744939271255E-2</v>
      </c>
      <c r="C9" s="84" t="s">
        <v>134</v>
      </c>
      <c r="D9" s="86">
        <v>5</v>
      </c>
      <c r="E9" s="88">
        <f t="shared" si="0"/>
        <v>0.36437246963562753</v>
      </c>
      <c r="F9" s="53">
        <v>4</v>
      </c>
      <c r="G9" s="88">
        <f t="shared" si="1"/>
        <v>0.291497975708502</v>
      </c>
    </row>
    <row r="10" spans="1:7" ht="15" thickBot="1" x14ac:dyDescent="0.4">
      <c r="A10" s="85" t="s">
        <v>449</v>
      </c>
      <c r="B10" s="77">
        <v>0.10593792172739541</v>
      </c>
      <c r="C10" s="84" t="s">
        <v>134</v>
      </c>
      <c r="D10" s="86">
        <v>4.5</v>
      </c>
      <c r="E10" s="88">
        <f t="shared" si="0"/>
        <v>0.47672064777327938</v>
      </c>
      <c r="F10" s="53">
        <v>4</v>
      </c>
      <c r="G10" s="88">
        <f t="shared" si="1"/>
        <v>0.42375168690958165</v>
      </c>
    </row>
    <row r="11" spans="1:7" ht="39.5" thickBot="1" x14ac:dyDescent="0.4">
      <c r="A11" s="85" t="s">
        <v>450</v>
      </c>
      <c r="B11" s="77">
        <v>4.7908232118758436E-2</v>
      </c>
      <c r="C11" s="84" t="s">
        <v>134</v>
      </c>
      <c r="D11" s="86">
        <v>4.5</v>
      </c>
      <c r="E11" s="88">
        <f t="shared" si="0"/>
        <v>0.21558704453441296</v>
      </c>
      <c r="F11" s="48">
        <v>3.4</v>
      </c>
      <c r="G11" s="88">
        <f t="shared" si="1"/>
        <v>0.16288798920377867</v>
      </c>
    </row>
    <row r="12" spans="1:7" ht="15" thickBot="1" x14ac:dyDescent="0.4">
      <c r="A12" s="85" t="s">
        <v>451</v>
      </c>
      <c r="B12" s="77">
        <v>6.4102564102564097E-2</v>
      </c>
      <c r="C12" s="84" t="s">
        <v>134</v>
      </c>
      <c r="D12" s="86">
        <v>4.8</v>
      </c>
      <c r="E12" s="88">
        <f t="shared" si="0"/>
        <v>0.30769230769230765</v>
      </c>
      <c r="F12" s="48">
        <v>4.0999999999999996</v>
      </c>
      <c r="G12" s="88">
        <f t="shared" si="1"/>
        <v>0.26282051282051277</v>
      </c>
    </row>
    <row r="13" spans="1:7" ht="15" thickBot="1" x14ac:dyDescent="0.4">
      <c r="A13" s="85" t="s">
        <v>452</v>
      </c>
      <c r="B13" s="77">
        <v>6.8825910931174086E-2</v>
      </c>
      <c r="C13" s="84" t="s">
        <v>134</v>
      </c>
      <c r="D13" s="86">
        <v>5</v>
      </c>
      <c r="E13" s="88">
        <f t="shared" si="0"/>
        <v>0.34412955465587042</v>
      </c>
      <c r="F13" s="51">
        <v>4</v>
      </c>
      <c r="G13" s="88">
        <f t="shared" si="1"/>
        <v>0.27530364372469635</v>
      </c>
    </row>
    <row r="14" spans="1:7" ht="26.5" thickBot="1" x14ac:dyDescent="0.4">
      <c r="A14" s="85" t="s">
        <v>453</v>
      </c>
      <c r="B14" s="77">
        <v>6.6801619433198386E-2</v>
      </c>
      <c r="C14" s="84" t="s">
        <v>134</v>
      </c>
      <c r="D14" s="86">
        <v>5</v>
      </c>
      <c r="E14" s="88">
        <f t="shared" si="0"/>
        <v>0.33400809716599195</v>
      </c>
      <c r="F14" s="51">
        <v>3.9</v>
      </c>
      <c r="G14" s="88">
        <f t="shared" si="1"/>
        <v>0.26052631578947372</v>
      </c>
    </row>
    <row r="15" spans="1:7" ht="15" thickBot="1" x14ac:dyDescent="0.4">
      <c r="A15" s="85" t="s">
        <v>454</v>
      </c>
      <c r="B15" s="77">
        <v>3.643724696356275E-2</v>
      </c>
      <c r="C15" s="84" t="s">
        <v>134</v>
      </c>
      <c r="D15" s="86">
        <v>5</v>
      </c>
      <c r="E15" s="88">
        <f t="shared" si="0"/>
        <v>0.18218623481781376</v>
      </c>
      <c r="F15" s="51">
        <v>3.9</v>
      </c>
      <c r="G15" s="88">
        <f t="shared" si="1"/>
        <v>0.14210526315789473</v>
      </c>
    </row>
    <row r="16" spans="1:7" ht="15" thickBot="1" x14ac:dyDescent="0.4">
      <c r="A16" s="81" t="s">
        <v>455</v>
      </c>
      <c r="B16" s="82">
        <v>1</v>
      </c>
      <c r="C16" s="82" t="s">
        <v>134</v>
      </c>
      <c r="D16" s="87">
        <f>AVERAGE(D4:D15)</f>
        <v>4.6833333333333336</v>
      </c>
      <c r="E16" s="87">
        <f>SUM(E4:E15)</f>
        <v>4.6359649122807012</v>
      </c>
      <c r="F16" s="87">
        <f>AVERAGE(F4:F15)</f>
        <v>4.0083333333333337</v>
      </c>
      <c r="G16" s="87">
        <f>SUM(G4:G15)</f>
        <v>4.0524966261808375</v>
      </c>
    </row>
    <row r="28" ht="15" customHeight="1" x14ac:dyDescent="0.35"/>
    <row r="33" ht="15" customHeight="1" x14ac:dyDescent="0.35"/>
  </sheetData>
  <mergeCells count="3">
    <mergeCell ref="A2:A3"/>
    <mergeCell ref="B2:B3"/>
    <mergeCell ref="C2:C3"/>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B94C6C-908A-4E6E-AC74-3468B52AF31C}">
  <ds:schemaRefs>
    <ds:schemaRef ds:uri="http://schemas.microsoft.com/office/2006/documentManagement/types"/>
    <ds:schemaRef ds:uri="http://www.w3.org/XML/1998/namespace"/>
    <ds:schemaRef ds:uri="1d885472-1b03-4c27-abea-e0b86428d9b9"/>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http://schemas.microsoft.com/office/infopath/2007/PartnerControls"/>
    <ds:schemaRef ds:uri="2d6b6581-d0cd-4f64-a2b3-c7ef1a89b301"/>
  </ds:schemaRefs>
</ds:datastoreItem>
</file>

<file path=customXml/itemProps2.xml><?xml version="1.0" encoding="utf-8"?>
<ds:datastoreItem xmlns:ds="http://schemas.openxmlformats.org/officeDocument/2006/customXml" ds:itemID="{7FFC1C21-7951-4C49-B1CB-FBE7C80CCE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885472-1b03-4c27-abea-e0b86428d9b9"/>
    <ds:schemaRef ds:uri="2d6b6581-d0cd-4f64-a2b3-c7ef1a89b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F1C03B-1539-4A05-8D32-69B8B46855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22</vt:i4>
      </vt:variant>
    </vt:vector>
  </HeadingPairs>
  <TitlesOfParts>
    <vt:vector size="41" baseType="lpstr">
      <vt:lpstr>FACTORES</vt:lpstr>
      <vt:lpstr>PEP</vt:lpstr>
      <vt:lpstr>EST</vt:lpstr>
      <vt:lpstr>DOC</vt:lpstr>
      <vt:lpstr>FAC 5</vt:lpstr>
      <vt:lpstr>FAC 6</vt:lpstr>
      <vt:lpstr>FAC 7</vt:lpstr>
      <vt:lpstr>FAC 8</vt:lpstr>
      <vt:lpstr>FAC 9</vt:lpstr>
      <vt:lpstr>FAC 10</vt:lpstr>
      <vt:lpstr>FAC 11</vt:lpstr>
      <vt:lpstr>FAC 12</vt:lpstr>
      <vt:lpstr>Graficos</vt:lpstr>
      <vt:lpstr>Ponderacion</vt:lpstr>
      <vt:lpstr>Hoja2</vt:lpstr>
      <vt:lpstr>anterior</vt:lpstr>
      <vt:lpstr>Hoja5</vt:lpstr>
      <vt:lpstr>Hoja1</vt:lpstr>
      <vt:lpstr>Hoja3</vt:lpstr>
      <vt:lpstr>Ponderacion!_Hlk137488061</vt:lpstr>
      <vt:lpstr>anterior!_Toc474160443</vt:lpstr>
      <vt:lpstr>anterior!_Toc474160444</vt:lpstr>
      <vt:lpstr>anterior!_Toc9345829</vt:lpstr>
      <vt:lpstr>anterior!_Toc9345832</vt:lpstr>
      <vt:lpstr>anterior!_Toc9345835</vt:lpstr>
      <vt:lpstr>anterior!_Toc9345838</vt:lpstr>
      <vt:lpstr>anterior!_Toc9345841</vt:lpstr>
      <vt:lpstr>anterior!_Toc9345844</vt:lpstr>
      <vt:lpstr>anterior!_Toc9345847</vt:lpstr>
      <vt:lpstr>anterior!_Toc9345850</vt:lpstr>
      <vt:lpstr>anterior!_Toc9345853</vt:lpstr>
      <vt:lpstr>anterior!_Toc9345856</vt:lpstr>
      <vt:lpstr>anterior!_Toc9348702</vt:lpstr>
      <vt:lpstr>anterior!_Toc9348705</vt:lpstr>
      <vt:lpstr>anterior!_Toc9348706</vt:lpstr>
      <vt:lpstr>anterior!_Toc9348707</vt:lpstr>
      <vt:lpstr>anterior!_Toc9348708</vt:lpstr>
      <vt:lpstr>anterior!_Toc9348709</vt:lpstr>
      <vt:lpstr>anterior!_Toc9348710</vt:lpstr>
      <vt:lpstr>anterior!_Toc9348711</vt:lpstr>
      <vt:lpstr>anterior!_Toc9348712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2025-04-22T14:50:53Z</dcterms:created>
  <dcterms:modified xsi:type="dcterms:W3CDTF">2025-11-17T04:34:34Z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