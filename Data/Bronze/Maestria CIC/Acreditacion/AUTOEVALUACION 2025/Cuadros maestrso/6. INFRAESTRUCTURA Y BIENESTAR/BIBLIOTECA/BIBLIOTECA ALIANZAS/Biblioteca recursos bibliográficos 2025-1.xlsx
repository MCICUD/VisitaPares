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18"/>
  <workbookPr/>
  <mc:AlternateContent xmlns:mc="http://schemas.openxmlformats.org/markup-compatibility/2006">
    <mc:Choice Requires="x15">
      <x15ac:absPath xmlns:x15ac="http://schemas.microsoft.com/office/spreadsheetml/2010/11/ac" url="C:\Users\norcl\OneDrive\Documentos\2025\UNIVERSIDAD DISTRITAL\30.6 Acreditación\Oficina Curriculo y Calidad\Solicitud Actualizacion 2025-I\"/>
    </mc:Choice>
  </mc:AlternateContent>
  <xr:revisionPtr revIDLastSave="0" documentId="11_A6B695C9595BEE15759FB902139AB6EE4588BA08" xr6:coauthVersionLast="47" xr6:coauthVersionMax="47" xr10:uidLastSave="{00000000-0000-0000-0000-000000000000}"/>
  <bookViews>
    <workbookView xWindow="0" yWindow="0" windowWidth="16815" windowHeight="7020" tabRatio="853" xr2:uid="{00000000-000D-0000-FFFF-FFFF00000000}"/>
  </bookViews>
  <sheets>
    <sheet name="Contenido" sheetId="10" r:id="rId1"/>
    <sheet name="a. Colecciones_bibliogáficas" sheetId="1" r:id="rId2"/>
    <sheet name="b. Colección_impresa_ubicación" sheetId="2" r:id="rId3"/>
    <sheet name="c. Biblioteca_digital_BDIGITAL" sheetId="3" r:id="rId4"/>
    <sheet name="d.Colección_digital_RIUD" sheetId="9" r:id="rId5"/>
  </sheets>
  <definedNames>
    <definedName name="_xlnm._FilterDatabase" localSheetId="3" hidden="1">'c. Biblioteca_digital_BDIGITAL'!$B$26:$K$123</definedName>
  </definedNames>
  <calcPr calcId="162913"/>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hE4XfZpkKSqO1/TUMcpWE9hKLFpw=="/>
    </ext>
  </extLst>
</workbook>
</file>

<file path=xl/calcChain.xml><?xml version="1.0" encoding="utf-8"?>
<calcChain xmlns="http://schemas.openxmlformats.org/spreadsheetml/2006/main">
  <c r="K32" i="1" l="1"/>
  <c r="D18" i="2"/>
  <c r="E18" i="2"/>
  <c r="F18" i="2"/>
  <c r="G18" i="2"/>
  <c r="H18" i="2"/>
  <c r="I18" i="2"/>
  <c r="J18" i="2"/>
  <c r="K18" i="2"/>
  <c r="C18" i="2"/>
  <c r="P13" i="2"/>
  <c r="P14" i="2"/>
  <c r="P15" i="2"/>
  <c r="P16" i="2"/>
  <c r="P17" i="2"/>
  <c r="P18" i="2"/>
  <c r="P12" i="2"/>
  <c r="K19" i="1"/>
  <c r="N12" i="2"/>
  <c r="K40" i="1" l="1"/>
  <c r="J11" i="9" l="1"/>
  <c r="H11" i="9" l="1"/>
  <c r="N18" i="2" l="1"/>
  <c r="L18" i="2"/>
  <c r="E40" i="1"/>
  <c r="F40" i="1"/>
  <c r="G40" i="1"/>
  <c r="H40" i="1"/>
  <c r="I40" i="1"/>
  <c r="D40" i="1"/>
  <c r="E32" i="1"/>
  <c r="F32" i="1"/>
  <c r="G32" i="1"/>
  <c r="H32" i="1"/>
  <c r="D32" i="1"/>
  <c r="J19" i="1" l="1"/>
  <c r="J40" i="1" s="1"/>
  <c r="J13" i="1"/>
  <c r="J17" i="1"/>
  <c r="K17" i="1" s="1"/>
  <c r="J18" i="1"/>
  <c r="O18" i="2"/>
  <c r="M18" i="2"/>
  <c r="C19" i="2" l="1"/>
  <c r="I39" i="1"/>
  <c r="I17" i="1"/>
  <c r="I32" i="1" s="1"/>
  <c r="G19" i="2" l="1"/>
  <c r="K19" i="2"/>
  <c r="O19" i="2"/>
  <c r="D19" i="2"/>
  <c r="H19" i="2"/>
  <c r="L19" i="2"/>
  <c r="P19" i="2"/>
  <c r="E19" i="2"/>
  <c r="I19" i="2"/>
  <c r="M19" i="2"/>
  <c r="F19" i="2"/>
  <c r="J19" i="2"/>
  <c r="N19" i="2"/>
  <c r="E10" i="3" l="1"/>
  <c r="J32" i="1" l="1"/>
</calcChain>
</file>

<file path=xl/sharedStrings.xml><?xml version="1.0" encoding="utf-8"?>
<sst xmlns="http://schemas.openxmlformats.org/spreadsheetml/2006/main" count="709" uniqueCount="285">
  <si>
    <t>UNIDAD DE BIBLIOTECA</t>
  </si>
  <si>
    <t xml:space="preserve">BIBLIOTECA RECURSOS BIBLIOGRÁFICOS </t>
  </si>
  <si>
    <t>Contenido</t>
  </si>
  <si>
    <t>UNIVERSIDAD DISTRITAL FRANCISCO JOSÉ DE CALDAS</t>
  </si>
  <si>
    <t xml:space="preserve">RECURSOS BIBLIOGRÁFICOS </t>
  </si>
  <si>
    <t>INFORMACIÓN GENERAL COLECCIONES BIBLIOGRÁFICAS UNIDAD BIBLIOTECA (En ejemplares)</t>
  </si>
  <si>
    <t>Consulta BDIGITAL en:</t>
  </si>
  <si>
    <t>https://bibliotecas.udistrital.edu.co/ud/bdigital2/subjects/index.php</t>
  </si>
  <si>
    <t>Consulta catalogo en línea en:</t>
  </si>
  <si>
    <t>https://research.ebsco.com/c/2gsfcu/search/results?autocorrect=y&amp;q=ingenieria</t>
  </si>
  <si>
    <t>http://biblioteca.udistrital.edu.co/F?RN=927836072</t>
  </si>
  <si>
    <t>Consulta RIUD en:</t>
  </si>
  <si>
    <t>https://repository.udistrital.edu.co/home</t>
  </si>
  <si>
    <t>COLECCIÓN BIBLIOGRAFICA EN EJEMPLARES DISPONIBLE</t>
  </si>
  <si>
    <t>N°</t>
  </si>
  <si>
    <t xml:space="preserve">Tipo de recurso </t>
  </si>
  <si>
    <t>Ubicación (sede, unidad académica)</t>
  </si>
  <si>
    <t>Descripción (Incluya las características de los recursos )</t>
  </si>
  <si>
    <t xml:space="preserve">Unidad académica que presta el servicio </t>
  </si>
  <si>
    <t xml:space="preserve">Colección general </t>
  </si>
  <si>
    <t>Todas las Bibliotecas</t>
  </si>
  <si>
    <t>Compuesta por los diferentes libros, monografías, ensayos, antologías informes, investigaciones manuales, y todos aquellos que apoyen los programas de enseñanza aprendizaje. Además, todos aquellos materiales bibliográficos que sean de interés académico y general.</t>
  </si>
  <si>
    <t>Todas las Bibliotecas - Incluyen todas las Facultades</t>
  </si>
  <si>
    <t>Colección de referencia</t>
  </si>
  <si>
    <t>Constituida por las obras de información que, por sus objetivos, características y contenido, permiten obtener información de manera ágil y rápida, tales como: Enciclopedias, Diccionarios, Guías, Anuarios, Atlas, Bibliografías, Manuales y Compendios.</t>
  </si>
  <si>
    <t>Colección de reserva</t>
  </si>
  <si>
    <t>Conformada por los ejemplares seleccionados de la colección general, que por su alto nivel de rotación requieren un tiempo de préstamo especial,  a fin de garantizar la disponibilidad de la información para el usuario</t>
  </si>
  <si>
    <t>Colección multimedia (Videos, DVD,CD)</t>
  </si>
  <si>
    <t>Los materiales de los formatos: Casetes de audio, Casetes de video, Diapositivas, Discos de acetato, Discos compactos, Juegos, Pruebas de psicología, Mapas (no publicados en formato de libro), Microfichas (reproducción de las tesis), Planos, Rompecabezas, Videodiscos., Blu-ray y videojuegos</t>
  </si>
  <si>
    <t>Colección hemerográfica (Publicaciones periódicas - Seriadas)</t>
  </si>
  <si>
    <t>Bibliotecas: Ingeniería, Paiba, Asab, Posgrados, Vivero.</t>
  </si>
  <si>
    <t>Revistas, periódicos, boletines, publicaciones anuales (informes, anuarios, directorios, etc.), memorias de sociedades, actas de congresos periódicos, transacciones.</t>
  </si>
  <si>
    <t>Colección Trabajos de grado (Impreso)</t>
  </si>
  <si>
    <t>Biblioteca Heliodoro Sanchéz Paez - Sede Porvenir</t>
  </si>
  <si>
    <t>Incluye los trabajos presentados como requisito de grado de los estudiantes de los programas académicos del nivel pregrado, maestría y doctorado de la Universidad. Esta colección se encuentra en varios formatos, los ejemplares físicos (impreso,  digital)</t>
  </si>
  <si>
    <t>Tesis y Disertaciones  - Trabajos de grado (digital)- RIUD</t>
  </si>
  <si>
    <t>Digital Repositorio Institucional</t>
  </si>
  <si>
    <t>Colección de carácter académico con reconocimiento nacional o internacional, de los resultados de procesos de investigación, docencia o extensión,  virtual o electrónica.</t>
  </si>
  <si>
    <t>Todas las Bibliotecas - Digital</t>
  </si>
  <si>
    <t>Colección Memoria Institucional</t>
  </si>
  <si>
    <t>Colección de carácter académico con reconocimiento nacional o internacional, de los resultados de procesos de investigación, docencia o extensión,Diversidad de libros, monografías, realizados por los Docentes , Investigados de la Universidad Distrital</t>
  </si>
  <si>
    <t>Archivo Sonoro Antonio Cuellar</t>
  </si>
  <si>
    <t>Centro de Documentación de Artes</t>
  </si>
  <si>
    <t>Coleccion Antanas Mockus</t>
  </si>
  <si>
    <t>Biblioteca Ramón D´Luyz Nieto - Sede Aduanilla de Paiba</t>
  </si>
  <si>
    <t> </t>
  </si>
  <si>
    <t>Coleccion Corporación Nacional de Investigación y Fomento Forestal</t>
  </si>
  <si>
    <t>Facultad Medio Ambiente y Recursos Naturales</t>
  </si>
  <si>
    <t>Coleccion de literatura</t>
  </si>
  <si>
    <t>Bases de datos suscritas</t>
  </si>
  <si>
    <t>Todas las Bibliotecas - Biblioteca Digital</t>
  </si>
  <si>
    <t>En los recursos electrónicos cuenta con libros, publicaciones seriadas, material audiovisual, memoria institucional</t>
  </si>
  <si>
    <t xml:space="preserve">Bases de datos en acceso abierto </t>
  </si>
  <si>
    <t>Otros recursos bibliográficos Propios</t>
  </si>
  <si>
    <t>Repositorio RIUD, Catalogo en línea, Libguides, Descubridor, Herbario, Revistas Institucionales, Repositorio de datos REDI</t>
  </si>
  <si>
    <t>Colección digital Libros Electrónicos en Línea</t>
  </si>
  <si>
    <t>Colección de libro electrónico a perpetuidad es la versión digitalizada de un libro que se publica justamente en la world wide web o en cualquier otro tipo de formato electrónico. Vale mencionar que también se lo puede denominar como libro digital, ciberlibro, e-book, ecolibro y asimismo se denomina como libro electrónico al dispositivo que se emplea para leer este tipo de libros.</t>
  </si>
  <si>
    <t>Colecciones especiales patrimoniales - Repositorio Institucional (digital)</t>
  </si>
  <si>
    <t>Producción Editorial (digital)</t>
  </si>
  <si>
    <t>Colecciones científicas (digital)</t>
  </si>
  <si>
    <t>Colección de caracter científico de la Universidad Distrital que alberga recursos bibliográficos creados apartir de procesos de investigación y que son patrimonino natural de la nación.</t>
  </si>
  <si>
    <t>TOTAL</t>
  </si>
  <si>
    <r>
      <rPr>
        <sz val="10"/>
        <color rgb="FF000000"/>
        <rFont val="Arial Narrow"/>
      </rPr>
      <t xml:space="preserve">* </t>
    </r>
    <r>
      <rPr>
        <b/>
        <sz val="10"/>
        <color rgb="FF000000"/>
        <rFont val="Arial Narrow"/>
      </rPr>
      <t xml:space="preserve">Fuente: </t>
    </r>
    <r>
      <rPr>
        <sz val="10"/>
        <color rgb="FF000000"/>
        <rFont val="Arial Narrow"/>
      </rPr>
      <t xml:space="preserve">Datos del Sistema de Biblioteca ARC - SIB. </t>
    </r>
    <r>
      <rPr>
        <b/>
        <sz val="10"/>
        <color rgb="FF000000"/>
        <rFont val="Arial Narrow"/>
      </rPr>
      <t>Fecha de reporte: 30/07/2025</t>
    </r>
    <r>
      <rPr>
        <sz val="10"/>
        <color rgb="FF000000"/>
        <rFont val="Arial Narrow"/>
      </rPr>
      <t>. Las Colecciones de material bibliográfico en el Sistema de Biblioteca estan catalogadas por Area de conocimiento (000 Temas generales, 100 Filosofía, 200 religión, 300 Ciencias sociales, 400 Lingüística, 600 ciencias aplicadas, 700 Artes, 800 Literatura, 900 Historia y geografía). Las colecciones de referencia y reserva disminuyen por ser reubicadas en  colección general 2022.</t>
    </r>
  </si>
  <si>
    <t>Los datos de la colección por año son consolidados en el tiempo.
En la vigencia 2025 por actualización en sistema de informción bibliográfico las colecciones y alineados con las políticas de gestión de colecciones se actualiza: Colección literatura, colección Antana Mockus, Coleccion Corporación Nacional de Investigación y Fomento Forestalcolección referencia, colección de reserva, colección partituras. los ejemplares se trasladaron a colección general. Por tanto, los nombres de dichas colecciones no estaran más disponibles.</t>
  </si>
  <si>
    <t>Colección Bibliográfica en títulos Sistema de información bibliográfico SIB</t>
  </si>
  <si>
    <t>Títulos Colección Bibliográfica sistema de información bibliográfico SIB</t>
  </si>
  <si>
    <t>Títulos colección digital</t>
  </si>
  <si>
    <t>Fuente: SIB 30/07/2025. Los títulos son acumulados por vigencia</t>
  </si>
  <si>
    <t>RECURSOS BIBLIOGRÁFICOS IMPRESOS</t>
  </si>
  <si>
    <t>COLECCIONES BIBLIOGRÁFICAS IMPRESA EN EJEMPLARES POR FACULTAD POR UBICACIÓN</t>
  </si>
  <si>
    <t>BIBLIOTECAS (UBICACIÓN)</t>
  </si>
  <si>
    <t>FACULTAD DE CIENCIAS Y EDUCACIÓN</t>
  </si>
  <si>
    <t>FACULTAD TECNOLOGICA</t>
  </si>
  <si>
    <t>ARTES</t>
  </si>
  <si>
    <t>FACULTAD DE INGENIERIA</t>
  </si>
  <si>
    <t>FACULTAD MEDIO AMBIENTE Y RECURSOS NATURALES</t>
  </si>
  <si>
    <t>FACULTAD DE MATEMATICAS Y NATURALES</t>
  </si>
  <si>
    <t>INSTITUTO DE LENGUAS DE LA UD</t>
  </si>
  <si>
    <t>PAIBA RAMON DLUYZ NIETO</t>
  </si>
  <si>
    <t>CENT. DOC. SOCIALES</t>
  </si>
  <si>
    <t>MACARENA B</t>
  </si>
  <si>
    <t>MACARENA A</t>
  </si>
  <si>
    <t>TECNOLOGICA</t>
  </si>
  <si>
    <t>ACADEMIA SUPERIOR DE ARTES</t>
  </si>
  <si>
    <t>CENT. DOC. DE LAS ARTES ASAB</t>
  </si>
  <si>
    <t>INGENIERÍA</t>
  </si>
  <si>
    <t>VIVERO</t>
  </si>
  <si>
    <t>PORVENIR</t>
  </si>
  <si>
    <t>HERBARIO FORESTAL</t>
  </si>
  <si>
    <t>POSGRADOS EN EDUCACION</t>
  </si>
  <si>
    <t>Coleccion general</t>
  </si>
  <si>
    <t>Colección Multimedia</t>
  </si>
  <si>
    <t>Colección Hemeroteca</t>
  </si>
  <si>
    <t>Coleccion de trabajos de grado</t>
  </si>
  <si>
    <t>Fondo Archivo Sonoro Antonio Cuellar</t>
  </si>
  <si>
    <t xml:space="preserve">PART % COLECCIÓN </t>
  </si>
  <si>
    <r>
      <rPr>
        <sz val="10"/>
        <color rgb="FF000000"/>
        <rFont val="Arial Narrow"/>
      </rPr>
      <t xml:space="preserve">* </t>
    </r>
    <r>
      <rPr>
        <b/>
        <sz val="10"/>
        <color rgb="FF000000"/>
        <rFont val="Arial Narrow"/>
      </rPr>
      <t>Fuente:</t>
    </r>
    <r>
      <rPr>
        <sz val="10"/>
        <color rgb="FF000000"/>
        <rFont val="Arial Narrow"/>
      </rPr>
      <t xml:space="preserve"> Datos del Sistema de Biblioteca ARC - SIB. </t>
    </r>
    <r>
      <rPr>
        <b/>
        <sz val="10"/>
        <color rgb="FF000000"/>
        <rFont val="Arial Narrow"/>
      </rPr>
      <t>Fecha de reporte</t>
    </r>
    <r>
      <rPr>
        <sz val="10"/>
        <color rgb="FF000000"/>
        <rFont val="Arial Narrow"/>
      </rPr>
      <t>: 30/07/2025 Las Colecciones de material bibliográfico en el Sistema de Biblioteca estan catalogadas por Área de conocimiento (000 Temas generales, 100 Filosofía, 200 religión, 300 Ciencias sociales, 400 Lingüística, 600 ciencias aplicadas, 700 Artes, 800 Literatura, 900 Historia y geografía). Esta información se consulta en OPAC - Catalogo en Línea - RIUD Repositorio Institucional - BDIGITAL Bases de datos.
* Para el 2025 la colección de trabajos de grado impreso se reubico en Biblioteca Porvenir y Biblioteca Aduanilla de Paiba y no se encuentra disponible en SIB por proyecto de preservación.
En la vigencia 2025 por actualización en sistema de informción bibliográfico las colecciones y alineados con las políticas de gestión de colecciones se actualiza: Colección literatura, colección Antana Mockus, Coleccion Corporación Nacional de Investigación y Fomento Forestalcolección referencia, colección de reserva, colección partituras. los ejemplares se trasladaron a colección general. Por tanto, los nombres de dichas colecciones no estaran más disponibles.</t>
    </r>
  </si>
  <si>
    <t>Nota: La variación en la Colección Trabajos de grado Digital Posgrados y Vivero corresponde a la reubicación de proyectos curriculares, entre sedes. La variación de la colección de referencia y reserva es la reubicación de ejemplares en la colección general.</t>
  </si>
  <si>
    <t>RECURSOS BIBLIOGRÁFICOS DIGITALES</t>
  </si>
  <si>
    <t>BASES DE DATOS - RECURSOS ELECTRÓNICOS</t>
  </si>
  <si>
    <t>TOTAL CATEGORÍAS</t>
  </si>
  <si>
    <t>TOTAL RECURSOS ACCESO ABIERTO</t>
  </si>
  <si>
    <t>TOTAL RECURSOS SUSCRITOS</t>
  </si>
  <si>
    <t>Nombre</t>
  </si>
  <si>
    <t>Descripción (Incluya las características de los recursos)</t>
  </si>
  <si>
    <t>Accesos. Bdigital</t>
  </si>
  <si>
    <t>Suscrito</t>
  </si>
  <si>
    <t>Acceso Abierto</t>
  </si>
  <si>
    <t xml:space="preserve">    Biblioteca digital -BDIGITAL</t>
  </si>
  <si>
    <t>Acceso por suscripción 
Artículos,Datos, Diccionarios enciclopedias,Gestores Bibliográficos, Herramientas de investigación, Informes Reportes, Libros, Mapas, Multimedia, Normas, Noticias, Partituras, Periodicos, Revistas.</t>
  </si>
  <si>
    <t>Biblioteca es la Dependencia encargada de Administrar las Bases de datos solicitadas por la Comunidad Académica y realizar la suscripción. Plataforma BDIGITAL</t>
  </si>
  <si>
    <t>Biblioteca Digital - BDIGITAL</t>
  </si>
  <si>
    <t>Acceso abierto 
Gestores Bibliográficos (2)
Guías (1)
Herramientas de investigación (4)
Términos (1)</t>
  </si>
  <si>
    <t xml:space="preserve">Otros recursos bibliográficos definidos por la institución </t>
  </si>
  <si>
    <t xml:space="preserve">Repositorio Insitucional RIUD </t>
  </si>
  <si>
    <t>Aplica para toda la Comunidad Académica en el Campus o fuera de él. Acceso por medio de la Plataforma Biblioteca Bdigital https://udistrital.edu.co/servicios/biblioteca/</t>
  </si>
  <si>
    <t>Repositorio Institucional de la Universidad Distrital Francisco Jose de Caldas. es una herramienta donde se depositan los objetos digitales que corresponden a la producción intelectual de la Universidad para proteger, preservar, y difundir.</t>
  </si>
  <si>
    <t>Biblioteca es la Dependencia encargada de Administrar el Repositorio Institucional de la Unviersidad Distrital Francisco José de Caldas</t>
  </si>
  <si>
    <t>X</t>
  </si>
  <si>
    <t>Buscador - Descubridor - EDS</t>
  </si>
  <si>
    <t>Es una plataforma de búsqueda y descubrimiento que permite a los usuarios encontrar recursos de información de la biblioteca, incluyendo bases de datos, libros electrónicos y revistas, a través de un único cuadro de búsqueda.</t>
  </si>
  <si>
    <t>Biblioteca es la dependencia encargada de administrar el descubridor-EDS</t>
  </si>
  <si>
    <t>Catalogo en línea_ LOCATE</t>
  </si>
  <si>
    <t xml:space="preserve">Aplica para toda la Comunidad Académica en el Campus o fuera de él. Acceso por medio de la Plataforma Biblioteca OPAC </t>
  </si>
  <si>
    <t>Catalogo en línea Sistema de Biblioteca donde se consulta todos los recursos impresos disponibles en la diferentes biblioteca. "Locate" se refiere a la solución de catálogo de acceso público en línea.</t>
  </si>
  <si>
    <t>Biblioteca es la dependencia encargada de administrar el catalogo en línea LOCATE</t>
  </si>
  <si>
    <t>https://udistrital.locate.ebsco.com/search</t>
  </si>
  <si>
    <t>Aplica para toda la Comunidad Académica en el Campus o fuera de él. Acceso por medio de la Plataforma Biblioteca Digital - Bdigital</t>
  </si>
  <si>
    <t>Biblioteca Digital definida, administrada por el Sistema de Biblioteca, alojada en el Portal Bdigital, el cual  permitió ordena los recursos electrónicos (bases de datos) en un solo lugar, a fin que el Usuario realice las búsquedas de acuerdo con sus necesidades de información tanto a Recursos Propios, Contratados, recursos en acceso abierto, igualmente se potencia el Uso de los Gestores Bibliográficos por parte de los Usuarios, como herramientas que le ayudaran a organizar la diversa información encontrada y recuperada desde los distintos recursos y/o sitios en la Internet.</t>
  </si>
  <si>
    <t>Revistas Cientificas Udistrital - OJS</t>
  </si>
  <si>
    <t xml:space="preserve">Aplica para toda la Comunidad Académica en el Campus o fuera de él. Acceso por medio de la Biblioteca Digital - Bdigital </t>
  </si>
  <si>
    <t>Portal de revistas cientificas y académicas de Acceso abierto de la Universidad Distrital</t>
  </si>
  <si>
    <t>Oficina de investigaciones ODI es la encargada de administratar el portal OJS revistas científicas</t>
  </si>
  <si>
    <t>https://revistas.udistrital.edu.co/</t>
  </si>
  <si>
    <t>Herbario Virtual</t>
  </si>
  <si>
    <t>El herbario Forestal UDBC es una Unidad Académica de la Facultad del Medio Ambiente y recursos Naturales que realiza actividades de investigación, docencia y extensión relacionadas con la flora colombiana, con especial énfasis en las especies arbóeras</t>
  </si>
  <si>
    <t>Oficina del Herbario Forestal es la encargada de administratar el portal Herbario Forestal desde la Facultad de Medio Ambiente y Recursos Naturales. El acceso se da desde el RIUD Colección científica.</t>
  </si>
  <si>
    <t>http://hdl.handle.net/11349/42615</t>
  </si>
  <si>
    <t>REDI Repositorio de Datos de Investigación Universidad Distrital Francisco José de Caldas</t>
  </si>
  <si>
    <t> es una plataforma en línea que permite a los usuarios almacenar, compartir, citar, explorar y analizar datos de investigación. Esta plataforma está diseñada no solo para almacenar datos, sino también para proporcionar herramientas que facilitan la colaboración entre investigadores y la visibilidad de sus trabajos. Es ampliamente utilizado por universidades, centros de investigación y otras instituciones académicas a nivel mundial.</t>
  </si>
  <si>
    <t>Biblioteca es la Dependencia encargada de Administrar el Repositorio de datos Institucional de la Univiersidad Distrital Francisco José de Caldas</t>
  </si>
  <si>
    <t>https://bibliotecas.udistrital.edu.co/repositorio/index.html</t>
  </si>
  <si>
    <r>
      <t>Fuente:</t>
    </r>
    <r>
      <rPr>
        <sz val="9"/>
        <color rgb="FF000000"/>
        <rFont val="Arial Narrow"/>
        <family val="2"/>
      </rPr>
      <t xml:space="preserve">Datos propios Sistema de Bibliotecas. </t>
    </r>
    <r>
      <rPr>
        <b/>
        <sz val="9"/>
        <color rgb="FF000000"/>
        <rFont val="Arial Narrow"/>
        <family val="2"/>
      </rPr>
      <t>Fecha de reporte</t>
    </r>
    <r>
      <rPr>
        <sz val="9"/>
        <color rgb="FF000000"/>
        <rFont val="Arial Narrow"/>
        <family val="2"/>
      </rPr>
      <t>: 30 de mayo de 2025. La variación de las Bases de datos suscritas corresponde a la asignación de presupuesto anual y a la variación de la TRM.</t>
    </r>
  </si>
  <si>
    <t>Consulta estadísticas ELOGIM:</t>
  </si>
  <si>
    <t>https://udistrital.elogim.com/</t>
  </si>
  <si>
    <t>RECURSO</t>
  </si>
  <si>
    <t>RECURSOS</t>
  </si>
  <si>
    <t>Recurso adquirido por suscripción 2018</t>
  </si>
  <si>
    <t>Recurso adquirido por suscripción
2019</t>
  </si>
  <si>
    <t>Recurso adquirido por suscripción
2020</t>
  </si>
  <si>
    <t>Recurso adquirido por suscripción
2021</t>
  </si>
  <si>
    <t>Recurso adquirido por suscripción
2022</t>
  </si>
  <si>
    <t>Recurso adquirido por suscripción
2023</t>
  </si>
  <si>
    <t>Recurso adquirido por suscripción
2024</t>
  </si>
  <si>
    <t>Recurso adquirido por suscripción
2025</t>
  </si>
  <si>
    <t>CONSORTIA</t>
  </si>
  <si>
    <t>SCIENCE DIRECT (Elsevier)</t>
  </si>
  <si>
    <t>x</t>
  </si>
  <si>
    <t>SCOPUS (Elsevier) (**Usos)</t>
  </si>
  <si>
    <t>OXFORD UNIVERSTY</t>
  </si>
  <si>
    <t>TAYLOR &amp; FRANCIS GROUP</t>
  </si>
  <si>
    <t>SPRINGER LINK</t>
  </si>
  <si>
    <t>SPRINGER EBOOKS (*descargas)</t>
  </si>
  <si>
    <t>SPRINGER NATURE (descargas)</t>
  </si>
  <si>
    <t>SAGE JOURNALS</t>
  </si>
  <si>
    <t>SAGE KNOWLEDGE</t>
  </si>
  <si>
    <t>SAGE Ebooks</t>
  </si>
  <si>
    <t>PASA LA PAGINA</t>
  </si>
  <si>
    <t>NEW BANKS</t>
  </si>
  <si>
    <t>PUBLICIENCIA</t>
  </si>
  <si>
    <t>ACM</t>
  </si>
  <si>
    <t>ENVIRONMENTAL</t>
  </si>
  <si>
    <t>FORESTRY</t>
  </si>
  <si>
    <t>INFOLINK</t>
  </si>
  <si>
    <t>NAXOS (**usos)</t>
  </si>
  <si>
    <t>Naxos Music Library</t>
  </si>
  <si>
    <t>Naxos Sheet Music</t>
  </si>
  <si>
    <t>E-Global Services</t>
  </si>
  <si>
    <t>AMBIENTALEX</t>
  </si>
  <si>
    <t>ICONTEC</t>
  </si>
  <si>
    <t>E-NORMAS</t>
  </si>
  <si>
    <t>PROQUEST</t>
  </si>
  <si>
    <t>ERIC PLUS</t>
  </si>
  <si>
    <t>EDUCATION COLLECTION</t>
  </si>
  <si>
    <t>DOT LIB</t>
  </si>
  <si>
    <t>SPRINGER</t>
  </si>
  <si>
    <t>JSTOR</t>
  </si>
  <si>
    <t>ITMS GROUP</t>
  </si>
  <si>
    <t>SCIENCE MAGAZINE</t>
  </si>
  <si>
    <t>IOP</t>
  </si>
  <si>
    <t>Iop Science Journal</t>
  </si>
  <si>
    <t>Iop Science Book</t>
  </si>
  <si>
    <t>PEARSON</t>
  </si>
  <si>
    <t>BIBLIOTECA VIRTUAL PEARSON</t>
  </si>
  <si>
    <t>MAGISTERIO</t>
  </si>
  <si>
    <t xml:space="preserve">BIBLIOTECA VIRTUAL MAGISTERIO  </t>
  </si>
  <si>
    <t>CENGAGE</t>
  </si>
  <si>
    <t>ACADEMIC ONE FILE</t>
  </si>
  <si>
    <t>INFORME ACADEMICO</t>
  </si>
  <si>
    <t>BRITANNICA</t>
  </si>
  <si>
    <t>Britannica Image Quest</t>
  </si>
  <si>
    <t xml:space="preserve">Britannica Academic </t>
  </si>
  <si>
    <t>Britannica Moderna</t>
  </si>
  <si>
    <t>Digitalia</t>
  </si>
  <si>
    <t>Digitalia - Digitalia Hispanica</t>
  </si>
  <si>
    <t>Thomson Reuters</t>
  </si>
  <si>
    <t>Web of Science</t>
  </si>
  <si>
    <t>InCites</t>
  </si>
  <si>
    <t>EBSCO</t>
  </si>
  <si>
    <t>IEEE</t>
  </si>
  <si>
    <t>EBSCO HOST(**usos)</t>
  </si>
  <si>
    <t>Academic Search Complete</t>
  </si>
  <si>
    <t>Business Source Complete</t>
  </si>
  <si>
    <t xml:space="preserve">Fuente Académica Premier </t>
  </si>
  <si>
    <t>Environment Complete</t>
  </si>
  <si>
    <t>SPORTDISCUSS With Full Text</t>
  </si>
  <si>
    <t>International Bibliography of Theatre &amp; Dance with Full Text</t>
  </si>
  <si>
    <t>ART SOURCE</t>
  </si>
  <si>
    <t>MUSIC INDEX</t>
  </si>
  <si>
    <t>Engineering Source</t>
  </si>
  <si>
    <t>APPLIED SCIENCE AND TECHNOLOGY SOURCE</t>
  </si>
  <si>
    <t>SCIENCE FULL TEXT</t>
  </si>
  <si>
    <t>EDUCATION SOURCE</t>
  </si>
  <si>
    <t>Green file</t>
  </si>
  <si>
    <t>RILM</t>
  </si>
  <si>
    <t>BIOLOGY ABSTRACTS</t>
  </si>
  <si>
    <t>History of Science, Technology and Medicine</t>
  </si>
  <si>
    <t>eBook Academic Collection</t>
  </si>
  <si>
    <t>Humanities Interna-tional Complete-Humanidades</t>
  </si>
  <si>
    <t>MasterFILE</t>
  </si>
  <si>
    <t>Newspaper Source</t>
  </si>
  <si>
    <t>Regional Businees News</t>
  </si>
  <si>
    <t>Emerald</t>
  </si>
  <si>
    <t>MC GRAW HILL</t>
  </si>
  <si>
    <t>McGraw-Hill Interamericana</t>
  </si>
  <si>
    <t>ALFAOMEGA</t>
  </si>
  <si>
    <t>alfaomega Icloud - Alpha Editorial Cloud</t>
  </si>
  <si>
    <t>ELSEVIER</t>
  </si>
  <si>
    <t>REAXYS</t>
  </si>
  <si>
    <t>USA LIBROS</t>
  </si>
  <si>
    <t>Ebooks digitalia</t>
  </si>
  <si>
    <t>Libros leídos</t>
  </si>
  <si>
    <t xml:space="preserve">Ejournals </t>
  </si>
  <si>
    <t>Libros prestados</t>
  </si>
  <si>
    <t>Ejournals leídos</t>
  </si>
  <si>
    <t>Documentales</t>
  </si>
  <si>
    <t>Films</t>
  </si>
  <si>
    <t>EBOOKS 7/24</t>
  </si>
  <si>
    <t>Cengage 61</t>
  </si>
  <si>
    <t>Diaz de Santos 32</t>
  </si>
  <si>
    <t>Ediciones de la U 123</t>
  </si>
  <si>
    <t>IC Editorial 53</t>
  </si>
  <si>
    <t>Pearson Educación 141</t>
  </si>
  <si>
    <t>Editorial Brujas</t>
  </si>
  <si>
    <t>Narcea</t>
  </si>
  <si>
    <t>Paraninfo</t>
  </si>
  <si>
    <t>ECOE</t>
  </si>
  <si>
    <t>Manual Moderno</t>
  </si>
  <si>
    <t>Siglo del Hombre 70</t>
  </si>
  <si>
    <t>ZENTRALBLATT</t>
  </si>
  <si>
    <t>zbMATH</t>
  </si>
  <si>
    <t>EDITORIAL MEDICA PANAMERICANA</t>
  </si>
  <si>
    <t>Eureka</t>
  </si>
  <si>
    <t>Digitalia Publishing</t>
  </si>
  <si>
    <t>Ebooks Consultados</t>
  </si>
  <si>
    <t>Libros leídos (**usos)</t>
  </si>
  <si>
    <t>Libros prestados (***descargas)</t>
  </si>
  <si>
    <t>Ejournals Consultados</t>
  </si>
  <si>
    <t>Films consultados</t>
  </si>
  <si>
    <t>Films visionados (**usos)</t>
  </si>
  <si>
    <t xml:space="preserve">Documentales mas consultados </t>
  </si>
  <si>
    <t xml:space="preserve">Documentales mas visionados </t>
  </si>
  <si>
    <t>BIOONE</t>
  </si>
  <si>
    <t>MATHSCINET</t>
  </si>
  <si>
    <t>Mathscinet</t>
  </si>
  <si>
    <t>O´REALLY</t>
  </si>
  <si>
    <t>CAS</t>
  </si>
  <si>
    <t>VIRTUAL PRO</t>
  </si>
  <si>
    <t>REPOSITORIO INSTITUCIONAL - COLECCIONES PATRIMONIALES</t>
  </si>
  <si>
    <t>COLECCIÓN DIGITAL PATRIMONIAL - REPOSITORIO INSTITUCIONAL RIUD 2018-2025</t>
  </si>
  <si>
    <t>Tesis y Disertaciones  (digital)- RIUD</t>
  </si>
  <si>
    <t>Trabajos de grado (digital)- RIUD</t>
  </si>
  <si>
    <t>Colecciones especiales patrimoniales (digital)</t>
  </si>
  <si>
    <t>Recursos Educativos Abiertos</t>
  </si>
  <si>
    <t>* Fuente: Datos del Sistema de Biblioteca RIUD Repositorio Institucional. Fecha de reporte: 30/07/2025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</si>
</sst>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64" formatCode="_(* #,##0_);_(* \(#,##0\);_(* &quot;-&quot;_);_(@_)"/>
    <numFmt numFmtId="165" formatCode="#,##0;[Red]#,##0"/>
    <numFmt numFmtId="166" formatCode="_(* #,##0_);_(* \(#,##0\);_(* &quot;-&quot;??_);_(@_)"/>
  </numFmts>
  <fonts count="24">
    <font>
      <sz val="11"/>
      <color theme="1"/>
      <name val="Calibri"/>
      <scheme val="minor"/>
    </font>
    <font>
      <sz val="11"/>
      <color theme="1"/>
      <name val="Calibri"/>
      <family val="2"/>
      <scheme val="minor"/>
    </font>
    <font>
      <sz val="11"/>
      <color theme="1"/>
      <name val="Calibri"/>
      <family val="2"/>
      <scheme val="minor"/>
    </font>
    <font>
      <sz val="10"/>
      <color theme="1"/>
      <name val="Arial Narrow"/>
      <family val="2"/>
    </font>
    <font>
      <b/>
      <sz val="10"/>
      <color theme="1"/>
      <name val="Arial Narrow"/>
      <family val="2"/>
    </font>
    <font>
      <sz val="10"/>
      <color rgb="FF000000"/>
      <name val="Arial Narrow"/>
      <family val="2"/>
    </font>
    <font>
      <b/>
      <sz val="9"/>
      <color theme="1"/>
      <name val="Arial Narrow"/>
      <family val="2"/>
    </font>
    <font>
      <sz val="9"/>
      <color theme="1"/>
      <name val="Arial Narrow"/>
      <family val="2"/>
    </font>
    <font>
      <sz val="9"/>
      <color rgb="FF000000"/>
      <name val="Arial Narrow"/>
      <family val="2"/>
    </font>
    <font>
      <sz val="9"/>
      <name val="Arial Narrow"/>
      <family val="2"/>
    </font>
    <font>
      <u/>
      <sz val="11"/>
      <color theme="10"/>
      <name val="Calibri"/>
      <family val="2"/>
      <scheme val="minor"/>
    </font>
    <font>
      <b/>
      <sz val="10"/>
      <color rgb="FF000000"/>
      <name val="Arial Narrow"/>
      <family val="2"/>
    </font>
    <font>
      <b/>
      <sz val="11"/>
      <color theme="1"/>
      <name val="Calibri"/>
      <family val="2"/>
      <scheme val="minor"/>
    </font>
    <font>
      <sz val="11"/>
      <color theme="1"/>
      <name val="Calibri"/>
      <family val="2"/>
      <scheme val="minor"/>
    </font>
    <font>
      <b/>
      <sz val="12"/>
      <color theme="1"/>
      <name val="Calibri"/>
      <family val="2"/>
      <scheme val="minor"/>
    </font>
    <font>
      <sz val="10"/>
      <name val="Arial Narrow"/>
      <family val="2"/>
    </font>
    <font>
      <b/>
      <sz val="9"/>
      <color rgb="FF000000"/>
      <name val="Arial Narrow"/>
      <family val="2"/>
    </font>
    <font>
      <u/>
      <sz val="10"/>
      <color theme="10"/>
      <name val="Arial Narrow"/>
      <family val="2"/>
    </font>
    <font>
      <u/>
      <sz val="9"/>
      <color theme="10"/>
      <name val="Arial Narrow"/>
      <family val="2"/>
    </font>
    <font>
      <u/>
      <sz val="9"/>
      <name val="Arial Narrow"/>
      <family val="2"/>
    </font>
    <font>
      <sz val="10"/>
      <color rgb="FF980000"/>
      <name val="Arial Narrow"/>
      <family val="2"/>
    </font>
    <font>
      <sz val="11"/>
      <color rgb="FF242424"/>
      <name val="Calibri"/>
      <family val="2"/>
      <scheme val="minor"/>
    </font>
    <font>
      <sz val="10"/>
      <color rgb="FF000000"/>
      <name val="Arial Narrow"/>
    </font>
    <font>
      <b/>
      <sz val="10"/>
      <color rgb="FF000000"/>
      <name val="Arial Narrow"/>
    </font>
  </fonts>
  <fills count="17">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DBE5F1"/>
      </patternFill>
    </fill>
    <fill>
      <patternFill patternType="solid">
        <fgColor theme="0" tint="-0.14999847407452621"/>
        <bgColor rgb="FFDBE5F1"/>
      </patternFill>
    </fill>
    <fill>
      <patternFill patternType="solid">
        <fgColor theme="0" tint="-4.9989318521683403E-2"/>
        <bgColor rgb="FFD8D8D8"/>
      </patternFill>
    </fill>
    <fill>
      <patternFill patternType="solid">
        <fgColor theme="0" tint="-4.9989318521683403E-2"/>
        <bgColor rgb="FFB8CCE4"/>
      </patternFill>
    </fill>
    <fill>
      <patternFill patternType="solid">
        <fgColor theme="0" tint="-4.9989318521683403E-2"/>
        <bgColor rgb="FFFFFFFF"/>
      </patternFill>
    </fill>
    <fill>
      <patternFill patternType="solid">
        <fgColor theme="0"/>
        <bgColor rgb="FFFFFFFF"/>
      </patternFill>
    </fill>
    <fill>
      <patternFill patternType="solid">
        <fgColor theme="0"/>
        <bgColor rgb="FFB8CCE4"/>
      </patternFill>
    </fill>
    <fill>
      <patternFill patternType="solid">
        <fgColor theme="0"/>
        <bgColor rgb="FFDBE5F1"/>
      </patternFill>
    </fill>
  </fills>
  <borders count="2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10" fillId="0" borderId="0" applyNumberFormat="0" applyFill="0" applyBorder="0" applyAlignment="0" applyProtection="0"/>
    <xf numFmtId="0" fontId="2" fillId="0" borderId="8"/>
    <xf numFmtId="0" fontId="10" fillId="0" borderId="8" applyNumberFormat="0" applyFill="0" applyBorder="0" applyAlignment="0" applyProtection="0"/>
    <xf numFmtId="41" fontId="13" fillId="0" borderId="0" applyFont="0" applyFill="0" applyBorder="0" applyAlignment="0" applyProtection="0"/>
    <xf numFmtId="0" fontId="13" fillId="0" borderId="8"/>
  </cellStyleXfs>
  <cellXfs count="273">
    <xf numFmtId="0" fontId="0" fillId="0" borderId="0" xfId="0"/>
    <xf numFmtId="0" fontId="3" fillId="0" borderId="0" xfId="0" applyFont="1"/>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3" fontId="3" fillId="0" borderId="0" xfId="0" applyNumberFormat="1" applyFont="1" applyAlignment="1">
      <alignment horizontal="center" vertical="center" wrapText="1"/>
    </xf>
    <xf numFmtId="0" fontId="4" fillId="0" borderId="8" xfId="0" applyFont="1" applyBorder="1" applyAlignment="1">
      <alignment horizontal="center" vertical="center" wrapText="1"/>
    </xf>
    <xf numFmtId="164" fontId="3" fillId="0" borderId="8" xfId="0" applyNumberFormat="1" applyFont="1" applyBorder="1" applyAlignment="1">
      <alignment vertical="center" wrapText="1"/>
    </xf>
    <xf numFmtId="164" fontId="3" fillId="3" borderId="8" xfId="0" applyNumberFormat="1" applyFont="1" applyFill="1" applyBorder="1" applyAlignment="1">
      <alignment vertical="center"/>
    </xf>
    <xf numFmtId="0" fontId="3" fillId="3" borderId="8" xfId="0" applyFont="1" applyFill="1" applyBorder="1" applyAlignment="1">
      <alignment horizontal="right" vertical="center" wrapText="1"/>
    </xf>
    <xf numFmtId="0" fontId="3" fillId="0" borderId="8" xfId="0" applyFont="1" applyBorder="1" applyAlignment="1">
      <alignment horizontal="center" vertical="center" wrapText="1"/>
    </xf>
    <xf numFmtId="0" fontId="3" fillId="0" borderId="8" xfId="0" applyFont="1" applyBorder="1" applyAlignment="1">
      <alignment horizontal="right" vertical="center" wrapText="1"/>
    </xf>
    <xf numFmtId="0" fontId="3" fillId="2" borderId="8" xfId="0" applyFont="1" applyFill="1" applyBorder="1"/>
    <xf numFmtId="0" fontId="4" fillId="2" borderId="8" xfId="0" applyFont="1" applyFill="1" applyBorder="1" applyAlignment="1">
      <alignment horizontal="left"/>
    </xf>
    <xf numFmtId="3" fontId="4" fillId="3" borderId="8" xfId="0" applyNumberFormat="1" applyFont="1" applyFill="1" applyBorder="1" applyAlignment="1">
      <alignment horizontal="center" vertical="center"/>
    </xf>
    <xf numFmtId="0" fontId="3" fillId="2" borderId="8" xfId="0" applyFont="1" applyFill="1" applyBorder="1" applyAlignment="1">
      <alignment horizontal="center" vertical="center" wrapText="1"/>
    </xf>
    <xf numFmtId="3" fontId="3" fillId="2" borderId="8" xfId="0" applyNumberFormat="1" applyFont="1" applyFill="1" applyBorder="1" applyAlignment="1">
      <alignment horizontal="center" vertical="center" wrapText="1"/>
    </xf>
    <xf numFmtId="0" fontId="3" fillId="0" borderId="8" xfId="0" applyFont="1" applyBorder="1"/>
    <xf numFmtId="0" fontId="3" fillId="0" borderId="7" xfId="0" applyFont="1" applyBorder="1"/>
    <xf numFmtId="0" fontId="3" fillId="0" borderId="6" xfId="0" applyFont="1" applyBorder="1" applyAlignment="1">
      <alignment horizontal="left" vertical="center" wrapText="1"/>
    </xf>
    <xf numFmtId="165" fontId="4" fillId="6" borderId="6" xfId="0" applyNumberFormat="1" applyFont="1" applyFill="1" applyBorder="1" applyAlignment="1">
      <alignment vertical="center" wrapText="1"/>
    </xf>
    <xf numFmtId="0" fontId="4" fillId="0" borderId="12" xfId="0" applyFont="1" applyBorder="1" applyAlignment="1">
      <alignment horizontal="center" vertical="center" wrapText="1"/>
    </xf>
    <xf numFmtId="0" fontId="3" fillId="0" borderId="12" xfId="0" applyFont="1" applyBorder="1" applyAlignment="1">
      <alignment horizontal="left" vertical="center" wrapText="1"/>
    </xf>
    <xf numFmtId="164" fontId="3" fillId="0" borderId="12" xfId="0" applyNumberFormat="1" applyFont="1" applyBorder="1" applyAlignment="1">
      <alignment horizontal="center" vertical="center" wrapText="1"/>
    </xf>
    <xf numFmtId="164" fontId="3" fillId="3" borderId="12" xfId="0" applyNumberFormat="1" applyFont="1" applyFill="1" applyBorder="1" applyAlignment="1">
      <alignment horizontal="center" vertical="center"/>
    </xf>
    <xf numFmtId="0" fontId="3" fillId="2" borderId="12" xfId="0" applyFont="1" applyFill="1" applyBorder="1" applyAlignment="1">
      <alignment horizontal="left" vertical="center" wrapText="1"/>
    </xf>
    <xf numFmtId="165" fontId="4" fillId="6" borderId="12" xfId="0" applyNumberFormat="1" applyFont="1" applyFill="1" applyBorder="1" applyAlignment="1">
      <alignment vertical="center" wrapText="1"/>
    </xf>
    <xf numFmtId="0" fontId="3" fillId="2" borderId="14" xfId="0" applyFont="1" applyFill="1" applyBorder="1" applyAlignment="1">
      <alignment horizontal="left" vertical="center" wrapText="1"/>
    </xf>
    <xf numFmtId="0" fontId="6" fillId="2" borderId="8" xfId="0" applyFont="1" applyFill="1" applyBorder="1" applyAlignment="1">
      <alignment horizontal="left" vertical="top" wrapText="1"/>
    </xf>
    <xf numFmtId="3" fontId="7" fillId="7" borderId="3" xfId="0" applyNumberFormat="1" applyFont="1" applyFill="1" applyBorder="1" applyAlignment="1">
      <alignment horizontal="center" vertical="top"/>
    </xf>
    <xf numFmtId="0" fontId="8" fillId="0" borderId="2" xfId="0" applyFont="1" applyBorder="1" applyAlignment="1">
      <alignment vertical="top" wrapText="1"/>
    </xf>
    <xf numFmtId="0" fontId="10" fillId="0" borderId="8" xfId="3"/>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xf>
    <xf numFmtId="0" fontId="3" fillId="0" borderId="8" xfId="0" applyFont="1" applyBorder="1" applyAlignment="1">
      <alignment horizontal="left" vertical="center" wrapText="1"/>
    </xf>
    <xf numFmtId="0" fontId="4" fillId="0" borderId="0" xfId="0" applyFont="1" applyAlignment="1">
      <alignment horizontal="center" vertical="center" wrapText="1"/>
    </xf>
    <xf numFmtId="0" fontId="13" fillId="0" borderId="8" xfId="5"/>
    <xf numFmtId="0" fontId="12" fillId="7" borderId="8" xfId="5" applyFont="1" applyFill="1"/>
    <xf numFmtId="0" fontId="12" fillId="7" borderId="8" xfId="5" applyFont="1" applyFill="1" applyAlignment="1">
      <alignment horizontal="center"/>
    </xf>
    <xf numFmtId="0" fontId="13" fillId="7" borderId="8" xfId="5" applyFill="1"/>
    <xf numFmtId="0" fontId="12" fillId="0" borderId="8" xfId="5" applyFont="1"/>
    <xf numFmtId="0" fontId="1" fillId="0" borderId="8" xfId="5" applyFont="1"/>
    <xf numFmtId="0" fontId="0" fillId="0" borderId="8" xfId="5" applyFont="1"/>
    <xf numFmtId="1" fontId="13" fillId="0" borderId="8" xfId="4" applyNumberFormat="1" applyBorder="1"/>
    <xf numFmtId="0" fontId="4" fillId="0" borderId="0" xfId="0" applyFont="1"/>
    <xf numFmtId="0" fontId="4" fillId="0" borderId="0" xfId="0" applyFont="1" applyAlignment="1">
      <alignment horizontal="center"/>
    </xf>
    <xf numFmtId="0" fontId="4" fillId="9" borderId="12" xfId="0" applyFont="1" applyFill="1" applyBorder="1" applyAlignment="1">
      <alignment horizontal="center" vertical="center" wrapText="1"/>
    </xf>
    <xf numFmtId="0" fontId="4" fillId="9" borderId="12" xfId="0" applyFont="1" applyFill="1" applyBorder="1" applyAlignment="1">
      <alignment horizontal="left" vertical="center" wrapText="1"/>
    </xf>
    <xf numFmtId="0" fontId="4" fillId="9" borderId="6" xfId="0" applyFont="1" applyFill="1" applyBorder="1" applyAlignment="1">
      <alignment horizontal="left" vertical="center" wrapText="1"/>
    </xf>
    <xf numFmtId="3" fontId="3" fillId="0" borderId="12" xfId="0" applyNumberFormat="1" applyFont="1" applyBorder="1" applyAlignment="1">
      <alignment horizontal="center" vertical="center"/>
    </xf>
    <xf numFmtId="0" fontId="3" fillId="0" borderId="12" xfId="0" applyFont="1" applyBorder="1"/>
    <xf numFmtId="3" fontId="3" fillId="0" borderId="8" xfId="0" applyNumberFormat="1" applyFont="1" applyBorder="1" applyAlignment="1">
      <alignment vertical="center"/>
    </xf>
    <xf numFmtId="165" fontId="15" fillId="0" borderId="8" xfId="0" applyNumberFormat="1" applyFont="1" applyBorder="1"/>
    <xf numFmtId="0" fontId="4" fillId="4" borderId="2" xfId="0" applyFont="1" applyFill="1" applyBorder="1" applyAlignment="1">
      <alignment horizontal="center" vertical="center"/>
    </xf>
    <xf numFmtId="0" fontId="4" fillId="6" borderId="2" xfId="0" applyFont="1" applyFill="1" applyBorder="1" applyAlignment="1">
      <alignment horizontal="center" vertical="center"/>
    </xf>
    <xf numFmtId="0" fontId="3" fillId="4" borderId="2" xfId="0" applyFont="1" applyFill="1" applyBorder="1" applyAlignment="1">
      <alignment wrapText="1"/>
    </xf>
    <xf numFmtId="0" fontId="15" fillId="0" borderId="3" xfId="0" applyFont="1" applyBorder="1" applyAlignment="1">
      <alignment vertical="center" wrapText="1"/>
    </xf>
    <xf numFmtId="3" fontId="5" fillId="0" borderId="3" xfId="0" applyNumberFormat="1" applyFont="1" applyBorder="1" applyAlignment="1">
      <alignment horizontal="center" vertical="center"/>
    </xf>
    <xf numFmtId="3" fontId="5" fillId="5" borderId="3" xfId="0" applyNumberFormat="1" applyFont="1" applyFill="1" applyBorder="1" applyAlignment="1">
      <alignment horizontal="center" vertical="center"/>
    </xf>
    <xf numFmtId="3" fontId="5" fillId="7" borderId="3" xfId="0" applyNumberFormat="1" applyFont="1" applyFill="1" applyBorder="1" applyAlignment="1">
      <alignment horizontal="center" vertical="center"/>
    </xf>
    <xf numFmtId="0" fontId="15" fillId="0" borderId="12" xfId="0" applyFont="1" applyBorder="1" applyAlignment="1">
      <alignment vertical="center"/>
    </xf>
    <xf numFmtId="3" fontId="5" fillId="0" borderId="12" xfId="0" applyNumberFormat="1" applyFont="1" applyBorder="1" applyAlignment="1">
      <alignment horizontal="center" vertical="center"/>
    </xf>
    <xf numFmtId="3" fontId="5" fillId="7" borderId="12" xfId="0" applyNumberFormat="1" applyFont="1" applyFill="1" applyBorder="1" applyAlignment="1">
      <alignment horizontal="center" vertical="center"/>
    </xf>
    <xf numFmtId="0" fontId="6" fillId="9" borderId="9" xfId="0" applyFont="1" applyFill="1" applyBorder="1" applyAlignment="1">
      <alignment vertical="center" wrapText="1"/>
    </xf>
    <xf numFmtId="0" fontId="6" fillId="9" borderId="12" xfId="0" applyFont="1" applyFill="1" applyBorder="1" applyAlignment="1">
      <alignment horizontal="center" vertical="center" wrapText="1"/>
    </xf>
    <xf numFmtId="0" fontId="6" fillId="9" borderId="14" xfId="0" applyFont="1" applyFill="1" applyBorder="1" applyAlignment="1">
      <alignment horizontal="center" vertical="center" wrapText="1"/>
    </xf>
    <xf numFmtId="3" fontId="11" fillId="8" borderId="17" xfId="0" applyNumberFormat="1" applyFont="1" applyFill="1" applyBorder="1" applyAlignment="1">
      <alignment horizontal="center" vertical="center"/>
    </xf>
    <xf numFmtId="0" fontId="4" fillId="11" borderId="14" xfId="0" applyFont="1" applyFill="1" applyBorder="1"/>
    <xf numFmtId="3" fontId="4" fillId="8" borderId="12" xfId="0" applyNumberFormat="1" applyFont="1" applyFill="1" applyBorder="1" applyAlignment="1">
      <alignment horizontal="center"/>
    </xf>
    <xf numFmtId="0" fontId="4" fillId="11" borderId="10" xfId="0" applyFont="1" applyFill="1" applyBorder="1"/>
    <xf numFmtId="10" fontId="4" fillId="8" borderId="12" xfId="0" applyNumberFormat="1" applyFont="1" applyFill="1" applyBorder="1" applyAlignment="1">
      <alignment horizontal="center"/>
    </xf>
    <xf numFmtId="0" fontId="3" fillId="0" borderId="0" xfId="0" applyFont="1" applyAlignment="1">
      <alignment horizontal="right" vertical="center"/>
    </xf>
    <xf numFmtId="0" fontId="17" fillId="0" borderId="8" xfId="3" applyFont="1" applyAlignment="1">
      <alignment vertical="center"/>
    </xf>
    <xf numFmtId="0" fontId="3" fillId="0" borderId="0" xfId="0" applyFont="1" applyAlignment="1">
      <alignment horizontal="right"/>
    </xf>
    <xf numFmtId="3" fontId="15" fillId="0" borderId="12" xfId="0" applyNumberFormat="1" applyFont="1" applyBorder="1"/>
    <xf numFmtId="3" fontId="15" fillId="0" borderId="17" xfId="0" applyNumberFormat="1" applyFont="1" applyBorder="1"/>
    <xf numFmtId="0" fontId="16" fillId="8" borderId="2" xfId="0" applyFont="1" applyFill="1" applyBorder="1" applyAlignment="1">
      <alignment horizontal="center" vertical="top" wrapText="1"/>
    </xf>
    <xf numFmtId="0" fontId="7" fillId="0" borderId="0" xfId="0" applyFont="1"/>
    <xf numFmtId="49" fontId="7" fillId="0" borderId="0" xfId="0" applyNumberFormat="1" applyFont="1" applyAlignment="1">
      <alignment vertical="top" wrapText="1"/>
    </xf>
    <xf numFmtId="49" fontId="7" fillId="0" borderId="0" xfId="0" applyNumberFormat="1" applyFont="1" applyAlignment="1">
      <alignment horizontal="left" vertical="top" wrapText="1"/>
    </xf>
    <xf numFmtId="0" fontId="7" fillId="0" borderId="0" xfId="0" applyFont="1" applyAlignment="1">
      <alignment vertical="top"/>
    </xf>
    <xf numFmtId="49" fontId="7" fillId="0" borderId="0" xfId="0" applyNumberFormat="1" applyFont="1" applyAlignment="1">
      <alignment vertical="center" wrapText="1"/>
    </xf>
    <xf numFmtId="0" fontId="7" fillId="0" borderId="0" xfId="0" applyFont="1" applyAlignment="1">
      <alignment vertical="center" wrapText="1"/>
    </xf>
    <xf numFmtId="0" fontId="7" fillId="0" borderId="0" xfId="0" applyFont="1" applyAlignment="1">
      <alignment horizontal="right" vertical="center"/>
    </xf>
    <xf numFmtId="0" fontId="18" fillId="0" borderId="8" xfId="3" applyFont="1" applyAlignment="1">
      <alignment vertical="center"/>
    </xf>
    <xf numFmtId="0" fontId="6" fillId="0" borderId="0" xfId="0" applyFont="1" applyAlignment="1">
      <alignment horizontal="center" vertical="top"/>
    </xf>
    <xf numFmtId="0" fontId="7" fillId="0" borderId="0" xfId="0" applyFont="1" applyAlignment="1">
      <alignment horizontal="right"/>
    </xf>
    <xf numFmtId="0" fontId="8" fillId="2" borderId="8" xfId="0" applyFont="1" applyFill="1" applyBorder="1" applyAlignment="1">
      <alignment horizontal="left" vertical="top"/>
    </xf>
    <xf numFmtId="0" fontId="7" fillId="0" borderId="0" xfId="0" applyFont="1" applyAlignment="1">
      <alignment horizontal="left" vertical="top"/>
    </xf>
    <xf numFmtId="0" fontId="7" fillId="2" borderId="8" xfId="0" applyFont="1" applyFill="1" applyBorder="1"/>
    <xf numFmtId="0" fontId="7" fillId="2" borderId="8" xfId="0" applyFont="1" applyFill="1" applyBorder="1" applyAlignment="1">
      <alignment vertical="top"/>
    </xf>
    <xf numFmtId="0" fontId="7" fillId="0" borderId="3" xfId="0" applyFont="1" applyBorder="1" applyAlignment="1">
      <alignment horizontal="left" vertical="top" wrapText="1"/>
    </xf>
    <xf numFmtId="0" fontId="7" fillId="0" borderId="8" xfId="0" applyFont="1" applyBorder="1"/>
    <xf numFmtId="0" fontId="16" fillId="0" borderId="8" xfId="0" applyFont="1" applyBorder="1" applyAlignment="1">
      <alignment vertical="top"/>
    </xf>
    <xf numFmtId="0" fontId="7" fillId="0" borderId="8" xfId="0" applyFont="1" applyBorder="1" applyAlignment="1">
      <alignment vertical="top"/>
    </xf>
    <xf numFmtId="0" fontId="7" fillId="0" borderId="8" xfId="0" applyFont="1" applyBorder="1" applyAlignment="1">
      <alignment horizontal="left" vertical="top"/>
    </xf>
    <xf numFmtId="0" fontId="6" fillId="12" borderId="12" xfId="0" applyFont="1" applyFill="1" applyBorder="1" applyAlignment="1">
      <alignment horizontal="left" vertical="top" wrapText="1"/>
    </xf>
    <xf numFmtId="0" fontId="6" fillId="15" borderId="8" xfId="0" applyFont="1" applyFill="1" applyBorder="1" applyAlignment="1">
      <alignment horizontal="left" vertical="top" wrapText="1"/>
    </xf>
    <xf numFmtId="0" fontId="8" fillId="0" borderId="7" xfId="0" applyFont="1" applyBorder="1" applyAlignment="1">
      <alignment vertical="top" wrapText="1"/>
    </xf>
    <xf numFmtId="3" fontId="16" fillId="7" borderId="3" xfId="0" applyNumberFormat="1" applyFont="1" applyFill="1" applyBorder="1" applyAlignment="1">
      <alignment horizontal="center" vertical="top" wrapText="1"/>
    </xf>
    <xf numFmtId="0" fontId="8" fillId="0" borderId="12" xfId="0" applyFont="1" applyBorder="1" applyAlignment="1">
      <alignment horizontal="left" vertical="top" wrapText="1"/>
    </xf>
    <xf numFmtId="0" fontId="19" fillId="0" borderId="12" xfId="1" applyFont="1" applyFill="1" applyBorder="1" applyAlignment="1">
      <alignment vertical="top" wrapText="1"/>
    </xf>
    <xf numFmtId="0" fontId="9" fillId="0" borderId="12" xfId="0" applyFont="1" applyBorder="1" applyAlignment="1">
      <alignment horizontal="left" vertical="top" wrapText="1"/>
    </xf>
    <xf numFmtId="0" fontId="7" fillId="0" borderId="12" xfId="0" applyFont="1" applyBorder="1" applyAlignment="1">
      <alignment horizontal="center" vertical="center"/>
    </xf>
    <xf numFmtId="0" fontId="6" fillId="0" borderId="12" xfId="0" applyFont="1" applyBorder="1" applyAlignment="1">
      <alignment horizontal="center" vertical="center"/>
    </xf>
    <xf numFmtId="0" fontId="9" fillId="0" borderId="12" xfId="0" applyFont="1" applyBorder="1" applyAlignment="1">
      <alignment vertical="top" wrapText="1"/>
    </xf>
    <xf numFmtId="0" fontId="8" fillId="0" borderId="12" xfId="0" applyFont="1" applyBorder="1" applyAlignment="1">
      <alignment vertical="top" wrapText="1"/>
    </xf>
    <xf numFmtId="0" fontId="7" fillId="0" borderId="17" xfId="0" applyFont="1" applyBorder="1" applyAlignment="1">
      <alignment horizontal="center" vertical="center"/>
    </xf>
    <xf numFmtId="0" fontId="16" fillId="7" borderId="3" xfId="0" applyFont="1" applyFill="1" applyBorder="1" applyAlignment="1">
      <alignment horizontal="center" vertical="top" wrapText="1"/>
    </xf>
    <xf numFmtId="0" fontId="7" fillId="0" borderId="5" xfId="0" applyFont="1" applyBorder="1" applyAlignment="1">
      <alignment horizontal="left" vertical="top" wrapText="1"/>
    </xf>
    <xf numFmtId="3" fontId="7" fillId="7" borderId="10" xfId="0" applyNumberFormat="1" applyFont="1" applyFill="1" applyBorder="1" applyAlignment="1">
      <alignment horizontal="center" vertical="top"/>
    </xf>
    <xf numFmtId="0" fontId="8" fillId="0" borderId="17" xfId="0" applyFont="1" applyBorder="1" applyAlignment="1">
      <alignment vertical="top" wrapText="1"/>
    </xf>
    <xf numFmtId="0" fontId="9" fillId="0" borderId="17" xfId="0" applyFont="1" applyBorder="1" applyAlignment="1">
      <alignment vertical="top" wrapText="1"/>
    </xf>
    <xf numFmtId="0" fontId="19" fillId="0" borderId="17" xfId="1" applyFont="1" applyFill="1" applyBorder="1" applyAlignment="1">
      <alignment vertical="top" wrapText="1"/>
    </xf>
    <xf numFmtId="0" fontId="4" fillId="3" borderId="8" xfId="0" applyFont="1" applyFill="1" applyBorder="1" applyAlignment="1">
      <alignment horizontal="center" vertical="center" wrapText="1"/>
    </xf>
    <xf numFmtId="0" fontId="4" fillId="3" borderId="8" xfId="0" applyFont="1" applyFill="1" applyBorder="1" applyAlignment="1">
      <alignment horizontal="left" vertical="center" wrapText="1"/>
    </xf>
    <xf numFmtId="3" fontId="4" fillId="3" borderId="8" xfId="0" applyNumberFormat="1" applyFont="1" applyFill="1" applyBorder="1" applyAlignment="1">
      <alignment horizontal="left" vertical="center" wrapText="1"/>
    </xf>
    <xf numFmtId="0" fontId="4" fillId="3" borderId="8" xfId="0" applyFont="1" applyFill="1" applyBorder="1" applyAlignment="1">
      <alignment vertical="center" wrapText="1"/>
    </xf>
    <xf numFmtId="0" fontId="15" fillId="5" borderId="2" xfId="0" applyFont="1" applyFill="1" applyBorder="1" applyAlignment="1">
      <alignment horizontal="left" vertical="center" wrapText="1"/>
    </xf>
    <xf numFmtId="0" fontId="15" fillId="5" borderId="2" xfId="0" applyFont="1" applyFill="1" applyBorder="1" applyAlignment="1">
      <alignment wrapText="1"/>
    </xf>
    <xf numFmtId="0" fontId="15" fillId="5" borderId="2" xfId="0" applyFont="1" applyFill="1" applyBorder="1" applyAlignment="1">
      <alignment vertical="center" wrapText="1"/>
    </xf>
    <xf numFmtId="0" fontId="15" fillId="5" borderId="2" xfId="0" applyFont="1" applyFill="1" applyBorder="1"/>
    <xf numFmtId="0" fontId="15" fillId="5" borderId="5" xfId="0" applyFont="1" applyFill="1" applyBorder="1"/>
    <xf numFmtId="0" fontId="3" fillId="0" borderId="7" xfId="0" applyFont="1" applyBorder="1" applyAlignment="1">
      <alignment horizontal="left" vertical="center"/>
    </xf>
    <xf numFmtId="0" fontId="15" fillId="5" borderId="2" xfId="0" applyFont="1" applyFill="1" applyBorder="1" applyAlignment="1">
      <alignment horizontal="left"/>
    </xf>
    <xf numFmtId="0" fontId="15" fillId="0" borderId="2" xfId="0" applyFont="1" applyBorder="1" applyAlignment="1">
      <alignment horizontal="left" vertical="center" wrapText="1"/>
    </xf>
    <xf numFmtId="0" fontId="15" fillId="3" borderId="2" xfId="0" applyFont="1" applyFill="1" applyBorder="1" applyAlignment="1">
      <alignment horizontal="left" vertical="center" wrapText="1"/>
    </xf>
    <xf numFmtId="0" fontId="3" fillId="0" borderId="9" xfId="0" applyFont="1" applyBorder="1" applyAlignment="1">
      <alignment horizontal="left" vertical="center"/>
    </xf>
    <xf numFmtId="0" fontId="15" fillId="0" borderId="2" xfId="0" applyFont="1" applyBorder="1"/>
    <xf numFmtId="166" fontId="3" fillId="0" borderId="7" xfId="0" applyNumberFormat="1" applyFont="1" applyBorder="1" applyAlignment="1">
      <alignment horizontal="center" vertical="center" wrapText="1"/>
    </xf>
    <xf numFmtId="166" fontId="5" fillId="0" borderId="7" xfId="0" applyNumberFormat="1" applyFont="1" applyBorder="1" applyAlignment="1">
      <alignment horizontal="center" vertical="center"/>
    </xf>
    <xf numFmtId="166" fontId="5" fillId="2" borderId="2" xfId="0" applyNumberFormat="1" applyFont="1" applyFill="1" applyBorder="1" applyAlignment="1">
      <alignment horizontal="center" vertical="center"/>
    </xf>
    <xf numFmtId="3" fontId="3" fillId="3" borderId="7" xfId="0" applyNumberFormat="1" applyFont="1" applyFill="1" applyBorder="1" applyAlignment="1">
      <alignment horizontal="center" vertical="center"/>
    </xf>
    <xf numFmtId="3" fontId="3" fillId="3" borderId="12" xfId="0" applyNumberFormat="1" applyFont="1" applyFill="1" applyBorder="1" applyAlignment="1">
      <alignment horizontal="center" vertical="center"/>
    </xf>
    <xf numFmtId="3" fontId="3" fillId="7" borderId="12" xfId="0" applyNumberFormat="1" applyFont="1" applyFill="1" applyBorder="1" applyAlignment="1">
      <alignment horizontal="center" vertical="center"/>
    </xf>
    <xf numFmtId="0" fontId="3" fillId="0" borderId="10" xfId="0" applyFont="1" applyBorder="1" applyAlignment="1">
      <alignment horizontal="center" vertical="center" wrapText="1"/>
    </xf>
    <xf numFmtId="166" fontId="3" fillId="0" borderId="2" xfId="0" applyNumberFormat="1" applyFont="1" applyBorder="1" applyAlignment="1">
      <alignment horizontal="center" vertical="center"/>
    </xf>
    <xf numFmtId="0" fontId="3" fillId="3" borderId="10" xfId="0" applyFont="1" applyFill="1" applyBorder="1" applyAlignment="1">
      <alignment horizontal="center" vertical="center" wrapText="1"/>
    </xf>
    <xf numFmtId="166" fontId="3" fillId="3" borderId="2"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166" fontId="3" fillId="3" borderId="7" xfId="0" applyNumberFormat="1" applyFont="1" applyFill="1" applyBorder="1" applyAlignment="1">
      <alignment horizontal="center" vertical="center"/>
    </xf>
    <xf numFmtId="166" fontId="3" fillId="2" borderId="1" xfId="0" applyNumberFormat="1" applyFont="1" applyFill="1" applyBorder="1" applyAlignment="1">
      <alignment horizontal="center" vertical="center"/>
    </xf>
    <xf numFmtId="166" fontId="5" fillId="2" borderId="7" xfId="0" applyNumberFormat="1" applyFont="1" applyFill="1" applyBorder="1" applyAlignment="1">
      <alignment horizontal="center" vertical="center"/>
    </xf>
    <xf numFmtId="166" fontId="5" fillId="2" borderId="10" xfId="0" applyNumberFormat="1" applyFont="1" applyFill="1" applyBorder="1" applyAlignment="1">
      <alignment horizontal="center" vertical="center"/>
    </xf>
    <xf numFmtId="166" fontId="5" fillId="2" borderId="5" xfId="0" applyNumberFormat="1" applyFont="1" applyFill="1" applyBorder="1" applyAlignment="1">
      <alignment horizontal="center" vertical="center"/>
    </xf>
    <xf numFmtId="166" fontId="3" fillId="2" borderId="2" xfId="0" applyNumberFormat="1" applyFont="1" applyFill="1" applyBorder="1" applyAlignment="1">
      <alignment horizontal="center" vertical="center"/>
    </xf>
    <xf numFmtId="166" fontId="3" fillId="0" borderId="2" xfId="0" applyNumberFormat="1" applyFont="1" applyBorder="1" applyAlignment="1">
      <alignment horizontal="center" vertical="center" wrapText="1"/>
    </xf>
    <xf numFmtId="0" fontId="3" fillId="0" borderId="2" xfId="0" applyFont="1" applyBorder="1" applyAlignment="1">
      <alignment horizontal="center" vertical="center"/>
    </xf>
    <xf numFmtId="0" fontId="3" fillId="2" borderId="2" xfId="0" applyFont="1" applyFill="1" applyBorder="1" applyAlignment="1">
      <alignment horizontal="center" vertical="center"/>
    </xf>
    <xf numFmtId="166" fontId="3" fillId="2" borderId="7" xfId="0" applyNumberFormat="1" applyFont="1" applyFill="1" applyBorder="1" applyAlignment="1">
      <alignment horizontal="center" vertical="center" wrapText="1"/>
    </xf>
    <xf numFmtId="3" fontId="3" fillId="2" borderId="7" xfId="0" applyNumberFormat="1" applyFont="1" applyFill="1" applyBorder="1" applyAlignment="1">
      <alignment horizontal="center" vertical="center"/>
    </xf>
    <xf numFmtId="166" fontId="3" fillId="0" borderId="9" xfId="0" applyNumberFormat="1" applyFont="1" applyBorder="1" applyAlignment="1">
      <alignment horizontal="center" vertical="center" wrapText="1"/>
    </xf>
    <xf numFmtId="166" fontId="3" fillId="0" borderId="3" xfId="0" applyNumberFormat="1" applyFont="1" applyBorder="1" applyAlignment="1">
      <alignment horizontal="center" vertical="center"/>
    </xf>
    <xf numFmtId="3" fontId="20" fillId="3" borderId="7" xfId="0" applyNumberFormat="1" applyFont="1" applyFill="1" applyBorder="1" applyAlignment="1">
      <alignment horizontal="center" vertical="center"/>
    </xf>
    <xf numFmtId="166" fontId="5" fillId="2" borderId="6" xfId="0" applyNumberFormat="1" applyFont="1" applyFill="1" applyBorder="1" applyAlignment="1">
      <alignment horizontal="center" vertical="center"/>
    </xf>
    <xf numFmtId="166" fontId="3" fillId="0" borderId="10" xfId="0" applyNumberFormat="1" applyFont="1" applyBorder="1" applyAlignment="1">
      <alignment horizontal="center" vertical="center" wrapText="1"/>
    </xf>
    <xf numFmtId="3" fontId="3" fillId="7" borderId="14" xfId="0" applyNumberFormat="1" applyFont="1" applyFill="1" applyBorder="1" applyAlignment="1">
      <alignment horizontal="center" vertical="center"/>
    </xf>
    <xf numFmtId="0" fontId="4" fillId="10" borderId="2" xfId="0" applyFont="1" applyFill="1" applyBorder="1" applyAlignment="1">
      <alignment horizontal="left" vertical="center"/>
    </xf>
    <xf numFmtId="0" fontId="4" fillId="10" borderId="2" xfId="0" applyFont="1" applyFill="1" applyBorder="1" applyAlignment="1">
      <alignment horizontal="center" vertical="center"/>
    </xf>
    <xf numFmtId="1" fontId="4" fillId="10" borderId="2" xfId="0" applyNumberFormat="1" applyFont="1" applyFill="1" applyBorder="1" applyAlignment="1">
      <alignment horizontal="center" vertical="center" wrapText="1"/>
    </xf>
    <xf numFmtId="0" fontId="3" fillId="0" borderId="16" xfId="0" applyFont="1" applyBorder="1" applyAlignment="1">
      <alignment horizontal="left" vertical="center" wrapText="1"/>
    </xf>
    <xf numFmtId="3" fontId="3" fillId="0" borderId="16" xfId="0" applyNumberFormat="1" applyFont="1" applyBorder="1" applyAlignment="1">
      <alignment horizontal="center" vertical="center"/>
    </xf>
    <xf numFmtId="164" fontId="3" fillId="0" borderId="16" xfId="0" applyNumberFormat="1" applyFont="1" applyBorder="1" applyAlignment="1">
      <alignment horizontal="center" vertical="center" wrapText="1"/>
    </xf>
    <xf numFmtId="0" fontId="3" fillId="0" borderId="18" xfId="0" applyFont="1" applyBorder="1" applyAlignment="1">
      <alignment horizontal="left" vertical="center" wrapText="1"/>
    </xf>
    <xf numFmtId="0" fontId="3" fillId="7" borderId="12" xfId="0" applyFont="1" applyFill="1" applyBorder="1" applyAlignment="1">
      <alignment horizontal="left" vertical="center" wrapText="1"/>
    </xf>
    <xf numFmtId="3" fontId="15" fillId="0" borderId="8" xfId="0" applyNumberFormat="1" applyFont="1" applyBorder="1"/>
    <xf numFmtId="0" fontId="6" fillId="12" borderId="14" xfId="0" applyFont="1" applyFill="1" applyBorder="1" applyAlignment="1">
      <alignment horizontal="left" vertical="top" wrapText="1"/>
    </xf>
    <xf numFmtId="0" fontId="7" fillId="0" borderId="14" xfId="0" applyFont="1" applyBorder="1" applyAlignment="1">
      <alignment horizontal="center" vertical="center"/>
    </xf>
    <xf numFmtId="0" fontId="6" fillId="0" borderId="14" xfId="0" applyFont="1" applyBorder="1" applyAlignment="1">
      <alignment horizontal="center" vertical="center"/>
    </xf>
    <xf numFmtId="0" fontId="7" fillId="0" borderId="12" xfId="0" applyFont="1" applyBorder="1"/>
    <xf numFmtId="0" fontId="4" fillId="16" borderId="8" xfId="0" applyFont="1" applyFill="1" applyBorder="1"/>
    <xf numFmtId="0" fontId="4" fillId="9" borderId="17"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4" fillId="9" borderId="19" xfId="0" applyFont="1" applyFill="1" applyBorder="1" applyAlignment="1">
      <alignment horizontal="left" vertical="center" wrapText="1"/>
    </xf>
    <xf numFmtId="0" fontId="4" fillId="6" borderId="7" xfId="0" applyFont="1" applyFill="1" applyBorder="1" applyAlignment="1">
      <alignment horizontal="center" vertical="center"/>
    </xf>
    <xf numFmtId="3" fontId="5" fillId="7" borderId="9" xfId="0" applyNumberFormat="1" applyFont="1" applyFill="1" applyBorder="1" applyAlignment="1">
      <alignment horizontal="center" vertical="center"/>
    </xf>
    <xf numFmtId="3" fontId="5" fillId="0" borderId="14" xfId="0" applyNumberFormat="1" applyFont="1" applyBorder="1" applyAlignment="1">
      <alignment horizontal="center" vertical="center"/>
    </xf>
    <xf numFmtId="0" fontId="4" fillId="6" borderId="12" xfId="0" applyFont="1" applyFill="1" applyBorder="1" applyAlignment="1">
      <alignment horizontal="center" vertical="center"/>
    </xf>
    <xf numFmtId="3" fontId="15" fillId="7" borderId="12" xfId="0" applyNumberFormat="1" applyFont="1" applyFill="1" applyBorder="1"/>
    <xf numFmtId="3" fontId="4" fillId="7" borderId="12" xfId="0" applyNumberFormat="1" applyFont="1" applyFill="1" applyBorder="1" applyAlignment="1">
      <alignment horizontal="center"/>
    </xf>
    <xf numFmtId="10" fontId="4" fillId="7" borderId="12" xfId="0" applyNumberFormat="1" applyFont="1" applyFill="1" applyBorder="1" applyAlignment="1">
      <alignment horizontal="center"/>
    </xf>
    <xf numFmtId="1" fontId="4" fillId="10" borderId="7"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xf>
    <xf numFmtId="1" fontId="4" fillId="10" borderId="12" xfId="0" applyNumberFormat="1" applyFont="1" applyFill="1" applyBorder="1" applyAlignment="1">
      <alignment horizontal="center" vertical="center" wrapText="1"/>
    </xf>
    <xf numFmtId="166" fontId="3" fillId="0" borderId="10" xfId="0" applyNumberFormat="1" applyFont="1" applyBorder="1" applyAlignment="1">
      <alignment horizontal="center" vertical="center"/>
    </xf>
    <xf numFmtId="0" fontId="6" fillId="0" borderId="2" xfId="0" applyFont="1" applyBorder="1" applyAlignment="1">
      <alignment horizontal="center" vertical="center"/>
    </xf>
    <xf numFmtId="0" fontId="8" fillId="0" borderId="2" xfId="0" applyFont="1" applyBorder="1" applyAlignment="1">
      <alignment horizontal="left" vertical="center"/>
    </xf>
    <xf numFmtId="0" fontId="8" fillId="0" borderId="5" xfId="0" applyFont="1" applyBorder="1" applyAlignment="1">
      <alignment horizontal="left" vertical="center"/>
    </xf>
    <xf numFmtId="0" fontId="3" fillId="0" borderId="2" xfId="0" applyFont="1" applyBorder="1" applyAlignment="1">
      <alignment horizontal="left" vertical="center"/>
    </xf>
    <xf numFmtId="0" fontId="21" fillId="0" borderId="2" xfId="0" applyFont="1" applyBorder="1"/>
    <xf numFmtId="0" fontId="15" fillId="0" borderId="2" xfId="0" applyFont="1" applyBorder="1" applyAlignment="1">
      <alignment horizontal="center" vertical="top"/>
    </xf>
    <xf numFmtId="166" fontId="3" fillId="0" borderId="2" xfId="0" applyNumberFormat="1" applyFont="1" applyBorder="1" applyAlignment="1">
      <alignment horizontal="center" vertical="top" wrapText="1"/>
    </xf>
    <xf numFmtId="166" fontId="3" fillId="7" borderId="2" xfId="0" applyNumberFormat="1" applyFont="1" applyFill="1" applyBorder="1" applyAlignment="1">
      <alignment horizontal="center" vertical="top" wrapText="1"/>
    </xf>
    <xf numFmtId="0" fontId="7" fillId="0" borderId="2" xfId="0" applyFont="1" applyBorder="1" applyAlignment="1">
      <alignment horizontal="center" vertical="center"/>
    </xf>
    <xf numFmtId="0" fontId="5" fillId="0" borderId="2" xfId="0" applyFont="1" applyBorder="1" applyAlignment="1">
      <alignment horizontal="left"/>
    </xf>
    <xf numFmtId="3" fontId="3" fillId="3" borderId="2" xfId="0" applyNumberFormat="1" applyFont="1" applyFill="1" applyBorder="1" applyAlignment="1">
      <alignment horizontal="center" vertical="center"/>
    </xf>
    <xf numFmtId="3" fontId="3" fillId="7" borderId="2" xfId="0" applyNumberFormat="1" applyFont="1" applyFill="1" applyBorder="1" applyAlignment="1">
      <alignment horizontal="center" vertical="center"/>
    </xf>
    <xf numFmtId="3" fontId="3" fillId="7" borderId="2" xfId="0" applyNumberFormat="1" applyFont="1" applyFill="1" applyBorder="1" applyAlignment="1">
      <alignment horizontal="left" vertical="center"/>
    </xf>
    <xf numFmtId="0" fontId="3" fillId="2" borderId="2" xfId="0" applyFont="1" applyFill="1" applyBorder="1" applyAlignment="1">
      <alignment horizontal="left" vertical="center"/>
    </xf>
    <xf numFmtId="0" fontId="15" fillId="0" borderId="2" xfId="0" applyFont="1" applyBorder="1" applyAlignment="1">
      <alignment horizontal="left"/>
    </xf>
    <xf numFmtId="0" fontId="15" fillId="0" borderId="2" xfId="0" applyFont="1" applyBorder="1" applyAlignment="1">
      <alignment horizontal="left" wrapText="1"/>
    </xf>
    <xf numFmtId="0" fontId="7" fillId="0" borderId="2" xfId="0" applyFont="1" applyBorder="1" applyAlignment="1">
      <alignment vertical="top"/>
    </xf>
    <xf numFmtId="0" fontId="7" fillId="0" borderId="2" xfId="0" applyFont="1" applyBorder="1" applyAlignment="1">
      <alignment horizontal="left" vertical="top"/>
    </xf>
    <xf numFmtId="0" fontId="7" fillId="0" borderId="2" xfId="0" applyFont="1" applyBorder="1"/>
    <xf numFmtId="0" fontId="15" fillId="0" borderId="3" xfId="0" applyFont="1" applyBorder="1" applyAlignment="1">
      <alignment horizontal="left" vertical="center" wrapText="1"/>
    </xf>
    <xf numFmtId="0" fontId="7" fillId="0" borderId="2" xfId="0" applyFont="1" applyBorder="1" applyAlignment="1">
      <alignment horizontal="center"/>
    </xf>
    <xf numFmtId="0" fontId="8" fillId="0" borderId="12" xfId="0" applyFont="1" applyBorder="1" applyAlignment="1">
      <alignment wrapText="1"/>
    </xf>
    <xf numFmtId="0" fontId="8" fillId="0" borderId="13" xfId="0" applyFont="1" applyBorder="1" applyAlignment="1">
      <alignment wrapText="1"/>
    </xf>
    <xf numFmtId="0" fontId="8" fillId="0" borderId="6" xfId="0" applyFont="1" applyBorder="1" applyAlignment="1">
      <alignment wrapText="1"/>
    </xf>
    <xf numFmtId="0" fontId="8" fillId="0" borderId="17" xfId="0" applyFont="1" applyBorder="1" applyAlignment="1">
      <alignment wrapText="1"/>
    </xf>
    <xf numFmtId="0" fontId="8" fillId="0" borderId="22" xfId="0" applyFont="1" applyBorder="1" applyAlignment="1">
      <alignment wrapText="1"/>
    </xf>
    <xf numFmtId="0" fontId="8" fillId="0" borderId="19" xfId="0" applyFont="1" applyBorder="1" applyAlignment="1">
      <alignment wrapText="1"/>
    </xf>
    <xf numFmtId="0" fontId="8" fillId="0" borderId="22" xfId="0" applyFont="1" applyBorder="1"/>
    <xf numFmtId="0" fontId="8" fillId="2" borderId="22" xfId="0" applyFont="1" applyFill="1" applyBorder="1" applyAlignment="1">
      <alignment wrapText="1"/>
    </xf>
    <xf numFmtId="3" fontId="3" fillId="7" borderId="2" xfId="0" applyNumberFormat="1" applyFont="1" applyFill="1" applyBorder="1" applyAlignment="1">
      <alignment horizontal="left" vertical="center" wrapText="1"/>
    </xf>
    <xf numFmtId="164" fontId="3" fillId="7" borderId="12" xfId="0" applyNumberFormat="1" applyFont="1" applyFill="1" applyBorder="1" applyAlignment="1">
      <alignment horizontal="center" vertical="center" wrapText="1"/>
    </xf>
    <xf numFmtId="0" fontId="13" fillId="0" borderId="8" xfId="5" applyAlignment="1">
      <alignment horizontal="center"/>
    </xf>
    <xf numFmtId="0" fontId="14" fillId="8" borderId="8" xfId="5" applyFont="1" applyFill="1" applyAlignment="1">
      <alignment horizontal="center"/>
    </xf>
    <xf numFmtId="49"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xf>
    <xf numFmtId="0" fontId="3" fillId="0" borderId="0" xfId="0" applyFont="1" applyAlignment="1">
      <alignment horizontal="left" vertical="center" wrapText="1"/>
    </xf>
    <xf numFmtId="0" fontId="22" fillId="0" borderId="0" xfId="0" applyFont="1" applyAlignment="1">
      <alignment horizontal="left" vertical="center" wrapText="1"/>
    </xf>
    <xf numFmtId="0" fontId="4" fillId="6" borderId="12" xfId="0" applyFont="1" applyFill="1" applyBorder="1" applyAlignment="1">
      <alignment horizontal="center" vertical="center" wrapText="1"/>
    </xf>
    <xf numFmtId="0" fontId="8" fillId="0" borderId="23" xfId="0" applyFont="1" applyBorder="1" applyAlignment="1">
      <alignment wrapText="1"/>
    </xf>
    <xf numFmtId="0" fontId="8" fillId="0" borderId="17" xfId="0" applyFont="1" applyBorder="1" applyAlignment="1">
      <alignment wrapText="1"/>
    </xf>
    <xf numFmtId="0" fontId="3" fillId="0" borderId="8" xfId="0" applyFont="1" applyBorder="1" applyAlignment="1">
      <alignment horizontal="left" vertical="center" wrapText="1"/>
    </xf>
    <xf numFmtId="0" fontId="4" fillId="9" borderId="3" xfId="0" applyFont="1" applyFill="1" applyBorder="1" applyAlignment="1">
      <alignment horizontal="center"/>
    </xf>
    <xf numFmtId="0" fontId="4" fillId="9" borderId="2" xfId="0" applyFont="1" applyFill="1" applyBorder="1" applyAlignment="1">
      <alignment horizontal="center"/>
    </xf>
    <xf numFmtId="0" fontId="3" fillId="0" borderId="0" xfId="0" applyFont="1" applyAlignment="1">
      <alignment horizontal="left" wrapText="1"/>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22" fillId="0" borderId="8" xfId="0" applyFont="1" applyBorder="1" applyAlignment="1">
      <alignment horizontal="left" vertical="center" wrapText="1"/>
    </xf>
    <xf numFmtId="0" fontId="6" fillId="9" borderId="12" xfId="0" applyFont="1" applyFill="1" applyBorder="1" applyAlignment="1">
      <alignment horizontal="center" vertical="center" wrapText="1"/>
    </xf>
    <xf numFmtId="0" fontId="6" fillId="9" borderId="14"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9" borderId="15" xfId="0" applyFont="1" applyFill="1" applyBorder="1" applyAlignment="1">
      <alignment horizontal="center" vertical="center" wrapText="1"/>
    </xf>
    <xf numFmtId="49" fontId="6" fillId="0" borderId="0" xfId="0" applyNumberFormat="1"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center" vertical="top"/>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7" fillId="0" borderId="5" xfId="0" applyFont="1" applyBorder="1" applyAlignment="1">
      <alignment horizontal="center" vertical="top" wrapText="1"/>
    </xf>
    <xf numFmtId="0" fontId="8" fillId="2" borderId="8" xfId="0" applyFont="1" applyFill="1" applyBorder="1" applyAlignment="1">
      <alignment horizontal="left" vertical="top"/>
    </xf>
    <xf numFmtId="0" fontId="9" fillId="0" borderId="8" xfId="0" applyFont="1" applyBorder="1" applyAlignment="1">
      <alignment vertical="top"/>
    </xf>
    <xf numFmtId="0" fontId="6" fillId="12" borderId="12"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horizontal="left" vertical="center"/>
    </xf>
    <xf numFmtId="0" fontId="3" fillId="0" borderId="11" xfId="0" applyFont="1" applyBorder="1" applyAlignment="1">
      <alignment horizontal="left" vertical="center"/>
    </xf>
    <xf numFmtId="0" fontId="3" fillId="0" borderId="10" xfId="0" applyFont="1" applyBorder="1" applyAlignment="1">
      <alignment horizontal="left" vertical="center"/>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10" xfId="0" applyFont="1" applyBorder="1" applyAlignment="1">
      <alignment horizontal="left" vertical="center" wrapText="1"/>
    </xf>
    <xf numFmtId="0" fontId="3" fillId="2" borderId="9" xfId="0" applyFont="1" applyFill="1" applyBorder="1" applyAlignment="1">
      <alignment horizontal="left" vertical="center"/>
    </xf>
    <xf numFmtId="0" fontId="3" fillId="2" borderId="11" xfId="0" applyFont="1" applyFill="1" applyBorder="1" applyAlignment="1">
      <alignment horizontal="left" vertical="center"/>
    </xf>
    <xf numFmtId="0" fontId="3" fillId="2" borderId="10" xfId="0" applyFont="1" applyFill="1" applyBorder="1" applyAlignment="1">
      <alignment horizontal="left" vertical="center"/>
    </xf>
    <xf numFmtId="0" fontId="6" fillId="14" borderId="8" xfId="0" applyFont="1" applyFill="1" applyBorder="1" applyAlignment="1">
      <alignment horizontal="center"/>
    </xf>
    <xf numFmtId="0" fontId="6" fillId="13" borderId="12" xfId="0" applyFont="1" applyFill="1" applyBorder="1" applyAlignment="1">
      <alignment horizontal="center"/>
    </xf>
    <xf numFmtId="0" fontId="6" fillId="13" borderId="16" xfId="0" applyFont="1" applyFill="1" applyBorder="1" applyAlignment="1">
      <alignment horizontal="center"/>
    </xf>
    <xf numFmtId="166" fontId="3" fillId="0" borderId="3" xfId="0" applyNumberFormat="1" applyFont="1" applyBorder="1" applyAlignment="1">
      <alignment horizontal="center" vertical="center" wrapText="1"/>
    </xf>
    <xf numFmtId="166" fontId="3" fillId="0" borderId="4" xfId="0" applyNumberFormat="1" applyFont="1" applyBorder="1" applyAlignment="1">
      <alignment horizontal="center" vertical="center" wrapText="1"/>
    </xf>
    <xf numFmtId="3" fontId="3" fillId="7" borderId="20" xfId="0" applyNumberFormat="1" applyFont="1" applyFill="1" applyBorder="1" applyAlignment="1">
      <alignment horizontal="center" vertical="center"/>
    </xf>
    <xf numFmtId="3" fontId="3" fillId="7" borderId="21" xfId="0" applyNumberFormat="1" applyFont="1" applyFill="1" applyBorder="1" applyAlignment="1">
      <alignment horizontal="center" vertical="center"/>
    </xf>
    <xf numFmtId="0" fontId="3" fillId="2" borderId="2" xfId="0" applyFont="1" applyFill="1" applyBorder="1" applyAlignment="1">
      <alignment horizontal="left" vertical="center"/>
    </xf>
    <xf numFmtId="0" fontId="3" fillId="3" borderId="2" xfId="0" applyFont="1" applyFill="1" applyBorder="1" applyAlignment="1">
      <alignment horizontal="left" vertical="center"/>
    </xf>
    <xf numFmtId="0" fontId="15" fillId="0" borderId="2" xfId="0" applyFont="1" applyBorder="1" applyAlignment="1">
      <alignment vertical="center"/>
    </xf>
    <xf numFmtId="49" fontId="4" fillId="0" borderId="0" xfId="0" applyNumberFormat="1" applyFont="1" applyAlignment="1">
      <alignment horizontal="center" vertical="top" wrapText="1"/>
    </xf>
    <xf numFmtId="0" fontId="4" fillId="0" borderId="0" xfId="0" applyFont="1" applyAlignment="1">
      <alignment horizontal="center" vertical="top" wrapText="1"/>
    </xf>
    <xf numFmtId="0" fontId="4" fillId="0" borderId="0" xfId="0" applyFont="1" applyAlignment="1">
      <alignment horizontal="center" vertical="top"/>
    </xf>
    <xf numFmtId="0" fontId="4" fillId="9" borderId="12" xfId="0" applyFont="1" applyFill="1" applyBorder="1" applyAlignment="1">
      <alignment horizontal="center"/>
    </xf>
    <xf numFmtId="0" fontId="3" fillId="0" borderId="0" xfId="0" applyFont="1" applyAlignment="1"/>
    <xf numFmtId="0" fontId="3" fillId="0" borderId="8" xfId="0" applyFont="1" applyBorder="1" applyAlignment="1"/>
  </cellXfs>
  <cellStyles count="6">
    <cellStyle name="Hipervínculo 2" xfId="3" xr:uid="{00000000-0005-0000-0000-000000000000}"/>
    <cellStyle name="Hyperlink" xfId="1" xr:uid="{00000000-0005-0000-0000-000001000000}"/>
    <cellStyle name="Millares [0]" xfId="4" builtinId="6"/>
    <cellStyle name="Normal" xfId="0" builtinId="0"/>
    <cellStyle name="Normal 2" xfId="2" xr:uid="{00000000-0005-0000-0000-000004000000}"/>
    <cellStyle name="Normal 3"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a. Colecciones_bibliog&#225;ficas'!A1"/><Relationship Id="rId2" Type="http://schemas.openxmlformats.org/officeDocument/2006/relationships/image" Target="../media/image1.png"/><Relationship Id="rId1" Type="http://schemas.openxmlformats.org/officeDocument/2006/relationships/hyperlink" Target="#'g. Usos_Tipo_Usuario'!A1"/><Relationship Id="rId6" Type="http://schemas.openxmlformats.org/officeDocument/2006/relationships/hyperlink" Target="#d.Colecci&#243;n_digital_RIUD!A1"/><Relationship Id="rId5" Type="http://schemas.openxmlformats.org/officeDocument/2006/relationships/hyperlink" Target="#'b. Colecci&#243;n_impresa_ubicaci&#243;n'!A1"/><Relationship Id="rId4" Type="http://schemas.openxmlformats.org/officeDocument/2006/relationships/hyperlink" Target="#'c. Biblioteca_digital_BDIGITAL'!A1"/></Relationships>
</file>

<file path=xl/drawings/_rels/drawing2.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drawing1.xml><?xml version="1.0" encoding="utf-8"?>
<xdr:wsDr xmlns:xdr="http://schemas.openxmlformats.org/drawingml/2006/spreadsheetDrawing" xmlns:a="http://schemas.openxmlformats.org/drawingml/2006/main">
  <xdr:twoCellAnchor>
    <xdr:from>
      <xdr:col>2</xdr:col>
      <xdr:colOff>2152650</xdr:colOff>
      <xdr:row>27</xdr:row>
      <xdr:rowOff>95251</xdr:rowOff>
    </xdr:from>
    <xdr:to>
      <xdr:col>3</xdr:col>
      <xdr:colOff>1657350</xdr:colOff>
      <xdr:row>31</xdr:row>
      <xdr:rowOff>152401</xdr:rowOff>
    </xdr:to>
    <xdr:sp macro="" textlink="">
      <xdr:nvSpPr>
        <xdr:cNvPr id="2" name="Rectángulo redondeado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2571750" y="3952875"/>
          <a:ext cx="1800225" cy="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0" u="sng" strike="noStrike">
              <a:solidFill>
                <a:schemeClr val="lt1"/>
              </a:solidFill>
              <a:effectLst/>
              <a:latin typeface="+mn-lt"/>
              <a:ea typeface="+mn-ea"/>
              <a:cs typeface="+mn-cs"/>
              <a:hlinkClick xmlns:r="http://schemas.openxmlformats.org/officeDocument/2006/relationships" r:id=""/>
            </a:rPr>
            <a:t>g. Usos_Tipo_Usuario</a:t>
          </a:r>
          <a:r>
            <a:rPr lang="en-US"/>
            <a:t> </a:t>
          </a:r>
          <a:endParaRPr lang="en-US" sz="1100"/>
        </a:p>
      </xdr:txBody>
    </xdr:sp>
    <xdr:clientData/>
  </xdr:twoCellAnchor>
  <xdr:twoCellAnchor editAs="oneCell">
    <xdr:from>
      <xdr:col>2</xdr:col>
      <xdr:colOff>180975</xdr:colOff>
      <xdr:row>0</xdr:row>
      <xdr:rowOff>180975</xdr:rowOff>
    </xdr:from>
    <xdr:to>
      <xdr:col>2</xdr:col>
      <xdr:colOff>2209800</xdr:colOff>
      <xdr:row>3</xdr:row>
      <xdr:rowOff>174472</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075" y="180975"/>
          <a:ext cx="2028825" cy="507847"/>
        </a:xfrm>
        <a:prstGeom prst="rect">
          <a:avLst/>
        </a:prstGeom>
      </xdr:spPr>
    </xdr:pic>
    <xdr:clientData/>
  </xdr:twoCellAnchor>
  <xdr:twoCellAnchor>
    <xdr:from>
      <xdr:col>2</xdr:col>
      <xdr:colOff>180973</xdr:colOff>
      <xdr:row>6</xdr:row>
      <xdr:rowOff>114299</xdr:rowOff>
    </xdr:from>
    <xdr:to>
      <xdr:col>3</xdr:col>
      <xdr:colOff>57149</xdr:colOff>
      <xdr:row>11</xdr:row>
      <xdr:rowOff>85725</xdr:rowOff>
    </xdr:to>
    <xdr:sp macro="" textlink="">
      <xdr:nvSpPr>
        <xdr:cNvPr id="4" name="Flecha a la derecha con bandas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600073" y="1209674"/>
          <a:ext cx="2171701" cy="923926"/>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100" b="1"/>
            <a:t>A.</a:t>
          </a:r>
          <a:r>
            <a:rPr lang="en-US" sz="1100" b="1" baseline="0"/>
            <a:t> COLECCIONES BIBLIOGRÁFICAS GENERAL</a:t>
          </a:r>
          <a:endParaRPr lang="en-US" sz="1100" b="1"/>
        </a:p>
      </xdr:txBody>
    </xdr:sp>
    <xdr:clientData/>
  </xdr:twoCellAnchor>
  <xdr:twoCellAnchor>
    <xdr:from>
      <xdr:col>3</xdr:col>
      <xdr:colOff>2609849</xdr:colOff>
      <xdr:row>6</xdr:row>
      <xdr:rowOff>66674</xdr:rowOff>
    </xdr:from>
    <xdr:to>
      <xdr:col>5</xdr:col>
      <xdr:colOff>561975</xdr:colOff>
      <xdr:row>11</xdr:row>
      <xdr:rowOff>0</xdr:rowOff>
    </xdr:to>
    <xdr:sp macro="" textlink="">
      <xdr:nvSpPr>
        <xdr:cNvPr id="7" name="Flecha a la derecha con bandas 6">
          <a:hlinkClick xmlns:r="http://schemas.openxmlformats.org/officeDocument/2006/relationships" r:id="rId4"/>
          <a:extLst>
            <a:ext uri="{FF2B5EF4-FFF2-40B4-BE49-F238E27FC236}">
              <a16:creationId xmlns:a16="http://schemas.microsoft.com/office/drawing/2014/main" id="{00000000-0008-0000-0000-000007000000}"/>
            </a:ext>
          </a:extLst>
        </xdr:cNvPr>
        <xdr:cNvSpPr/>
      </xdr:nvSpPr>
      <xdr:spPr>
        <a:xfrm>
          <a:off x="5324474" y="1162049"/>
          <a:ext cx="2181226" cy="885826"/>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100" b="1"/>
            <a:t>C. COLECCIÓN </a:t>
          </a:r>
          <a:r>
            <a:rPr lang="en-US" sz="1100" b="1" baseline="0"/>
            <a:t>DIGITAL-BDIGITAL</a:t>
          </a:r>
          <a:endParaRPr lang="en-US" sz="1100" b="1"/>
        </a:p>
      </xdr:txBody>
    </xdr:sp>
    <xdr:clientData/>
  </xdr:twoCellAnchor>
  <xdr:twoCellAnchor>
    <xdr:from>
      <xdr:col>3</xdr:col>
      <xdr:colOff>314324</xdr:colOff>
      <xdr:row>6</xdr:row>
      <xdr:rowOff>57148</xdr:rowOff>
    </xdr:from>
    <xdr:to>
      <xdr:col>3</xdr:col>
      <xdr:colOff>2362200</xdr:colOff>
      <xdr:row>11</xdr:row>
      <xdr:rowOff>133349</xdr:rowOff>
    </xdr:to>
    <xdr:sp macro="" textlink="">
      <xdr:nvSpPr>
        <xdr:cNvPr id="8" name="Flecha a la derecha con bandas 7">
          <a:hlinkClick xmlns:r="http://schemas.openxmlformats.org/officeDocument/2006/relationships" r:id="rId5"/>
          <a:extLst>
            <a:ext uri="{FF2B5EF4-FFF2-40B4-BE49-F238E27FC236}">
              <a16:creationId xmlns:a16="http://schemas.microsoft.com/office/drawing/2014/main" id="{00000000-0008-0000-0000-000008000000}"/>
            </a:ext>
          </a:extLst>
        </xdr:cNvPr>
        <xdr:cNvSpPr/>
      </xdr:nvSpPr>
      <xdr:spPr>
        <a:xfrm>
          <a:off x="3028949" y="1152523"/>
          <a:ext cx="2047876" cy="1028701"/>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900" b="1"/>
            <a:t>B. COLECCIÓN BIBLIOGRÁFICA</a:t>
          </a:r>
          <a:r>
            <a:rPr lang="en-US" sz="900" b="1" baseline="0"/>
            <a:t> IMPRESA POR FACULTAD</a:t>
          </a:r>
          <a:endParaRPr lang="en-US" sz="900" b="1"/>
        </a:p>
      </xdr:txBody>
    </xdr:sp>
    <xdr:clientData/>
  </xdr:twoCellAnchor>
  <xdr:twoCellAnchor>
    <xdr:from>
      <xdr:col>3</xdr:col>
      <xdr:colOff>123825</xdr:colOff>
      <xdr:row>13</xdr:row>
      <xdr:rowOff>133349</xdr:rowOff>
    </xdr:from>
    <xdr:to>
      <xdr:col>3</xdr:col>
      <xdr:colOff>2495550</xdr:colOff>
      <xdr:row>18</xdr:row>
      <xdr:rowOff>47625</xdr:rowOff>
    </xdr:to>
    <xdr:sp macro="" textlink="">
      <xdr:nvSpPr>
        <xdr:cNvPr id="9" name="Flecha a la derecha con bandas 8">
          <a:hlinkClick xmlns:r="http://schemas.openxmlformats.org/officeDocument/2006/relationships" r:id="rId6"/>
          <a:extLst>
            <a:ext uri="{FF2B5EF4-FFF2-40B4-BE49-F238E27FC236}">
              <a16:creationId xmlns:a16="http://schemas.microsoft.com/office/drawing/2014/main" id="{00000000-0008-0000-0000-000009000000}"/>
            </a:ext>
          </a:extLst>
        </xdr:cNvPr>
        <xdr:cNvSpPr/>
      </xdr:nvSpPr>
      <xdr:spPr>
        <a:xfrm>
          <a:off x="2838450" y="2562224"/>
          <a:ext cx="2371725" cy="866776"/>
        </a:xfrm>
        <a:prstGeom prst="striped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050" b="1"/>
            <a:t>D. COLECCIÓN PATRIMOIAL </a:t>
          </a:r>
          <a:r>
            <a:rPr lang="en-US" sz="1050" b="1" baseline="0"/>
            <a:t> DIGITAL REPOSITORIO -RIUD</a:t>
          </a:r>
          <a:endParaRPr lang="en-US" sz="105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38100</xdr:colOff>
      <xdr:row>0</xdr:row>
      <xdr:rowOff>133350</xdr:rowOff>
    </xdr:from>
    <xdr:to>
      <xdr:col>5</xdr:col>
      <xdr:colOff>695324</xdr:colOff>
      <xdr:row>3</xdr:row>
      <xdr:rowOff>57150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0" y="133350"/>
          <a:ext cx="1952624" cy="409575"/>
        </a:xfrm>
        <a:prstGeom prst="rect">
          <a:avLst/>
        </a:prstGeom>
      </xdr:spPr>
    </xdr:pic>
    <xdr:clientData/>
  </xdr:twoCellAnchor>
  <xdr:twoCellAnchor>
    <xdr:from>
      <xdr:col>2</xdr:col>
      <xdr:colOff>0</xdr:colOff>
      <xdr:row>0</xdr:row>
      <xdr:rowOff>76200</xdr:rowOff>
    </xdr:from>
    <xdr:to>
      <xdr:col>2</xdr:col>
      <xdr:colOff>1543050</xdr:colOff>
      <xdr:row>3</xdr:row>
      <xdr:rowOff>133350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733425" y="76200"/>
          <a:ext cx="1543050" cy="542925"/>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400" b="1"/>
            <a:t>INICIO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0</xdr:row>
      <xdr:rowOff>161925</xdr:rowOff>
    </xdr:from>
    <xdr:to>
      <xdr:col>1</xdr:col>
      <xdr:colOff>1704975</xdr:colOff>
      <xdr:row>3</xdr:row>
      <xdr:rowOff>142875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828675" y="161925"/>
          <a:ext cx="1543050" cy="542925"/>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400" b="1"/>
            <a:t>INICIO</a:t>
          </a:r>
        </a:p>
      </xdr:txBody>
    </xdr:sp>
    <xdr:clientData/>
  </xdr:twoCellAnchor>
  <xdr:twoCellAnchor editAs="oneCell">
    <xdr:from>
      <xdr:col>2</xdr:col>
      <xdr:colOff>19050</xdr:colOff>
      <xdr:row>1</xdr:row>
      <xdr:rowOff>47625</xdr:rowOff>
    </xdr:from>
    <xdr:to>
      <xdr:col>4</xdr:col>
      <xdr:colOff>447674</xdr:colOff>
      <xdr:row>3</xdr:row>
      <xdr:rowOff>85725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24125" y="238125"/>
          <a:ext cx="1952624" cy="4095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1543050</xdr:colOff>
      <xdr:row>3</xdr:row>
      <xdr:rowOff>161925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762000" y="190500"/>
          <a:ext cx="1543050" cy="542925"/>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t>INICIO</a:t>
          </a:r>
        </a:p>
      </xdr:txBody>
    </xdr:sp>
    <xdr:clientData/>
  </xdr:twoCellAnchor>
  <xdr:twoCellAnchor editAs="oneCell">
    <xdr:from>
      <xdr:col>2</xdr:col>
      <xdr:colOff>0</xdr:colOff>
      <xdr:row>1</xdr:row>
      <xdr:rowOff>66675</xdr:rowOff>
    </xdr:from>
    <xdr:to>
      <xdr:col>3</xdr:col>
      <xdr:colOff>114299</xdr:colOff>
      <xdr:row>3</xdr:row>
      <xdr:rowOff>142875</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00325" y="257175"/>
          <a:ext cx="1952624" cy="409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752475</xdr:colOff>
      <xdr:row>0</xdr:row>
      <xdr:rowOff>133350</xdr:rowOff>
    </xdr:from>
    <xdr:to>
      <xdr:col>1</xdr:col>
      <xdr:colOff>1676400</xdr:colOff>
      <xdr:row>3</xdr:row>
      <xdr:rowOff>104775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752475" y="133350"/>
          <a:ext cx="1685925" cy="514350"/>
        </a:xfrm>
        <a:prstGeom prst="lef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US" sz="1400" b="1"/>
            <a:t>INICIO</a:t>
          </a:r>
        </a:p>
      </xdr:txBody>
    </xdr:sp>
    <xdr:clientData/>
  </xdr:twoCellAnchor>
  <xdr:twoCellAnchor editAs="oneCell">
    <xdr:from>
      <xdr:col>1</xdr:col>
      <xdr:colOff>2019300</xdr:colOff>
      <xdr:row>1</xdr:row>
      <xdr:rowOff>19050</xdr:rowOff>
    </xdr:from>
    <xdr:to>
      <xdr:col>3</xdr:col>
      <xdr:colOff>771524</xdr:colOff>
      <xdr:row>3</xdr:row>
      <xdr:rowOff>47625</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81300" y="180975"/>
          <a:ext cx="1952624" cy="4095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repository.udistrital.edu.co/home" TargetMode="External"/><Relationship Id="rId2" Type="http://schemas.openxmlformats.org/officeDocument/2006/relationships/hyperlink" Target="http://biblioteca.udistrital.edu.co/F?RN=927836072" TargetMode="External"/><Relationship Id="rId1" Type="http://schemas.openxmlformats.org/officeDocument/2006/relationships/hyperlink" Target="https://research.ebsco.com/c/2gsfcu/search/results?autocorrect=y&amp;q=ingenieria" TargetMode="Externa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biblioteca.udistrital.edu.co/F?RN=927836072" TargetMode="External"/><Relationship Id="rId1" Type="http://schemas.openxmlformats.org/officeDocument/2006/relationships/hyperlink" Target="https://research.ebsco.com/c/2gsfcu/search/results?autocorrect=y&amp;q=ingenieria"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repository.udistrital.edu.co/home" TargetMode="External"/><Relationship Id="rId3" Type="http://schemas.openxmlformats.org/officeDocument/2006/relationships/hyperlink" Target="https://repository.udistrital.edu.co/home" TargetMode="External"/><Relationship Id="rId7" Type="http://schemas.openxmlformats.org/officeDocument/2006/relationships/hyperlink" Target="https://bibliotecas.udistrital.edu.co/repositorio/index.html" TargetMode="External"/><Relationship Id="rId2" Type="http://schemas.openxmlformats.org/officeDocument/2006/relationships/hyperlink" Target="http://herbario.udistrital.edu.co/herbario/" TargetMode="External"/><Relationship Id="rId1" Type="http://schemas.openxmlformats.org/officeDocument/2006/relationships/hyperlink" Target="https://bibliotecas.udistrital.edu.co/ud/bdigital2/subjects/index.php" TargetMode="External"/><Relationship Id="rId6" Type="http://schemas.openxmlformats.org/officeDocument/2006/relationships/hyperlink" Target="http://hdl.handle.net/11349/42615" TargetMode="External"/><Relationship Id="rId11" Type="http://schemas.openxmlformats.org/officeDocument/2006/relationships/drawing" Target="../drawings/drawing4.xml"/><Relationship Id="rId5" Type="http://schemas.openxmlformats.org/officeDocument/2006/relationships/hyperlink" Target="https://revistas.udistrital.edu.co/" TargetMode="External"/><Relationship Id="rId10" Type="http://schemas.openxmlformats.org/officeDocument/2006/relationships/hyperlink" Target="https://bibliotecas.udistrital.edu.co/ud/bdigital2/subjects/index.php" TargetMode="External"/><Relationship Id="rId4" Type="http://schemas.openxmlformats.org/officeDocument/2006/relationships/hyperlink" Target="https://bibliotecas.udistrital.edu.co/ud/bdigital2/subjects/index.php" TargetMode="External"/><Relationship Id="rId9" Type="http://schemas.openxmlformats.org/officeDocument/2006/relationships/hyperlink" Target="https://bibliotecas.udistrital.edu.co/ud/bdigital2/subjects/index.php"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repository.udistrital.edu.co/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C1:XFC24"/>
  <sheetViews>
    <sheetView showGridLines="0" tabSelected="1" workbookViewId="0"/>
  </sheetViews>
  <sheetFormatPr defaultColWidth="0" defaultRowHeight="15" customHeight="1" zeroHeight="1"/>
  <cols>
    <col min="1" max="1" width="2.42578125" style="36" customWidth="1"/>
    <col min="2" max="2" width="3.85546875" style="36" customWidth="1"/>
    <col min="3" max="3" width="34.42578125" style="36" customWidth="1"/>
    <col min="4" max="4" width="44.7109375" style="36" customWidth="1"/>
    <col min="5" max="5" width="18.7109375" style="36" customWidth="1"/>
    <col min="6" max="6" width="11.42578125" style="36" customWidth="1"/>
    <col min="7" max="8" width="0" style="36" hidden="1"/>
    <col min="9" max="16383" width="11.42578125" style="36" hidden="1"/>
    <col min="16384" max="16384" width="3" style="36" customWidth="1"/>
  </cols>
  <sheetData>
    <row r="1" spans="3:8"/>
    <row r="2" spans="3:8" ht="15.75">
      <c r="C2" s="216"/>
      <c r="D2" s="217" t="s">
        <v>0</v>
      </c>
      <c r="E2" s="217"/>
      <c r="F2" s="217"/>
      <c r="G2" s="37"/>
      <c r="H2" s="37"/>
    </row>
    <row r="3" spans="3:8" s="39" customFormat="1" ht="9.75" customHeight="1">
      <c r="C3" s="216"/>
      <c r="D3" s="38"/>
      <c r="E3" s="38"/>
      <c r="F3" s="38"/>
      <c r="G3" s="38"/>
      <c r="H3" s="38"/>
    </row>
    <row r="4" spans="3:8" ht="15.75">
      <c r="C4" s="216"/>
      <c r="D4" s="217" t="s">
        <v>1</v>
      </c>
      <c r="E4" s="217"/>
      <c r="F4" s="217"/>
      <c r="G4" s="37"/>
      <c r="H4" s="37"/>
    </row>
    <row r="5" spans="3:8"/>
    <row r="6" spans="3:8">
      <c r="C6" s="40" t="s">
        <v>2</v>
      </c>
      <c r="E6" s="43"/>
      <c r="F6" s="42"/>
    </row>
    <row r="7" spans="3:8">
      <c r="C7" s="40"/>
    </row>
    <row r="8" spans="3:8">
      <c r="C8" s="40"/>
    </row>
    <row r="9" spans="3:8">
      <c r="C9" s="40"/>
    </row>
    <row r="10" spans="3:8">
      <c r="C10" s="40"/>
      <c r="D10" s="40"/>
      <c r="E10" s="40"/>
    </row>
    <row r="11" spans="3:8">
      <c r="C11" s="40"/>
    </row>
    <row r="12" spans="3:8">
      <c r="C12" s="40"/>
    </row>
    <row r="13" spans="3:8">
      <c r="C13" s="40"/>
    </row>
    <row r="14" spans="3:8">
      <c r="C14" s="40"/>
    </row>
    <row r="15" spans="3:8">
      <c r="C15" s="40"/>
    </row>
    <row r="16" spans="3:8">
      <c r="C16" s="40"/>
    </row>
    <row r="17" spans="3:4">
      <c r="C17" s="40"/>
      <c r="D17" s="41"/>
    </row>
    <row r="18" spans="3:4">
      <c r="C18" s="30"/>
    </row>
    <row r="19" spans="3:4">
      <c r="C19" s="30"/>
    </row>
    <row r="20" spans="3:4">
      <c r="C20" s="30"/>
    </row>
    <row r="21" spans="3:4">
      <c r="C21" s="30"/>
    </row>
    <row r="22" spans="3:4" hidden="1">
      <c r="C22" s="30"/>
    </row>
    <row r="23" spans="3:4" hidden="1">
      <c r="C23" s="30"/>
    </row>
    <row r="24" spans="3:4" hidden="1">
      <c r="C24" s="30"/>
    </row>
  </sheetData>
  <mergeCells count="3">
    <mergeCell ref="C2:C4"/>
    <mergeCell ref="D2:F2"/>
    <mergeCell ref="D4:F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Z1014"/>
  <sheetViews>
    <sheetView showGridLines="0" workbookViewId="0">
      <selection activeCell="L6" sqref="L6"/>
    </sheetView>
  </sheetViews>
  <sheetFormatPr defaultColWidth="14.42578125" defaultRowHeight="15" customHeight="1"/>
  <cols>
    <col min="1" max="1" width="4.5703125" style="1" customWidth="1"/>
    <col min="2" max="2" width="6.42578125" style="1" customWidth="1"/>
    <col min="3" max="3" width="24.140625" style="1" customWidth="1"/>
    <col min="4" max="4" width="11.28515625" style="1" customWidth="1"/>
    <col min="5" max="5" width="8.140625" style="1" customWidth="1"/>
    <col min="6" max="6" width="10.85546875" style="1" customWidth="1"/>
    <col min="7" max="8" width="12" style="1" customWidth="1"/>
    <col min="9" max="11" width="13.42578125" style="1" customWidth="1"/>
    <col min="12" max="12" width="29.7109375" style="1" customWidth="1"/>
    <col min="13" max="13" width="56.7109375" style="1" customWidth="1"/>
    <col min="14" max="14" width="24.140625" style="1" customWidth="1"/>
    <col min="15" max="26" width="10" style="1" customWidth="1"/>
    <col min="27" max="16384" width="14.42578125" style="1"/>
  </cols>
  <sheetData>
    <row r="1" spans="1:26" ht="12.75" customHeight="1">
      <c r="B1" s="2"/>
      <c r="C1" s="2"/>
      <c r="D1" s="2"/>
      <c r="E1" s="2"/>
      <c r="F1" s="2"/>
      <c r="G1" s="2"/>
      <c r="H1" s="2"/>
      <c r="I1" s="2"/>
      <c r="J1" s="2"/>
      <c r="K1" s="2"/>
      <c r="L1" s="3"/>
      <c r="M1" s="3"/>
    </row>
    <row r="2" spans="1:26" ht="12.75" customHeight="1">
      <c r="C2" s="44"/>
      <c r="D2" s="44"/>
      <c r="E2" s="44"/>
      <c r="F2" s="44"/>
      <c r="G2" s="218" t="s">
        <v>3</v>
      </c>
      <c r="H2" s="218"/>
      <c r="I2" s="218"/>
      <c r="J2" s="218"/>
      <c r="K2" s="218"/>
      <c r="L2" s="218"/>
      <c r="M2" s="218"/>
    </row>
    <row r="3" spans="1:26" ht="12.75" customHeight="1">
      <c r="C3" s="44"/>
      <c r="D3" s="44"/>
      <c r="E3" s="44"/>
      <c r="F3" s="44"/>
      <c r="G3" s="219" t="s">
        <v>4</v>
      </c>
      <c r="H3" s="219"/>
      <c r="I3" s="219"/>
      <c r="J3" s="219"/>
      <c r="K3" s="219"/>
      <c r="L3" s="219"/>
      <c r="M3" s="219"/>
    </row>
    <row r="4" spans="1:26" ht="15.75" customHeight="1">
      <c r="C4" s="44"/>
      <c r="D4" s="44"/>
      <c r="E4" s="44"/>
      <c r="F4" s="44"/>
      <c r="G4" s="220" t="s">
        <v>5</v>
      </c>
      <c r="H4" s="220"/>
      <c r="I4" s="220"/>
      <c r="J4" s="220"/>
      <c r="K4" s="220"/>
      <c r="L4" s="220"/>
      <c r="M4" s="220"/>
    </row>
    <row r="5" spans="1:26" ht="15.75" customHeight="1">
      <c r="C5" s="44"/>
      <c r="D5" s="44"/>
      <c r="E5" s="44"/>
      <c r="F5" s="44"/>
      <c r="G5" s="45"/>
      <c r="H5" s="45"/>
      <c r="I5" s="45"/>
      <c r="J5" s="45"/>
      <c r="K5" s="45"/>
      <c r="L5" s="45"/>
      <c r="M5" s="45"/>
    </row>
    <row r="6" spans="1:26" ht="15.75" customHeight="1">
      <c r="C6" s="71" t="s">
        <v>6</v>
      </c>
      <c r="D6" s="72" t="s">
        <v>7</v>
      </c>
      <c r="E6" s="44"/>
      <c r="F6" s="44"/>
      <c r="G6" s="45"/>
      <c r="H6" s="45"/>
      <c r="I6" s="45"/>
      <c r="J6" s="45"/>
      <c r="K6" s="45"/>
      <c r="L6" s="45"/>
      <c r="M6" s="45"/>
    </row>
    <row r="7" spans="1:26" ht="15.75" customHeight="1">
      <c r="C7" s="71" t="s">
        <v>8</v>
      </c>
      <c r="D7" s="72" t="s">
        <v>9</v>
      </c>
      <c r="E7" s="44"/>
      <c r="F7" s="44"/>
      <c r="G7" s="45"/>
      <c r="H7" s="45"/>
      <c r="I7" s="45"/>
      <c r="J7" s="45"/>
      <c r="K7" s="45"/>
      <c r="L7" s="45"/>
      <c r="M7" s="45"/>
    </row>
    <row r="8" spans="1:26" ht="15" customHeight="1">
      <c r="A8" s="11"/>
      <c r="B8" s="12"/>
      <c r="C8" s="71" t="s">
        <v>8</v>
      </c>
      <c r="D8" s="72" t="s">
        <v>10</v>
      </c>
      <c r="E8" s="12"/>
      <c r="F8" s="12"/>
      <c r="G8" s="12"/>
      <c r="H8" s="12"/>
      <c r="I8" s="12"/>
      <c r="J8" s="12"/>
      <c r="K8" s="12"/>
      <c r="L8" s="12"/>
      <c r="M8" s="12"/>
      <c r="N8" s="11"/>
      <c r="O8" s="11"/>
      <c r="P8" s="11"/>
      <c r="Q8" s="11"/>
      <c r="R8" s="11"/>
      <c r="S8" s="11"/>
      <c r="T8" s="11"/>
      <c r="U8" s="11"/>
      <c r="V8" s="11"/>
      <c r="W8" s="11"/>
      <c r="X8" s="11"/>
      <c r="Y8" s="11"/>
      <c r="Z8" s="11"/>
    </row>
    <row r="9" spans="1:26" ht="15" customHeight="1">
      <c r="A9" s="11"/>
      <c r="B9" s="12"/>
      <c r="C9" s="73" t="s">
        <v>11</v>
      </c>
      <c r="D9" s="72" t="s">
        <v>12</v>
      </c>
      <c r="E9" s="12"/>
      <c r="F9" s="12"/>
      <c r="G9" s="12"/>
      <c r="H9" s="12"/>
      <c r="I9" s="12"/>
      <c r="J9" s="12"/>
      <c r="K9" s="12"/>
      <c r="L9" s="12"/>
      <c r="M9" s="12"/>
      <c r="N9" s="11"/>
      <c r="O9" s="11"/>
      <c r="P9" s="11"/>
      <c r="Q9" s="11"/>
      <c r="R9" s="11"/>
      <c r="S9" s="11"/>
      <c r="T9" s="11"/>
      <c r="U9" s="11"/>
      <c r="V9" s="11"/>
      <c r="W9" s="11"/>
      <c r="X9" s="11"/>
      <c r="Y9" s="11"/>
      <c r="Z9" s="11"/>
    </row>
    <row r="10" spans="1:26" ht="15" customHeight="1">
      <c r="A10" s="11"/>
      <c r="B10" s="12"/>
      <c r="C10" s="12"/>
      <c r="D10" s="12"/>
      <c r="E10" s="12"/>
      <c r="F10" s="12"/>
      <c r="G10" s="12"/>
      <c r="H10" s="12"/>
      <c r="I10" s="12"/>
      <c r="J10" s="12"/>
      <c r="K10" s="12"/>
      <c r="L10" s="12"/>
      <c r="M10" s="12"/>
      <c r="N10" s="11"/>
      <c r="O10" s="11"/>
      <c r="P10" s="11"/>
      <c r="Q10" s="11"/>
      <c r="R10" s="11"/>
      <c r="S10" s="11"/>
      <c r="T10" s="11"/>
      <c r="U10" s="11"/>
      <c r="V10" s="11"/>
      <c r="W10" s="11"/>
      <c r="X10" s="11"/>
      <c r="Y10" s="11"/>
      <c r="Z10" s="11"/>
    </row>
    <row r="11" spans="1:26" ht="15" customHeight="1">
      <c r="A11" s="16"/>
      <c r="B11" s="227" t="s">
        <v>13</v>
      </c>
      <c r="C11" s="227"/>
      <c r="D11" s="227"/>
      <c r="E11" s="227"/>
      <c r="F11" s="227"/>
      <c r="G11" s="227"/>
      <c r="H11" s="227"/>
      <c r="I11" s="227"/>
      <c r="J11" s="227"/>
      <c r="K11" s="227"/>
      <c r="L11" s="227"/>
      <c r="M11" s="227"/>
      <c r="N11" s="228"/>
      <c r="O11" s="16"/>
    </row>
    <row r="12" spans="1:26" ht="25.5" customHeight="1">
      <c r="A12" s="16"/>
      <c r="B12" s="46" t="s">
        <v>14</v>
      </c>
      <c r="C12" s="46" t="s">
        <v>15</v>
      </c>
      <c r="D12" s="46">
        <v>2018</v>
      </c>
      <c r="E12" s="46">
        <v>2019</v>
      </c>
      <c r="F12" s="46">
        <v>2020</v>
      </c>
      <c r="G12" s="46">
        <v>2021</v>
      </c>
      <c r="H12" s="46">
        <v>2022</v>
      </c>
      <c r="I12" s="46">
        <v>2023</v>
      </c>
      <c r="J12" s="46">
        <v>2024</v>
      </c>
      <c r="K12" s="46">
        <v>2025</v>
      </c>
      <c r="L12" s="46" t="s">
        <v>16</v>
      </c>
      <c r="M12" s="47" t="s">
        <v>17</v>
      </c>
      <c r="N12" s="48" t="s">
        <v>18</v>
      </c>
      <c r="O12" s="16"/>
    </row>
    <row r="13" spans="1:26" ht="63" customHeight="1">
      <c r="A13" s="16"/>
      <c r="B13" s="20">
        <v>1</v>
      </c>
      <c r="C13" s="164" t="s">
        <v>19</v>
      </c>
      <c r="D13" s="22">
        <v>113285</v>
      </c>
      <c r="E13" s="22">
        <v>121665</v>
      </c>
      <c r="F13" s="22">
        <v>121922</v>
      </c>
      <c r="G13" s="22">
        <v>122222</v>
      </c>
      <c r="H13" s="22">
        <v>132718</v>
      </c>
      <c r="I13" s="22">
        <v>126761</v>
      </c>
      <c r="J13" s="22">
        <f>127259+243+63+17</f>
        <v>127582</v>
      </c>
      <c r="K13" s="215">
        <v>140217</v>
      </c>
      <c r="L13" s="206" t="s">
        <v>20</v>
      </c>
      <c r="M13" s="207" t="s">
        <v>21</v>
      </c>
      <c r="N13" s="208" t="s">
        <v>22</v>
      </c>
      <c r="O13" s="16"/>
    </row>
    <row r="14" spans="1:26" ht="25.5" customHeight="1">
      <c r="A14" s="16"/>
      <c r="B14" s="20">
        <v>2</v>
      </c>
      <c r="C14" s="164" t="s">
        <v>23</v>
      </c>
      <c r="D14" s="22">
        <v>9957</v>
      </c>
      <c r="E14" s="22">
        <v>10290</v>
      </c>
      <c r="F14" s="22">
        <v>10291</v>
      </c>
      <c r="G14" s="22">
        <v>10262</v>
      </c>
      <c r="H14" s="22">
        <v>1464</v>
      </c>
      <c r="I14" s="22">
        <v>8582</v>
      </c>
      <c r="J14" s="22">
        <v>9653</v>
      </c>
      <c r="K14" s="215"/>
      <c r="L14" s="206" t="s">
        <v>20</v>
      </c>
      <c r="M14" s="210" t="s">
        <v>24</v>
      </c>
      <c r="N14" s="211" t="s">
        <v>22</v>
      </c>
      <c r="O14" s="16"/>
    </row>
    <row r="15" spans="1:26" ht="38.25" customHeight="1">
      <c r="A15" s="16"/>
      <c r="B15" s="20">
        <v>3</v>
      </c>
      <c r="C15" s="164" t="s">
        <v>25</v>
      </c>
      <c r="D15" s="22">
        <v>758</v>
      </c>
      <c r="E15" s="22">
        <v>756</v>
      </c>
      <c r="F15" s="22">
        <v>756</v>
      </c>
      <c r="G15" s="22">
        <v>756</v>
      </c>
      <c r="H15" s="22">
        <v>200</v>
      </c>
      <c r="I15" s="22">
        <v>755</v>
      </c>
      <c r="J15" s="22">
        <v>754</v>
      </c>
      <c r="K15" s="215"/>
      <c r="L15" s="206" t="s">
        <v>20</v>
      </c>
      <c r="M15" s="210" t="s">
        <v>26</v>
      </c>
      <c r="N15" s="211" t="s">
        <v>22</v>
      </c>
      <c r="O15" s="16"/>
    </row>
    <row r="16" spans="1:26" ht="51" customHeight="1">
      <c r="A16" s="16"/>
      <c r="B16" s="20">
        <v>4</v>
      </c>
      <c r="C16" s="164" t="s">
        <v>27</v>
      </c>
      <c r="D16" s="22">
        <v>4197</v>
      </c>
      <c r="E16" s="22">
        <v>4603</v>
      </c>
      <c r="F16" s="22">
        <v>4603</v>
      </c>
      <c r="G16" s="22">
        <v>4612</v>
      </c>
      <c r="H16" s="22">
        <v>4730</v>
      </c>
      <c r="I16" s="22">
        <v>4805</v>
      </c>
      <c r="J16" s="22">
        <v>5009</v>
      </c>
      <c r="K16" s="215">
        <v>5314</v>
      </c>
      <c r="L16" s="209" t="s">
        <v>20</v>
      </c>
      <c r="M16" s="210" t="s">
        <v>28</v>
      </c>
      <c r="N16" s="211" t="s">
        <v>22</v>
      </c>
      <c r="O16" s="16"/>
    </row>
    <row r="17" spans="1:15" ht="38.25" customHeight="1">
      <c r="A17" s="16"/>
      <c r="B17" s="20">
        <v>5</v>
      </c>
      <c r="C17" s="164" t="s">
        <v>29</v>
      </c>
      <c r="D17" s="22">
        <v>34330</v>
      </c>
      <c r="E17" s="22">
        <v>34329</v>
      </c>
      <c r="F17" s="22">
        <v>34329</v>
      </c>
      <c r="G17" s="22">
        <v>34329</v>
      </c>
      <c r="H17" s="22">
        <v>34329</v>
      </c>
      <c r="I17" s="22">
        <f>34329+40</f>
        <v>34369</v>
      </c>
      <c r="J17" s="22">
        <f>+'b. Colección_impresa_ubicación'!P14</f>
        <v>34383</v>
      </c>
      <c r="K17" s="215">
        <f>+J17</f>
        <v>34383</v>
      </c>
      <c r="L17" s="209" t="s">
        <v>30</v>
      </c>
      <c r="M17" s="210" t="s">
        <v>31</v>
      </c>
      <c r="N17" s="210" t="s">
        <v>30</v>
      </c>
      <c r="O17" s="16"/>
    </row>
    <row r="18" spans="1:15" ht="51" customHeight="1">
      <c r="A18" s="16"/>
      <c r="B18" s="20">
        <v>6</v>
      </c>
      <c r="C18" s="164" t="s">
        <v>32</v>
      </c>
      <c r="D18" s="23">
        <v>27837</v>
      </c>
      <c r="E18" s="22">
        <v>27837</v>
      </c>
      <c r="F18" s="22">
        <v>27837</v>
      </c>
      <c r="G18" s="22">
        <v>27837</v>
      </c>
      <c r="H18" s="22">
        <v>27834</v>
      </c>
      <c r="I18" s="22">
        <v>27834</v>
      </c>
      <c r="J18" s="22">
        <f>+'b. Colección_impresa_ubicación'!P15</f>
        <v>27812</v>
      </c>
      <c r="K18" s="215">
        <v>27812</v>
      </c>
      <c r="L18" s="209" t="s">
        <v>33</v>
      </c>
      <c r="M18" s="210" t="s">
        <v>34</v>
      </c>
      <c r="N18" s="210" t="s">
        <v>33</v>
      </c>
      <c r="O18" s="16"/>
    </row>
    <row r="19" spans="1:15" ht="25.5" customHeight="1">
      <c r="A19" s="16"/>
      <c r="B19" s="20">
        <v>7</v>
      </c>
      <c r="C19" s="164" t="s">
        <v>35</v>
      </c>
      <c r="D19" s="22">
        <v>7738</v>
      </c>
      <c r="E19" s="22">
        <v>11187</v>
      </c>
      <c r="F19" s="22">
        <v>14525</v>
      </c>
      <c r="G19" s="22">
        <v>15111</v>
      </c>
      <c r="H19" s="22">
        <v>17046</v>
      </c>
      <c r="I19" s="22">
        <v>18326</v>
      </c>
      <c r="J19" s="22">
        <f>3322+19882</f>
        <v>23204</v>
      </c>
      <c r="K19" s="215">
        <f>3557+21729</f>
        <v>25286</v>
      </c>
      <c r="L19" s="209" t="s">
        <v>36</v>
      </c>
      <c r="M19" s="210" t="s">
        <v>37</v>
      </c>
      <c r="N19" s="211" t="s">
        <v>38</v>
      </c>
      <c r="O19" s="16"/>
    </row>
    <row r="20" spans="1:15" ht="38.25" customHeight="1">
      <c r="A20" s="16"/>
      <c r="B20" s="20">
        <v>8</v>
      </c>
      <c r="C20" s="164" t="s">
        <v>39</v>
      </c>
      <c r="D20" s="22">
        <v>3488</v>
      </c>
      <c r="E20" s="22">
        <v>3960</v>
      </c>
      <c r="F20" s="22">
        <v>3961</v>
      </c>
      <c r="G20" s="22">
        <v>3961</v>
      </c>
      <c r="H20" s="22">
        <v>4359</v>
      </c>
      <c r="I20" s="22">
        <v>4635</v>
      </c>
      <c r="J20" s="22">
        <v>4786</v>
      </c>
      <c r="K20" s="215">
        <v>4783</v>
      </c>
      <c r="L20" s="209" t="s">
        <v>20</v>
      </c>
      <c r="M20" s="210" t="s">
        <v>40</v>
      </c>
      <c r="N20" s="211" t="s">
        <v>22</v>
      </c>
      <c r="O20" s="16"/>
    </row>
    <row r="21" spans="1:15" ht="48.75" customHeight="1">
      <c r="A21" s="17"/>
      <c r="B21" s="20">
        <v>9</v>
      </c>
      <c r="C21" s="164" t="s">
        <v>41</v>
      </c>
      <c r="D21" s="49"/>
      <c r="E21" s="22"/>
      <c r="F21" s="22"/>
      <c r="G21" s="22"/>
      <c r="H21" s="22"/>
      <c r="I21" s="22">
        <v>39571</v>
      </c>
      <c r="J21" s="22">
        <v>39571</v>
      </c>
      <c r="K21" s="215">
        <v>39573</v>
      </c>
      <c r="L21" s="209" t="s">
        <v>42</v>
      </c>
      <c r="M21" s="210" t="s">
        <v>37</v>
      </c>
      <c r="N21" s="210" t="s">
        <v>42</v>
      </c>
      <c r="O21" s="16"/>
    </row>
    <row r="22" spans="1:15" ht="29.25" customHeight="1">
      <c r="B22" s="20">
        <v>10</v>
      </c>
      <c r="C22" s="21" t="s">
        <v>43</v>
      </c>
      <c r="D22" s="50"/>
      <c r="E22" s="22"/>
      <c r="F22" s="22"/>
      <c r="G22" s="22"/>
      <c r="H22" s="22"/>
      <c r="I22" s="22"/>
      <c r="J22" s="22">
        <v>590</v>
      </c>
      <c r="K22" s="215"/>
      <c r="L22" s="209" t="s">
        <v>44</v>
      </c>
      <c r="M22" s="212" t="s">
        <v>45</v>
      </c>
      <c r="N22" s="210" t="s">
        <v>44</v>
      </c>
    </row>
    <row r="23" spans="1:15" ht="45.75" customHeight="1">
      <c r="B23" s="20">
        <v>11</v>
      </c>
      <c r="C23" s="21" t="s">
        <v>46</v>
      </c>
      <c r="D23" s="50"/>
      <c r="E23" s="22"/>
      <c r="F23" s="22"/>
      <c r="G23" s="22"/>
      <c r="H23" s="22"/>
      <c r="I23" s="22"/>
      <c r="J23" s="22">
        <v>483</v>
      </c>
      <c r="K23" s="215"/>
      <c r="L23" s="209" t="s">
        <v>47</v>
      </c>
      <c r="M23" s="212" t="s">
        <v>45</v>
      </c>
      <c r="N23" s="210" t="s">
        <v>47</v>
      </c>
    </row>
    <row r="24" spans="1:15" ht="26.25" customHeight="1">
      <c r="B24" s="20">
        <v>12</v>
      </c>
      <c r="C24" s="21" t="s">
        <v>48</v>
      </c>
      <c r="D24" s="50"/>
      <c r="E24" s="22"/>
      <c r="F24" s="22"/>
      <c r="G24" s="22"/>
      <c r="H24" s="22"/>
      <c r="I24" s="22"/>
      <c r="J24" s="22">
        <v>133</v>
      </c>
      <c r="K24" s="215"/>
      <c r="L24" s="209" t="s">
        <v>20</v>
      </c>
      <c r="M24" s="212" t="s">
        <v>45</v>
      </c>
      <c r="N24" s="211" t="s">
        <v>22</v>
      </c>
    </row>
    <row r="25" spans="1:15" ht="25.5" customHeight="1">
      <c r="A25" s="17"/>
      <c r="B25" s="20">
        <v>13</v>
      </c>
      <c r="C25" s="21" t="s">
        <v>49</v>
      </c>
      <c r="D25" s="49">
        <v>25</v>
      </c>
      <c r="E25" s="22">
        <v>15</v>
      </c>
      <c r="F25" s="22">
        <v>22</v>
      </c>
      <c r="G25" s="22">
        <v>18</v>
      </c>
      <c r="H25" s="22">
        <v>23</v>
      </c>
      <c r="I25" s="22">
        <v>207</v>
      </c>
      <c r="J25" s="22">
        <v>212</v>
      </c>
      <c r="K25" s="215"/>
      <c r="L25" s="209" t="s">
        <v>50</v>
      </c>
      <c r="M25" s="224" t="s">
        <v>51</v>
      </c>
      <c r="N25" s="211" t="s">
        <v>22</v>
      </c>
      <c r="O25" s="16"/>
    </row>
    <row r="26" spans="1:15" ht="25.5" customHeight="1">
      <c r="A26" s="17"/>
      <c r="B26" s="20">
        <v>14</v>
      </c>
      <c r="C26" s="21" t="s">
        <v>52</v>
      </c>
      <c r="D26" s="49">
        <v>17</v>
      </c>
      <c r="E26" s="22">
        <v>10</v>
      </c>
      <c r="F26" s="22">
        <v>52</v>
      </c>
      <c r="G26" s="22">
        <v>50</v>
      </c>
      <c r="H26" s="22">
        <v>33</v>
      </c>
      <c r="I26" s="22">
        <v>34</v>
      </c>
      <c r="J26" s="22">
        <v>35</v>
      </c>
      <c r="K26" s="215"/>
      <c r="L26" s="209" t="s">
        <v>50</v>
      </c>
      <c r="M26" s="225"/>
      <c r="N26" s="211" t="s">
        <v>22</v>
      </c>
      <c r="O26" s="16"/>
    </row>
    <row r="27" spans="1:15" ht="48.75" customHeight="1">
      <c r="A27" s="17"/>
      <c r="B27" s="20">
        <v>15</v>
      </c>
      <c r="C27" s="21" t="s">
        <v>53</v>
      </c>
      <c r="D27" s="49">
        <v>6</v>
      </c>
      <c r="E27" s="22">
        <v>6</v>
      </c>
      <c r="F27" s="22">
        <v>6</v>
      </c>
      <c r="G27" s="22">
        <v>4</v>
      </c>
      <c r="H27" s="22">
        <v>4</v>
      </c>
      <c r="I27" s="22">
        <v>6</v>
      </c>
      <c r="J27" s="22">
        <v>7</v>
      </c>
      <c r="K27" s="215"/>
      <c r="L27" s="209" t="s">
        <v>20</v>
      </c>
      <c r="M27" s="210" t="s">
        <v>54</v>
      </c>
      <c r="N27" s="211" t="s">
        <v>22</v>
      </c>
      <c r="O27" s="16"/>
    </row>
    <row r="28" spans="1:15" ht="58.5" customHeight="1">
      <c r="A28" s="17"/>
      <c r="B28" s="20">
        <v>16</v>
      </c>
      <c r="C28" s="164" t="s">
        <v>55</v>
      </c>
      <c r="D28" s="22">
        <v>0</v>
      </c>
      <c r="E28" s="22">
        <v>0</v>
      </c>
      <c r="F28" s="22">
        <v>4170</v>
      </c>
      <c r="G28" s="22">
        <v>4172</v>
      </c>
      <c r="H28" s="22">
        <v>10135</v>
      </c>
      <c r="I28" s="22">
        <v>10135</v>
      </c>
      <c r="J28" s="22">
        <v>10135</v>
      </c>
      <c r="K28" s="215">
        <v>10135</v>
      </c>
      <c r="L28" s="209" t="s">
        <v>50</v>
      </c>
      <c r="M28" s="213" t="s">
        <v>56</v>
      </c>
      <c r="N28" s="211" t="s">
        <v>38</v>
      </c>
      <c r="O28" s="16"/>
    </row>
    <row r="29" spans="1:15" ht="48.75" customHeight="1">
      <c r="A29" s="17"/>
      <c r="B29" s="20">
        <v>17</v>
      </c>
      <c r="C29" s="164" t="s">
        <v>57</v>
      </c>
      <c r="D29" s="49"/>
      <c r="E29" s="22"/>
      <c r="F29" s="22"/>
      <c r="G29" s="22"/>
      <c r="H29" s="22"/>
      <c r="I29" s="22">
        <v>1089</v>
      </c>
      <c r="J29" s="22">
        <v>5777</v>
      </c>
      <c r="K29" s="215">
        <v>7912</v>
      </c>
      <c r="L29" s="209" t="s">
        <v>36</v>
      </c>
      <c r="M29" s="210" t="s">
        <v>37</v>
      </c>
      <c r="N29" s="211" t="s">
        <v>38</v>
      </c>
      <c r="O29" s="16"/>
    </row>
    <row r="30" spans="1:15" ht="48.75" customHeight="1">
      <c r="A30" s="16"/>
      <c r="B30" s="20">
        <v>18</v>
      </c>
      <c r="C30" s="164" t="s">
        <v>58</v>
      </c>
      <c r="D30" s="49"/>
      <c r="E30" s="22"/>
      <c r="F30" s="22"/>
      <c r="G30" s="22"/>
      <c r="H30" s="22"/>
      <c r="I30" s="22">
        <v>6565</v>
      </c>
      <c r="J30" s="22">
        <v>6619</v>
      </c>
      <c r="K30" s="215">
        <v>6639</v>
      </c>
      <c r="L30" s="209" t="s">
        <v>36</v>
      </c>
      <c r="M30" s="210" t="s">
        <v>37</v>
      </c>
      <c r="N30" s="211" t="s">
        <v>38</v>
      </c>
      <c r="O30" s="16"/>
    </row>
    <row r="31" spans="1:15" ht="48.75" customHeight="1">
      <c r="A31" s="16"/>
      <c r="B31" s="20">
        <v>19</v>
      </c>
      <c r="C31" s="164" t="s">
        <v>59</v>
      </c>
      <c r="D31" s="49"/>
      <c r="E31" s="22"/>
      <c r="F31" s="22"/>
      <c r="G31" s="22"/>
      <c r="H31" s="22"/>
      <c r="I31" s="22"/>
      <c r="J31" s="22">
        <v>48945</v>
      </c>
      <c r="K31" s="215">
        <v>49511</v>
      </c>
      <c r="L31" s="209" t="s">
        <v>36</v>
      </c>
      <c r="M31" s="210" t="s">
        <v>60</v>
      </c>
      <c r="N31" s="211" t="s">
        <v>38</v>
      </c>
      <c r="O31" s="16"/>
    </row>
    <row r="32" spans="1:15" ht="25.5" customHeight="1">
      <c r="A32" s="16"/>
      <c r="B32" s="223" t="s">
        <v>61</v>
      </c>
      <c r="C32" s="223"/>
      <c r="D32" s="25">
        <f>+SUM(D13:D31)</f>
        <v>201638</v>
      </c>
      <c r="E32" s="25">
        <f t="shared" ref="E32:J32" si="0">+SUM(E13:E31)</f>
        <v>214658</v>
      </c>
      <c r="F32" s="25">
        <f t="shared" si="0"/>
        <v>222474</v>
      </c>
      <c r="G32" s="25">
        <f t="shared" si="0"/>
        <v>223334</v>
      </c>
      <c r="H32" s="25">
        <f t="shared" si="0"/>
        <v>232875</v>
      </c>
      <c r="I32" s="25">
        <f t="shared" si="0"/>
        <v>283674</v>
      </c>
      <c r="J32" s="25">
        <f t="shared" si="0"/>
        <v>345690</v>
      </c>
      <c r="K32" s="25">
        <f>+SUM(K13:K31)</f>
        <v>351565</v>
      </c>
      <c r="L32" s="25"/>
      <c r="M32" s="25"/>
      <c r="N32" s="19"/>
      <c r="O32" s="16"/>
    </row>
    <row r="33" spans="2:14" ht="25.5" customHeight="1">
      <c r="B33" s="5"/>
      <c r="C33" s="34"/>
      <c r="D33" s="6"/>
      <c r="E33" s="7"/>
      <c r="F33" s="51"/>
      <c r="G33" s="8"/>
      <c r="H33" s="10"/>
      <c r="I33" s="9"/>
      <c r="J33" s="9"/>
      <c r="K33" s="9"/>
      <c r="L33" s="52"/>
      <c r="M33" s="34"/>
      <c r="N33" s="16"/>
    </row>
    <row r="34" spans="2:14" ht="12.75" customHeight="1">
      <c r="B34" s="222" t="s">
        <v>62</v>
      </c>
      <c r="C34" s="271"/>
      <c r="D34" s="271"/>
      <c r="E34" s="271"/>
      <c r="F34" s="271"/>
      <c r="G34" s="271"/>
      <c r="H34" s="271"/>
      <c r="I34" s="271"/>
      <c r="J34" s="271"/>
      <c r="K34" s="271"/>
      <c r="L34" s="271"/>
      <c r="M34" s="271"/>
    </row>
    <row r="35" spans="2:14" ht="12.75" customHeight="1">
      <c r="B35" s="271"/>
      <c r="C35" s="271"/>
      <c r="D35" s="271"/>
      <c r="E35" s="271"/>
      <c r="F35" s="271"/>
      <c r="G35" s="271"/>
      <c r="H35" s="271"/>
      <c r="I35" s="271"/>
      <c r="J35" s="271"/>
      <c r="K35" s="271"/>
      <c r="L35" s="271"/>
      <c r="M35" s="271"/>
    </row>
    <row r="36" spans="2:14" ht="41.25" customHeight="1">
      <c r="B36" s="229" t="s">
        <v>63</v>
      </c>
      <c r="C36" s="229"/>
      <c r="D36" s="229"/>
      <c r="E36" s="229"/>
      <c r="F36" s="229"/>
      <c r="G36" s="229"/>
      <c r="H36" s="229"/>
      <c r="I36" s="229"/>
      <c r="J36" s="229"/>
      <c r="K36" s="229"/>
      <c r="L36" s="229"/>
      <c r="M36" s="229"/>
    </row>
    <row r="37" spans="2:14" ht="12.75" customHeight="1">
      <c r="C37" s="16"/>
      <c r="D37" s="16"/>
      <c r="E37" s="16"/>
      <c r="F37" s="16"/>
      <c r="G37" s="16"/>
      <c r="H37" s="16"/>
      <c r="I37" s="16"/>
      <c r="J37" s="16"/>
      <c r="K37" s="16"/>
      <c r="L37" s="33"/>
      <c r="M37" s="33"/>
    </row>
    <row r="38" spans="2:14" ht="39" customHeight="1">
      <c r="B38" s="5"/>
      <c r="C38" s="55" t="s">
        <v>64</v>
      </c>
      <c r="D38" s="53">
        <v>2018</v>
      </c>
      <c r="E38" s="53">
        <v>2019</v>
      </c>
      <c r="F38" s="53">
        <v>2020</v>
      </c>
      <c r="G38" s="53">
        <v>2021</v>
      </c>
      <c r="H38" s="53">
        <v>2022</v>
      </c>
      <c r="I38" s="54">
        <v>2023</v>
      </c>
      <c r="J38" s="174">
        <v>2024</v>
      </c>
      <c r="K38" s="177">
        <v>2025</v>
      </c>
      <c r="L38" s="34"/>
      <c r="M38" s="31"/>
    </row>
    <row r="39" spans="2:14" ht="41.25" customHeight="1">
      <c r="B39" s="5"/>
      <c r="C39" s="56" t="s">
        <v>65</v>
      </c>
      <c r="D39" s="57">
        <v>80846</v>
      </c>
      <c r="E39" s="57">
        <v>85474</v>
      </c>
      <c r="F39" s="57">
        <v>89790</v>
      </c>
      <c r="G39" s="57">
        <v>89875</v>
      </c>
      <c r="H39" s="58">
        <v>90177</v>
      </c>
      <c r="I39" s="59">
        <f>91050+39571</f>
        <v>130621</v>
      </c>
      <c r="J39" s="175">
        <v>131697</v>
      </c>
      <c r="K39" s="62">
        <v>155346</v>
      </c>
      <c r="L39" s="34"/>
      <c r="M39" s="31"/>
    </row>
    <row r="40" spans="2:14" ht="19.5" customHeight="1">
      <c r="B40" s="5"/>
      <c r="C40" s="60" t="s">
        <v>66</v>
      </c>
      <c r="D40" s="61">
        <f>+D19+D21+D28+D29+D30+D31</f>
        <v>7738</v>
      </c>
      <c r="E40" s="61">
        <f t="shared" ref="E40:I40" si="1">+E19+E21+E28+E29+E30+E31</f>
        <v>11187</v>
      </c>
      <c r="F40" s="61">
        <f t="shared" si="1"/>
        <v>18695</v>
      </c>
      <c r="G40" s="61">
        <f t="shared" si="1"/>
        <v>19283</v>
      </c>
      <c r="H40" s="61">
        <f t="shared" si="1"/>
        <v>27181</v>
      </c>
      <c r="I40" s="61">
        <f t="shared" si="1"/>
        <v>75686</v>
      </c>
      <c r="J40" s="176">
        <f>+J19+J21+J28+J29+J30+J31</f>
        <v>134251</v>
      </c>
      <c r="K40" s="61">
        <f>+K19+K21+K28+K29+K30+K31</f>
        <v>139056</v>
      </c>
      <c r="L40" s="34"/>
      <c r="M40" s="31"/>
    </row>
    <row r="41" spans="2:14" ht="37.5" customHeight="1">
      <c r="B41" s="35"/>
      <c r="C41" s="226" t="s">
        <v>67</v>
      </c>
      <c r="D41" s="226"/>
      <c r="E41" s="226"/>
      <c r="F41" s="226"/>
      <c r="G41" s="226"/>
      <c r="H41" s="226"/>
      <c r="I41" s="226"/>
      <c r="J41" s="34"/>
      <c r="K41" s="34"/>
      <c r="L41" s="31"/>
      <c r="M41" s="31"/>
    </row>
    <row r="42" spans="2:14" ht="12.75" customHeight="1">
      <c r="B42" s="35"/>
      <c r="C42" s="31"/>
      <c r="D42" s="31"/>
      <c r="E42" s="13"/>
      <c r="F42" s="32"/>
      <c r="G42" s="32"/>
      <c r="H42" s="32"/>
      <c r="I42" s="32"/>
      <c r="J42" s="32"/>
      <c r="K42" s="32"/>
      <c r="L42" s="31"/>
      <c r="M42" s="31"/>
    </row>
    <row r="43" spans="2:14" ht="12.75" customHeight="1">
      <c r="B43" s="35"/>
      <c r="C43" s="31"/>
      <c r="D43" s="31"/>
      <c r="E43" s="13"/>
      <c r="F43" s="32"/>
      <c r="G43" s="32"/>
      <c r="H43" s="32"/>
      <c r="I43" s="32"/>
      <c r="J43" s="32"/>
      <c r="K43" s="32"/>
      <c r="L43" s="31"/>
      <c r="M43" s="31"/>
    </row>
    <row r="44" spans="2:14" ht="12.75" customHeight="1">
      <c r="B44" s="35"/>
      <c r="C44" s="31"/>
      <c r="D44" s="31"/>
      <c r="E44" s="13"/>
      <c r="F44" s="32"/>
      <c r="G44" s="32"/>
      <c r="H44" s="32"/>
      <c r="I44" s="32"/>
      <c r="J44" s="32"/>
      <c r="K44" s="32"/>
      <c r="L44" s="31"/>
      <c r="M44" s="31"/>
    </row>
    <row r="45" spans="2:14" ht="12.75" customHeight="1">
      <c r="B45" s="35"/>
      <c r="C45" s="31"/>
      <c r="D45" s="31"/>
      <c r="E45" s="13"/>
      <c r="F45" s="32"/>
      <c r="G45" s="32"/>
      <c r="H45" s="32"/>
      <c r="I45" s="32"/>
      <c r="J45" s="32"/>
      <c r="K45" s="32"/>
      <c r="L45" s="31"/>
      <c r="M45" s="31"/>
    </row>
    <row r="46" spans="2:14" ht="12.75" customHeight="1">
      <c r="B46" s="35"/>
      <c r="C46" s="31"/>
      <c r="D46" s="31"/>
      <c r="E46" s="13"/>
      <c r="F46" s="32"/>
      <c r="G46" s="32"/>
      <c r="H46" s="32"/>
      <c r="I46" s="32"/>
      <c r="J46" s="32"/>
      <c r="K46" s="32"/>
      <c r="L46" s="31"/>
      <c r="M46" s="31"/>
    </row>
    <row r="47" spans="2:14" ht="12.75" customHeight="1">
      <c r="B47" s="35"/>
      <c r="C47" s="31"/>
      <c r="D47" s="31"/>
      <c r="E47" s="13"/>
      <c r="F47" s="32"/>
      <c r="G47" s="32"/>
      <c r="H47" s="32"/>
      <c r="I47" s="32"/>
      <c r="J47" s="32"/>
      <c r="K47" s="32"/>
      <c r="L47" s="221"/>
      <c r="M47" s="31"/>
    </row>
    <row r="48" spans="2:14" ht="12.75" customHeight="1">
      <c r="B48" s="35"/>
      <c r="C48" s="31"/>
      <c r="D48" s="31"/>
      <c r="E48" s="13"/>
      <c r="F48" s="32"/>
      <c r="G48" s="32"/>
      <c r="H48" s="32"/>
      <c r="I48" s="32"/>
      <c r="J48" s="32"/>
      <c r="K48" s="32"/>
      <c r="L48" s="271"/>
      <c r="M48" s="31"/>
    </row>
    <row r="49" spans="2:13" ht="12.75" customHeight="1">
      <c r="B49" s="35"/>
      <c r="C49" s="31"/>
      <c r="D49" s="31"/>
      <c r="E49" s="13"/>
      <c r="F49" s="32"/>
      <c r="G49" s="32"/>
      <c r="H49" s="32"/>
      <c r="I49" s="32"/>
      <c r="J49" s="32"/>
      <c r="K49" s="32"/>
      <c r="L49" s="271"/>
      <c r="M49" s="31"/>
    </row>
    <row r="50" spans="2:13" ht="12.75" customHeight="1">
      <c r="B50" s="221"/>
      <c r="C50" s="271"/>
      <c r="D50" s="271"/>
      <c r="E50" s="271"/>
      <c r="F50" s="271"/>
      <c r="G50" s="271"/>
      <c r="H50" s="271"/>
      <c r="I50" s="271"/>
      <c r="J50" s="271"/>
      <c r="K50" s="271"/>
      <c r="L50" s="271"/>
      <c r="M50" s="271"/>
    </row>
    <row r="51" spans="2:13" ht="12.75" customHeight="1">
      <c r="B51" s="271"/>
      <c r="C51" s="271"/>
      <c r="D51" s="271"/>
      <c r="E51" s="271"/>
      <c r="F51" s="271"/>
      <c r="G51" s="271"/>
      <c r="H51" s="271"/>
      <c r="I51" s="271"/>
      <c r="J51" s="271"/>
      <c r="K51" s="271"/>
      <c r="L51" s="271"/>
      <c r="M51" s="271"/>
    </row>
    <row r="52" spans="2:13" ht="12.75" customHeight="1">
      <c r="L52" s="33"/>
      <c r="M52" s="33"/>
    </row>
    <row r="53" spans="2:13" ht="12.75" customHeight="1">
      <c r="L53" s="33"/>
      <c r="M53" s="33"/>
    </row>
    <row r="54" spans="2:13" ht="12.75" customHeight="1">
      <c r="L54" s="33"/>
      <c r="M54" s="33"/>
    </row>
    <row r="55" spans="2:13" ht="12.75" customHeight="1">
      <c r="L55" s="33"/>
      <c r="M55" s="33"/>
    </row>
    <row r="56" spans="2:13" ht="12.75" customHeight="1">
      <c r="L56" s="33"/>
      <c r="M56" s="33"/>
    </row>
    <row r="57" spans="2:13" ht="12.75" customHeight="1">
      <c r="L57" s="33"/>
      <c r="M57" s="33"/>
    </row>
    <row r="58" spans="2:13" ht="12.75" customHeight="1">
      <c r="L58" s="33"/>
      <c r="M58" s="33"/>
    </row>
    <row r="59" spans="2:13" ht="12.75" customHeight="1">
      <c r="L59" s="33"/>
      <c r="M59" s="33"/>
    </row>
    <row r="60" spans="2:13" ht="12.75" customHeight="1">
      <c r="L60" s="33"/>
      <c r="M60" s="33"/>
    </row>
    <row r="61" spans="2:13" ht="12.75" customHeight="1">
      <c r="L61" s="33"/>
      <c r="M61" s="33"/>
    </row>
    <row r="62" spans="2:13" ht="12.75" customHeight="1">
      <c r="L62" s="33"/>
      <c r="M62" s="33"/>
    </row>
    <row r="63" spans="2:13" ht="12.75" customHeight="1">
      <c r="L63" s="33"/>
      <c r="M63" s="33"/>
    </row>
    <row r="64" spans="2:13" ht="12.75" customHeight="1">
      <c r="L64" s="33"/>
      <c r="M64" s="33"/>
    </row>
    <row r="65" spans="12:13" ht="12.75" customHeight="1">
      <c r="L65" s="33"/>
      <c r="M65" s="33"/>
    </row>
    <row r="66" spans="12:13" ht="12.75" customHeight="1">
      <c r="L66" s="33"/>
      <c r="M66" s="33"/>
    </row>
    <row r="67" spans="12:13" ht="12.75" customHeight="1">
      <c r="L67" s="33"/>
      <c r="M67" s="33"/>
    </row>
    <row r="68" spans="12:13" ht="12.75" customHeight="1">
      <c r="L68" s="33"/>
      <c r="M68" s="33"/>
    </row>
    <row r="69" spans="12:13" ht="12.75" customHeight="1">
      <c r="L69" s="33"/>
      <c r="M69" s="33"/>
    </row>
    <row r="70" spans="12:13" ht="12.75" customHeight="1">
      <c r="L70" s="33"/>
      <c r="M70" s="33"/>
    </row>
    <row r="71" spans="12:13" ht="12.75" customHeight="1">
      <c r="L71" s="33"/>
      <c r="M71" s="33"/>
    </row>
    <row r="72" spans="12:13" ht="12.75" customHeight="1">
      <c r="L72" s="33"/>
      <c r="M72" s="33"/>
    </row>
    <row r="73" spans="12:13" ht="12.75" customHeight="1">
      <c r="L73" s="33"/>
      <c r="M73" s="33"/>
    </row>
    <row r="74" spans="12:13" ht="12.75" customHeight="1">
      <c r="L74" s="33"/>
      <c r="M74" s="33"/>
    </row>
    <row r="75" spans="12:13" ht="12.75" customHeight="1">
      <c r="L75" s="33"/>
      <c r="M75" s="33"/>
    </row>
    <row r="76" spans="12:13" ht="12.75" customHeight="1">
      <c r="L76" s="33"/>
      <c r="M76" s="33"/>
    </row>
    <row r="77" spans="12:13" ht="12.75" customHeight="1">
      <c r="L77" s="33"/>
      <c r="M77" s="33"/>
    </row>
    <row r="78" spans="12:13" ht="12.75" customHeight="1">
      <c r="L78" s="33"/>
      <c r="M78" s="33"/>
    </row>
    <row r="79" spans="12:13" ht="12.75" customHeight="1">
      <c r="L79" s="33"/>
      <c r="M79" s="33"/>
    </row>
    <row r="80" spans="12:13" ht="12.75" customHeight="1">
      <c r="L80" s="33"/>
      <c r="M80" s="33"/>
    </row>
    <row r="81" spans="12:13" ht="12.75" customHeight="1">
      <c r="L81" s="33"/>
      <c r="M81" s="33"/>
    </row>
    <row r="82" spans="12:13" ht="12.75" customHeight="1">
      <c r="L82" s="33"/>
      <c r="M82" s="33"/>
    </row>
    <row r="83" spans="12:13" ht="12.75" customHeight="1">
      <c r="L83" s="33"/>
      <c r="M83" s="33"/>
    </row>
    <row r="84" spans="12:13" ht="12.75" customHeight="1">
      <c r="L84" s="33"/>
      <c r="M84" s="33"/>
    </row>
    <row r="85" spans="12:13" ht="12.75" customHeight="1">
      <c r="L85" s="33"/>
      <c r="M85" s="33"/>
    </row>
    <row r="86" spans="12:13" ht="12.75" customHeight="1">
      <c r="L86" s="33"/>
      <c r="M86" s="33"/>
    </row>
    <row r="87" spans="12:13" ht="12.75" customHeight="1">
      <c r="L87" s="33"/>
      <c r="M87" s="33"/>
    </row>
    <row r="88" spans="12:13" ht="12.75" customHeight="1">
      <c r="L88" s="33"/>
      <c r="M88" s="33"/>
    </row>
    <row r="89" spans="12:13" ht="12.75" customHeight="1">
      <c r="L89" s="33"/>
      <c r="M89" s="33"/>
    </row>
    <row r="90" spans="12:13" ht="12.75" customHeight="1">
      <c r="L90" s="33"/>
      <c r="M90" s="33"/>
    </row>
    <row r="91" spans="12:13" ht="12.75" customHeight="1">
      <c r="L91" s="33"/>
      <c r="M91" s="33"/>
    </row>
    <row r="92" spans="12:13" ht="12.75" customHeight="1">
      <c r="L92" s="33"/>
      <c r="M92" s="33"/>
    </row>
    <row r="93" spans="12:13" ht="12.75" customHeight="1">
      <c r="L93" s="33"/>
      <c r="M93" s="33"/>
    </row>
    <row r="94" spans="12:13" ht="12.75" customHeight="1">
      <c r="L94" s="33"/>
      <c r="M94" s="33"/>
    </row>
    <row r="95" spans="12:13" ht="12.75" customHeight="1">
      <c r="L95" s="33"/>
      <c r="M95" s="33"/>
    </row>
    <row r="96" spans="12:13" ht="12.75" customHeight="1">
      <c r="L96" s="33"/>
      <c r="M96" s="33"/>
    </row>
    <row r="97" spans="12:13" ht="12.75" customHeight="1">
      <c r="L97" s="33"/>
      <c r="M97" s="33"/>
    </row>
    <row r="98" spans="12:13" ht="12.75" customHeight="1">
      <c r="L98" s="33"/>
      <c r="M98" s="33"/>
    </row>
    <row r="99" spans="12:13" ht="12.75" customHeight="1">
      <c r="L99" s="33"/>
      <c r="M99" s="33"/>
    </row>
    <row r="100" spans="12:13" ht="12.75" customHeight="1">
      <c r="L100" s="33"/>
      <c r="M100" s="33"/>
    </row>
    <row r="101" spans="12:13" ht="12.75" customHeight="1">
      <c r="L101" s="33"/>
      <c r="M101" s="33"/>
    </row>
    <row r="102" spans="12:13" ht="12.75" customHeight="1">
      <c r="L102" s="33"/>
      <c r="M102" s="33"/>
    </row>
    <row r="103" spans="12:13" ht="12.75" customHeight="1">
      <c r="L103" s="33"/>
      <c r="M103" s="33"/>
    </row>
    <row r="104" spans="12:13" ht="12.75" customHeight="1">
      <c r="L104" s="33"/>
      <c r="M104" s="33"/>
    </row>
    <row r="105" spans="12:13" ht="12.75" customHeight="1">
      <c r="L105" s="33"/>
      <c r="M105" s="33"/>
    </row>
    <row r="106" spans="12:13" ht="12.75" customHeight="1">
      <c r="L106" s="33"/>
      <c r="M106" s="33"/>
    </row>
    <row r="107" spans="12:13" ht="12.75" customHeight="1">
      <c r="L107" s="33"/>
      <c r="M107" s="33"/>
    </row>
    <row r="108" spans="12:13" ht="12.75" customHeight="1">
      <c r="L108" s="33"/>
      <c r="M108" s="33"/>
    </row>
    <row r="109" spans="12:13" ht="12.75" customHeight="1">
      <c r="L109" s="33"/>
      <c r="M109" s="33"/>
    </row>
    <row r="110" spans="12:13" ht="12.75" customHeight="1">
      <c r="L110" s="33"/>
      <c r="M110" s="33"/>
    </row>
    <row r="111" spans="12:13" ht="12.75" customHeight="1">
      <c r="L111" s="33"/>
      <c r="M111" s="33"/>
    </row>
    <row r="112" spans="12:13" ht="12.75" customHeight="1">
      <c r="L112" s="33"/>
      <c r="M112" s="33"/>
    </row>
    <row r="113" spans="12:13" ht="12.75" customHeight="1">
      <c r="L113" s="33"/>
      <c r="M113" s="33"/>
    </row>
    <row r="114" spans="12:13" ht="12.75" customHeight="1">
      <c r="L114" s="33"/>
      <c r="M114" s="33"/>
    </row>
    <row r="115" spans="12:13" ht="12.75" customHeight="1">
      <c r="L115" s="33"/>
      <c r="M115" s="33"/>
    </row>
    <row r="116" spans="12:13" ht="12.75" customHeight="1">
      <c r="L116" s="33"/>
      <c r="M116" s="33"/>
    </row>
    <row r="117" spans="12:13" ht="12.75" customHeight="1">
      <c r="L117" s="33"/>
      <c r="M117" s="33"/>
    </row>
    <row r="118" spans="12:13" ht="12.75" customHeight="1">
      <c r="L118" s="33"/>
      <c r="M118" s="33"/>
    </row>
    <row r="119" spans="12:13" ht="12.75" customHeight="1">
      <c r="L119" s="33"/>
      <c r="M119" s="33"/>
    </row>
    <row r="120" spans="12:13" ht="12.75" customHeight="1">
      <c r="L120" s="33"/>
      <c r="M120" s="33"/>
    </row>
    <row r="121" spans="12:13" ht="12.75" customHeight="1">
      <c r="L121" s="33"/>
      <c r="M121" s="33"/>
    </row>
    <row r="122" spans="12:13" ht="12.75" customHeight="1">
      <c r="L122" s="33"/>
      <c r="M122" s="33"/>
    </row>
    <row r="123" spans="12:13" ht="12.75" customHeight="1">
      <c r="L123" s="33"/>
      <c r="M123" s="33"/>
    </row>
    <row r="124" spans="12:13" ht="12.75" customHeight="1">
      <c r="L124" s="33"/>
      <c r="M124" s="33"/>
    </row>
    <row r="125" spans="12:13" ht="12.75" customHeight="1">
      <c r="L125" s="33"/>
      <c r="M125" s="33"/>
    </row>
    <row r="126" spans="12:13" ht="12.75" customHeight="1">
      <c r="L126" s="33"/>
      <c r="M126" s="33"/>
    </row>
    <row r="127" spans="12:13" ht="12.75" customHeight="1">
      <c r="L127" s="33"/>
      <c r="M127" s="33"/>
    </row>
    <row r="128" spans="12:13" ht="12.75" customHeight="1">
      <c r="L128" s="33"/>
      <c r="M128" s="33"/>
    </row>
    <row r="129" spans="12:13" ht="12.75" customHeight="1">
      <c r="L129" s="33"/>
      <c r="M129" s="33"/>
    </row>
    <row r="130" spans="12:13" ht="12.75" customHeight="1">
      <c r="L130" s="33"/>
      <c r="M130" s="33"/>
    </row>
    <row r="131" spans="12:13" ht="12.75" customHeight="1">
      <c r="L131" s="33"/>
      <c r="M131" s="33"/>
    </row>
    <row r="132" spans="12:13" ht="12.75" customHeight="1">
      <c r="L132" s="33"/>
      <c r="M132" s="33"/>
    </row>
    <row r="133" spans="12:13" ht="12.75" customHeight="1">
      <c r="L133" s="33"/>
      <c r="M133" s="33"/>
    </row>
    <row r="134" spans="12:13" ht="12.75" customHeight="1">
      <c r="L134" s="33"/>
      <c r="M134" s="33"/>
    </row>
    <row r="135" spans="12:13" ht="12.75" customHeight="1">
      <c r="L135" s="33"/>
      <c r="M135" s="33"/>
    </row>
    <row r="136" spans="12:13" ht="12.75" customHeight="1">
      <c r="L136" s="33"/>
      <c r="M136" s="33"/>
    </row>
    <row r="137" spans="12:13" ht="12.75" customHeight="1">
      <c r="L137" s="33"/>
      <c r="M137" s="33"/>
    </row>
    <row r="138" spans="12:13" ht="12.75" customHeight="1">
      <c r="L138" s="33"/>
      <c r="M138" s="33"/>
    </row>
    <row r="139" spans="12:13" ht="12.75" customHeight="1">
      <c r="L139" s="33"/>
      <c r="M139" s="33"/>
    </row>
    <row r="140" spans="12:13" ht="12.75" customHeight="1">
      <c r="L140" s="33"/>
      <c r="M140" s="33"/>
    </row>
    <row r="141" spans="12:13" ht="12.75" customHeight="1">
      <c r="L141" s="33"/>
      <c r="M141" s="33"/>
    </row>
    <row r="142" spans="12:13" ht="12.75" customHeight="1">
      <c r="L142" s="33"/>
      <c r="M142" s="33"/>
    </row>
    <row r="143" spans="12:13" ht="12.75" customHeight="1">
      <c r="L143" s="33"/>
      <c r="M143" s="33"/>
    </row>
    <row r="144" spans="12:13" ht="12.75" customHeight="1">
      <c r="L144" s="33"/>
      <c r="M144" s="33"/>
    </row>
    <row r="145" spans="12:13" ht="12.75" customHeight="1">
      <c r="L145" s="33"/>
      <c r="M145" s="33"/>
    </row>
    <row r="146" spans="12:13" ht="12.75" customHeight="1">
      <c r="L146" s="33"/>
      <c r="M146" s="33"/>
    </row>
    <row r="147" spans="12:13" ht="12.75" customHeight="1">
      <c r="L147" s="33"/>
      <c r="M147" s="33"/>
    </row>
    <row r="148" spans="12:13" ht="12.75" customHeight="1">
      <c r="L148" s="33"/>
      <c r="M148" s="33"/>
    </row>
    <row r="149" spans="12:13" ht="12.75" customHeight="1">
      <c r="L149" s="33"/>
      <c r="M149" s="33"/>
    </row>
    <row r="150" spans="12:13" ht="12.75" customHeight="1">
      <c r="L150" s="33"/>
      <c r="M150" s="33"/>
    </row>
    <row r="151" spans="12:13" ht="12.75" customHeight="1">
      <c r="L151" s="33"/>
      <c r="M151" s="33"/>
    </row>
    <row r="152" spans="12:13" ht="12.75" customHeight="1">
      <c r="L152" s="33"/>
      <c r="M152" s="33"/>
    </row>
    <row r="153" spans="12:13" ht="12.75" customHeight="1">
      <c r="L153" s="33"/>
      <c r="M153" s="33"/>
    </row>
    <row r="154" spans="12:13" ht="12.75" customHeight="1">
      <c r="L154" s="33"/>
      <c r="M154" s="33"/>
    </row>
    <row r="155" spans="12:13" ht="12.75" customHeight="1">
      <c r="L155" s="33"/>
      <c r="M155" s="33"/>
    </row>
    <row r="156" spans="12:13" ht="12.75" customHeight="1">
      <c r="L156" s="33"/>
      <c r="M156" s="33"/>
    </row>
    <row r="157" spans="12:13" ht="12.75" customHeight="1">
      <c r="L157" s="33"/>
      <c r="M157" s="33"/>
    </row>
    <row r="158" spans="12:13" ht="12.75" customHeight="1">
      <c r="L158" s="33"/>
      <c r="M158" s="33"/>
    </row>
    <row r="159" spans="12:13" ht="12.75" customHeight="1">
      <c r="L159" s="33"/>
      <c r="M159" s="33"/>
    </row>
    <row r="160" spans="12:13" ht="12.75" customHeight="1">
      <c r="L160" s="33"/>
      <c r="M160" s="33"/>
    </row>
    <row r="161" spans="12:13" ht="12.75" customHeight="1">
      <c r="L161" s="33"/>
      <c r="M161" s="33"/>
    </row>
    <row r="162" spans="12:13" ht="12.75" customHeight="1">
      <c r="L162" s="33"/>
      <c r="M162" s="33"/>
    </row>
    <row r="163" spans="12:13" ht="12.75" customHeight="1">
      <c r="L163" s="33"/>
      <c r="M163" s="33"/>
    </row>
    <row r="164" spans="12:13" ht="12.75" customHeight="1">
      <c r="L164" s="33"/>
      <c r="M164" s="33"/>
    </row>
    <row r="165" spans="12:13" ht="12.75" customHeight="1">
      <c r="L165" s="33"/>
      <c r="M165" s="33"/>
    </row>
    <row r="166" spans="12:13" ht="12.75" customHeight="1">
      <c r="L166" s="33"/>
      <c r="M166" s="33"/>
    </row>
    <row r="167" spans="12:13" ht="12.75" customHeight="1">
      <c r="L167" s="33"/>
      <c r="M167" s="33"/>
    </row>
    <row r="168" spans="12:13" ht="12.75" customHeight="1">
      <c r="L168" s="33"/>
      <c r="M168" s="33"/>
    </row>
    <row r="169" spans="12:13" ht="12.75" customHeight="1">
      <c r="L169" s="33"/>
      <c r="M169" s="33"/>
    </row>
    <row r="170" spans="12:13" ht="12.75" customHeight="1">
      <c r="L170" s="33"/>
      <c r="M170" s="33"/>
    </row>
    <row r="171" spans="12:13" ht="12.75" customHeight="1">
      <c r="L171" s="33"/>
      <c r="M171" s="33"/>
    </row>
    <row r="172" spans="12:13" ht="12.75" customHeight="1">
      <c r="L172" s="33"/>
      <c r="M172" s="33"/>
    </row>
    <row r="173" spans="12:13" ht="12.75" customHeight="1">
      <c r="L173" s="33"/>
      <c r="M173" s="33"/>
    </row>
    <row r="174" spans="12:13" ht="12.75" customHeight="1">
      <c r="L174" s="33"/>
      <c r="M174" s="33"/>
    </row>
    <row r="175" spans="12:13" ht="12.75" customHeight="1">
      <c r="L175" s="33"/>
      <c r="M175" s="33"/>
    </row>
    <row r="176" spans="12:13" ht="12.75" customHeight="1">
      <c r="L176" s="33"/>
      <c r="M176" s="33"/>
    </row>
    <row r="177" spans="12:13" ht="12.75" customHeight="1">
      <c r="L177" s="33"/>
      <c r="M177" s="33"/>
    </row>
    <row r="178" spans="12:13" ht="12.75" customHeight="1">
      <c r="L178" s="33"/>
      <c r="M178" s="33"/>
    </row>
    <row r="179" spans="12:13" ht="12.75" customHeight="1">
      <c r="L179" s="33"/>
      <c r="M179" s="33"/>
    </row>
    <row r="180" spans="12:13" ht="12.75" customHeight="1">
      <c r="L180" s="33"/>
      <c r="M180" s="33"/>
    </row>
    <row r="181" spans="12:13" ht="12.75" customHeight="1">
      <c r="L181" s="33"/>
      <c r="M181" s="33"/>
    </row>
    <row r="182" spans="12:13" ht="12.75" customHeight="1">
      <c r="L182" s="33"/>
      <c r="M182" s="33"/>
    </row>
    <row r="183" spans="12:13" ht="12.75" customHeight="1">
      <c r="L183" s="33"/>
      <c r="M183" s="33"/>
    </row>
    <row r="184" spans="12:13" ht="12.75" customHeight="1">
      <c r="L184" s="33"/>
      <c r="M184" s="33"/>
    </row>
    <row r="185" spans="12:13" ht="12.75" customHeight="1">
      <c r="L185" s="33"/>
      <c r="M185" s="33"/>
    </row>
    <row r="186" spans="12:13" ht="12.75" customHeight="1">
      <c r="L186" s="33"/>
      <c r="M186" s="33"/>
    </row>
    <row r="187" spans="12:13" ht="12.75" customHeight="1">
      <c r="L187" s="33"/>
      <c r="M187" s="33"/>
    </row>
    <row r="188" spans="12:13" ht="12.75" customHeight="1">
      <c r="L188" s="33"/>
      <c r="M188" s="33"/>
    </row>
    <row r="189" spans="12:13" ht="12.75" customHeight="1">
      <c r="L189" s="33"/>
      <c r="M189" s="33"/>
    </row>
    <row r="190" spans="12:13" ht="12.75" customHeight="1">
      <c r="L190" s="33"/>
      <c r="M190" s="33"/>
    </row>
    <row r="191" spans="12:13" ht="12.75" customHeight="1">
      <c r="L191" s="33"/>
      <c r="M191" s="33"/>
    </row>
    <row r="192" spans="12:13" ht="12.75" customHeight="1">
      <c r="L192" s="33"/>
      <c r="M192" s="33"/>
    </row>
    <row r="193" spans="12:13" ht="12.75" customHeight="1">
      <c r="L193" s="33"/>
      <c r="M193" s="33"/>
    </row>
    <row r="194" spans="12:13" ht="12.75" customHeight="1">
      <c r="L194" s="33"/>
      <c r="M194" s="33"/>
    </row>
    <row r="195" spans="12:13" ht="12.75" customHeight="1">
      <c r="L195" s="33"/>
      <c r="M195" s="33"/>
    </row>
    <row r="196" spans="12:13" ht="12.75" customHeight="1">
      <c r="L196" s="33"/>
      <c r="M196" s="33"/>
    </row>
    <row r="197" spans="12:13" ht="12.75" customHeight="1">
      <c r="L197" s="33"/>
      <c r="M197" s="33"/>
    </row>
    <row r="198" spans="12:13" ht="12.75" customHeight="1">
      <c r="L198" s="33"/>
      <c r="M198" s="33"/>
    </row>
    <row r="199" spans="12:13" ht="12.75" customHeight="1">
      <c r="L199" s="33"/>
      <c r="M199" s="33"/>
    </row>
    <row r="200" spans="12:13" ht="12.75" customHeight="1">
      <c r="L200" s="33"/>
      <c r="M200" s="33"/>
    </row>
    <row r="201" spans="12:13" ht="12.75" customHeight="1">
      <c r="L201" s="33"/>
      <c r="M201" s="33"/>
    </row>
    <row r="202" spans="12:13" ht="12.75" customHeight="1">
      <c r="L202" s="33"/>
      <c r="M202" s="33"/>
    </row>
    <row r="203" spans="12:13" ht="12.75" customHeight="1">
      <c r="L203" s="33"/>
      <c r="M203" s="33"/>
    </row>
    <row r="204" spans="12:13" ht="12.75" customHeight="1">
      <c r="L204" s="33"/>
      <c r="M204" s="33"/>
    </row>
    <row r="205" spans="12:13" ht="12.75" customHeight="1">
      <c r="L205" s="33"/>
      <c r="M205" s="33"/>
    </row>
    <row r="206" spans="12:13" ht="12.75" customHeight="1">
      <c r="L206" s="33"/>
      <c r="M206" s="33"/>
    </row>
    <row r="207" spans="12:13" ht="12.75" customHeight="1">
      <c r="L207" s="33"/>
      <c r="M207" s="33"/>
    </row>
    <row r="208" spans="12:13" ht="12.75" customHeight="1">
      <c r="L208" s="33"/>
      <c r="M208" s="33"/>
    </row>
    <row r="209" spans="12:13" ht="12.75" customHeight="1">
      <c r="L209" s="33"/>
      <c r="M209" s="33"/>
    </row>
    <row r="210" spans="12:13" ht="12.75" customHeight="1">
      <c r="L210" s="33"/>
      <c r="M210" s="33"/>
    </row>
    <row r="211" spans="12:13" ht="12.75" customHeight="1">
      <c r="L211" s="33"/>
      <c r="M211" s="33"/>
    </row>
    <row r="212" spans="12:13" ht="12.75" customHeight="1">
      <c r="L212" s="33"/>
      <c r="M212" s="33"/>
    </row>
    <row r="213" spans="12:13" ht="12.75" customHeight="1">
      <c r="L213" s="33"/>
      <c r="M213" s="33"/>
    </row>
    <row r="214" spans="12:13" ht="12.75" customHeight="1">
      <c r="L214" s="33"/>
      <c r="M214" s="33"/>
    </row>
    <row r="215" spans="12:13" ht="12.75" customHeight="1">
      <c r="L215" s="33"/>
      <c r="M215" s="33"/>
    </row>
    <row r="216" spans="12:13" ht="12.75" customHeight="1">
      <c r="L216" s="33"/>
      <c r="M216" s="33"/>
    </row>
    <row r="217" spans="12:13" ht="12.75" customHeight="1">
      <c r="L217" s="33"/>
      <c r="M217" s="33"/>
    </row>
    <row r="218" spans="12:13" ht="12.75" customHeight="1">
      <c r="L218" s="33"/>
      <c r="M218" s="33"/>
    </row>
    <row r="219" spans="12:13" ht="12.75" customHeight="1">
      <c r="L219" s="33"/>
      <c r="M219" s="33"/>
    </row>
    <row r="220" spans="12:13" ht="12.75" customHeight="1">
      <c r="L220" s="33"/>
      <c r="M220" s="33"/>
    </row>
    <row r="221" spans="12:13" ht="12.75" customHeight="1">
      <c r="L221" s="33"/>
      <c r="M221" s="33"/>
    </row>
    <row r="222" spans="12:13" ht="12.75" customHeight="1">
      <c r="L222" s="33"/>
      <c r="M222" s="33"/>
    </row>
    <row r="223" spans="12:13" ht="12.75" customHeight="1">
      <c r="L223" s="33"/>
      <c r="M223" s="33"/>
    </row>
    <row r="224" spans="12:13" ht="12.75" customHeight="1">
      <c r="L224" s="33"/>
      <c r="M224" s="33"/>
    </row>
    <row r="225" spans="12:13" ht="12.75" customHeight="1">
      <c r="L225" s="33"/>
      <c r="M225" s="33"/>
    </row>
    <row r="226" spans="12:13" ht="12.75" customHeight="1">
      <c r="L226" s="33"/>
      <c r="M226" s="33"/>
    </row>
    <row r="227" spans="12:13" ht="12.75" customHeight="1">
      <c r="L227" s="33"/>
      <c r="M227" s="33"/>
    </row>
    <row r="228" spans="12:13" ht="12.75" customHeight="1">
      <c r="L228" s="33"/>
      <c r="M228" s="33"/>
    </row>
    <row r="229" spans="12:13" ht="12.75" customHeight="1">
      <c r="L229" s="33"/>
      <c r="M229" s="33"/>
    </row>
    <row r="230" spans="12:13" ht="12.75" customHeight="1">
      <c r="L230" s="33"/>
      <c r="M230" s="33"/>
    </row>
    <row r="231" spans="12:13" ht="12.75" customHeight="1">
      <c r="L231" s="33"/>
      <c r="M231" s="33"/>
    </row>
    <row r="232" spans="12:13" ht="12.75" customHeight="1">
      <c r="L232" s="33"/>
      <c r="M232" s="33"/>
    </row>
    <row r="233" spans="12:13" ht="12.75" customHeight="1">
      <c r="L233" s="33"/>
      <c r="M233" s="33"/>
    </row>
    <row r="234" spans="12:13" ht="12.75" customHeight="1">
      <c r="L234" s="33"/>
      <c r="M234" s="33"/>
    </row>
    <row r="235" spans="12:13" ht="12.75" customHeight="1">
      <c r="L235" s="33"/>
      <c r="M235" s="33"/>
    </row>
    <row r="236" spans="12:13" ht="12.75" customHeight="1">
      <c r="L236" s="33"/>
      <c r="M236" s="33"/>
    </row>
    <row r="237" spans="12:13" ht="12.75" customHeight="1">
      <c r="L237" s="33"/>
      <c r="M237" s="33"/>
    </row>
    <row r="238" spans="12:13" ht="12.75" customHeight="1">
      <c r="L238" s="33"/>
      <c r="M238" s="33"/>
    </row>
    <row r="239" spans="12:13" ht="12.75" customHeight="1">
      <c r="L239" s="33"/>
      <c r="M239" s="33"/>
    </row>
    <row r="240" spans="12:13" ht="12.75" customHeight="1">
      <c r="L240" s="33"/>
      <c r="M240" s="33"/>
    </row>
    <row r="241" spans="12:13" ht="12.75" customHeight="1">
      <c r="L241" s="33"/>
      <c r="M241" s="33"/>
    </row>
    <row r="242" spans="12:13" ht="12.75" customHeight="1">
      <c r="L242" s="33"/>
      <c r="M242" s="33"/>
    </row>
    <row r="243" spans="12:13" ht="12.75" customHeight="1">
      <c r="L243" s="33"/>
      <c r="M243" s="33"/>
    </row>
    <row r="244" spans="12:13" ht="12.75" customHeight="1">
      <c r="L244" s="33"/>
      <c r="M244" s="33"/>
    </row>
    <row r="245" spans="12:13" ht="12.75" customHeight="1">
      <c r="L245" s="33"/>
      <c r="M245" s="33"/>
    </row>
    <row r="246" spans="12:13" ht="12.75" customHeight="1">
      <c r="L246" s="33"/>
      <c r="M246" s="33"/>
    </row>
    <row r="247" spans="12:13" ht="12.75" customHeight="1">
      <c r="L247" s="33"/>
      <c r="M247" s="33"/>
    </row>
    <row r="248" spans="12:13" ht="12.75" customHeight="1">
      <c r="L248" s="33"/>
      <c r="M248" s="33"/>
    </row>
    <row r="249" spans="12:13" ht="12.75" customHeight="1">
      <c r="L249" s="33"/>
      <c r="M249" s="33"/>
    </row>
    <row r="250" spans="12:13" ht="12.75" customHeight="1">
      <c r="L250" s="33"/>
      <c r="M250" s="33"/>
    </row>
    <row r="251" spans="12:13" ht="12.75" customHeight="1">
      <c r="L251" s="33"/>
      <c r="M251" s="33"/>
    </row>
    <row r="252" spans="12:13" ht="12.75" customHeight="1">
      <c r="L252" s="33"/>
      <c r="M252" s="33"/>
    </row>
    <row r="253" spans="12:13" ht="12.75" customHeight="1">
      <c r="L253" s="33"/>
      <c r="M253" s="33"/>
    </row>
    <row r="254" spans="12:13" ht="12.75" customHeight="1">
      <c r="L254" s="33"/>
      <c r="M254" s="33"/>
    </row>
    <row r="255" spans="12:13" ht="12.75" customHeight="1">
      <c r="L255" s="33"/>
      <c r="M255" s="33"/>
    </row>
    <row r="256" spans="12:13" ht="12.75" customHeight="1">
      <c r="L256" s="33"/>
      <c r="M256" s="33"/>
    </row>
    <row r="257" spans="12:13" ht="12.75" customHeight="1">
      <c r="L257" s="33"/>
      <c r="M257" s="33"/>
    </row>
    <row r="258" spans="12:13" ht="12.75" customHeight="1">
      <c r="L258" s="33"/>
      <c r="M258" s="33"/>
    </row>
    <row r="259" spans="12:13" ht="12.75" customHeight="1">
      <c r="L259" s="33"/>
      <c r="M259" s="33"/>
    </row>
    <row r="260" spans="12:13" ht="12.75" customHeight="1">
      <c r="L260" s="33"/>
      <c r="M260" s="33"/>
    </row>
    <row r="261" spans="12:13" ht="12.75" customHeight="1">
      <c r="L261" s="33"/>
      <c r="M261" s="33"/>
    </row>
    <row r="262" spans="12:13" ht="12.75" customHeight="1">
      <c r="L262" s="33"/>
      <c r="M262" s="33"/>
    </row>
    <row r="263" spans="12:13" ht="12.75" customHeight="1">
      <c r="L263" s="33"/>
      <c r="M263" s="33"/>
    </row>
    <row r="264" spans="12:13" ht="12.75" customHeight="1">
      <c r="L264" s="33"/>
      <c r="M264" s="33"/>
    </row>
    <row r="265" spans="12:13" ht="12.75" customHeight="1">
      <c r="L265" s="33"/>
      <c r="M265" s="33"/>
    </row>
    <row r="266" spans="12:13" ht="12.75" customHeight="1">
      <c r="L266" s="33"/>
      <c r="M266" s="33"/>
    </row>
    <row r="267" spans="12:13" ht="12.75" customHeight="1">
      <c r="L267" s="33"/>
      <c r="M267" s="33"/>
    </row>
    <row r="268" spans="12:13" ht="12.75" customHeight="1">
      <c r="L268" s="33"/>
      <c r="M268" s="33"/>
    </row>
    <row r="269" spans="12:13" ht="12.75" customHeight="1">
      <c r="L269" s="33"/>
      <c r="M269" s="33"/>
    </row>
    <row r="270" spans="12:13" ht="12.75" customHeight="1">
      <c r="L270" s="33"/>
      <c r="M270" s="33"/>
    </row>
    <row r="271" spans="12:13" ht="12.75" customHeight="1">
      <c r="L271" s="33"/>
      <c r="M271" s="33"/>
    </row>
    <row r="272" spans="12:13" ht="12.75" customHeight="1">
      <c r="L272" s="33"/>
      <c r="M272" s="33"/>
    </row>
    <row r="273" spans="12:13" ht="12.75" customHeight="1">
      <c r="L273" s="33"/>
      <c r="M273" s="33"/>
    </row>
    <row r="274" spans="12:13" ht="12.75" customHeight="1">
      <c r="L274" s="33"/>
      <c r="M274" s="33"/>
    </row>
    <row r="275" spans="12:13" ht="12.75" customHeight="1">
      <c r="L275" s="33"/>
      <c r="M275" s="33"/>
    </row>
    <row r="276" spans="12:13" ht="12.75" customHeight="1">
      <c r="L276" s="33"/>
      <c r="M276" s="33"/>
    </row>
    <row r="277" spans="12:13" ht="12.75" customHeight="1">
      <c r="L277" s="33"/>
      <c r="M277" s="33"/>
    </row>
    <row r="278" spans="12:13" ht="12.75" customHeight="1">
      <c r="L278" s="33"/>
      <c r="M278" s="33"/>
    </row>
    <row r="279" spans="12:13" ht="12.75" customHeight="1">
      <c r="L279" s="33"/>
      <c r="M279" s="33"/>
    </row>
    <row r="280" spans="12:13" ht="12.75" customHeight="1">
      <c r="L280" s="33"/>
      <c r="M280" s="33"/>
    </row>
    <row r="281" spans="12:13" ht="12.75" customHeight="1">
      <c r="L281" s="33"/>
      <c r="M281" s="33"/>
    </row>
    <row r="282" spans="12:13" ht="12.75" customHeight="1">
      <c r="L282" s="33"/>
      <c r="M282" s="33"/>
    </row>
    <row r="283" spans="12:13" ht="12.75" customHeight="1">
      <c r="L283" s="33"/>
      <c r="M283" s="33"/>
    </row>
    <row r="284" spans="12:13" ht="12.75" customHeight="1">
      <c r="L284" s="33"/>
      <c r="M284" s="33"/>
    </row>
    <row r="285" spans="12:13" ht="12.75" customHeight="1">
      <c r="L285" s="33"/>
      <c r="M285" s="33"/>
    </row>
    <row r="286" spans="12:13" ht="12.75" customHeight="1">
      <c r="L286" s="33"/>
      <c r="M286" s="33"/>
    </row>
    <row r="287" spans="12:13" ht="12.75" customHeight="1">
      <c r="L287" s="33"/>
      <c r="M287" s="33"/>
    </row>
    <row r="288" spans="12:13" ht="12.75" customHeight="1">
      <c r="L288" s="33"/>
      <c r="M288" s="33"/>
    </row>
    <row r="289" spans="12:13" ht="12.75" customHeight="1">
      <c r="L289" s="33"/>
      <c r="M289" s="33"/>
    </row>
    <row r="290" spans="12:13" ht="12.75" customHeight="1">
      <c r="L290" s="33"/>
      <c r="M290" s="33"/>
    </row>
    <row r="291" spans="12:13" ht="12.75" customHeight="1">
      <c r="L291" s="33"/>
      <c r="M291" s="33"/>
    </row>
    <row r="292" spans="12:13" ht="12.75" customHeight="1">
      <c r="L292" s="33"/>
      <c r="M292" s="33"/>
    </row>
    <row r="293" spans="12:13" ht="12.75" customHeight="1">
      <c r="L293" s="33"/>
      <c r="M293" s="33"/>
    </row>
    <row r="294" spans="12:13" ht="12.75" customHeight="1">
      <c r="L294" s="33"/>
      <c r="M294" s="33"/>
    </row>
    <row r="295" spans="12:13" ht="12.75" customHeight="1">
      <c r="L295" s="33"/>
      <c r="M295" s="33"/>
    </row>
    <row r="296" spans="12:13" ht="12.75" customHeight="1">
      <c r="L296" s="33"/>
      <c r="M296" s="33"/>
    </row>
    <row r="297" spans="12:13" ht="12.75" customHeight="1">
      <c r="L297" s="33"/>
      <c r="M297" s="33"/>
    </row>
    <row r="298" spans="12:13" ht="12.75" customHeight="1">
      <c r="L298" s="33"/>
      <c r="M298" s="33"/>
    </row>
    <row r="299" spans="12:13" ht="12.75" customHeight="1">
      <c r="L299" s="33"/>
      <c r="M299" s="33"/>
    </row>
    <row r="300" spans="12:13" ht="12.75" customHeight="1">
      <c r="L300" s="33"/>
      <c r="M300" s="33"/>
    </row>
    <row r="301" spans="12:13" ht="12.75" customHeight="1">
      <c r="L301" s="33"/>
      <c r="M301" s="33"/>
    </row>
    <row r="302" spans="12:13" ht="12.75" customHeight="1">
      <c r="L302" s="33"/>
      <c r="M302" s="33"/>
    </row>
    <row r="303" spans="12:13" ht="12.75" customHeight="1">
      <c r="L303" s="33"/>
      <c r="M303" s="33"/>
    </row>
    <row r="304" spans="12:13" ht="12.75" customHeight="1">
      <c r="L304" s="33"/>
      <c r="M304" s="33"/>
    </row>
    <row r="305" spans="12:13" ht="12.75" customHeight="1">
      <c r="L305" s="33"/>
      <c r="M305" s="33"/>
    </row>
    <row r="306" spans="12:13" ht="12.75" customHeight="1">
      <c r="L306" s="33"/>
      <c r="M306" s="33"/>
    </row>
    <row r="307" spans="12:13" ht="12.75" customHeight="1">
      <c r="L307" s="33"/>
      <c r="M307" s="33"/>
    </row>
    <row r="308" spans="12:13" ht="12.75" customHeight="1">
      <c r="L308" s="33"/>
      <c r="M308" s="33"/>
    </row>
    <row r="309" spans="12:13" ht="12.75" customHeight="1">
      <c r="L309" s="33"/>
      <c r="M309" s="33"/>
    </row>
    <row r="310" spans="12:13" ht="12.75" customHeight="1">
      <c r="L310" s="33"/>
      <c r="M310" s="33"/>
    </row>
    <row r="311" spans="12:13" ht="12.75" customHeight="1">
      <c r="L311" s="33"/>
      <c r="M311" s="33"/>
    </row>
    <row r="312" spans="12:13" ht="12.75" customHeight="1">
      <c r="L312" s="33"/>
      <c r="M312" s="33"/>
    </row>
    <row r="313" spans="12:13" ht="12.75" customHeight="1">
      <c r="L313" s="33"/>
      <c r="M313" s="33"/>
    </row>
    <row r="314" spans="12:13" ht="12.75" customHeight="1">
      <c r="L314" s="33"/>
      <c r="M314" s="33"/>
    </row>
    <row r="315" spans="12:13" ht="12.75" customHeight="1">
      <c r="L315" s="33"/>
      <c r="M315" s="33"/>
    </row>
    <row r="316" spans="12:13" ht="12.75" customHeight="1">
      <c r="L316" s="33"/>
      <c r="M316" s="33"/>
    </row>
    <row r="317" spans="12:13" ht="12.75" customHeight="1">
      <c r="L317" s="33"/>
      <c r="M317" s="33"/>
    </row>
    <row r="318" spans="12:13" ht="12.75" customHeight="1">
      <c r="L318" s="33"/>
      <c r="M318" s="33"/>
    </row>
    <row r="319" spans="12:13" ht="12.75" customHeight="1">
      <c r="L319" s="33"/>
      <c r="M319" s="33"/>
    </row>
    <row r="320" spans="12:13" ht="12.75" customHeight="1">
      <c r="L320" s="33"/>
      <c r="M320" s="33"/>
    </row>
    <row r="321" spans="12:13" ht="12.75" customHeight="1">
      <c r="L321" s="33"/>
      <c r="M321" s="33"/>
    </row>
    <row r="322" spans="12:13" ht="12.75" customHeight="1">
      <c r="L322" s="33"/>
      <c r="M322" s="33"/>
    </row>
    <row r="323" spans="12:13" ht="12.75" customHeight="1">
      <c r="L323" s="33"/>
      <c r="M323" s="33"/>
    </row>
    <row r="324" spans="12:13" ht="12.75" customHeight="1">
      <c r="L324" s="33"/>
      <c r="M324" s="33"/>
    </row>
    <row r="325" spans="12:13" ht="12.75" customHeight="1">
      <c r="L325" s="33"/>
      <c r="M325" s="33"/>
    </row>
    <row r="326" spans="12:13" ht="12.75" customHeight="1">
      <c r="L326" s="33"/>
      <c r="M326" s="33"/>
    </row>
    <row r="327" spans="12:13" ht="12.75" customHeight="1">
      <c r="L327" s="33"/>
      <c r="M327" s="33"/>
    </row>
    <row r="328" spans="12:13" ht="12.75" customHeight="1">
      <c r="L328" s="33"/>
      <c r="M328" s="33"/>
    </row>
    <row r="329" spans="12:13" ht="12.75" customHeight="1">
      <c r="L329" s="33"/>
      <c r="M329" s="33"/>
    </row>
    <row r="330" spans="12:13" ht="12.75" customHeight="1">
      <c r="L330" s="33"/>
      <c r="M330" s="33"/>
    </row>
    <row r="331" spans="12:13" ht="12.75" customHeight="1">
      <c r="L331" s="33"/>
      <c r="M331" s="33"/>
    </row>
    <row r="332" spans="12:13" ht="12.75" customHeight="1">
      <c r="L332" s="33"/>
      <c r="M332" s="33"/>
    </row>
    <row r="333" spans="12:13" ht="12.75" customHeight="1">
      <c r="L333" s="33"/>
      <c r="M333" s="33"/>
    </row>
    <row r="334" spans="12:13" ht="12.75" customHeight="1">
      <c r="L334" s="33"/>
      <c r="M334" s="33"/>
    </row>
    <row r="335" spans="12:13" ht="12.75" customHeight="1">
      <c r="L335" s="33"/>
      <c r="M335" s="33"/>
    </row>
    <row r="336" spans="12:13" ht="12.75" customHeight="1">
      <c r="L336" s="33"/>
      <c r="M336" s="33"/>
    </row>
    <row r="337" spans="12:13" ht="12.75" customHeight="1">
      <c r="L337" s="33"/>
      <c r="M337" s="33"/>
    </row>
    <row r="338" spans="12:13" ht="12.75" customHeight="1">
      <c r="L338" s="33"/>
      <c r="M338" s="33"/>
    </row>
    <row r="339" spans="12:13" ht="12.75" customHeight="1">
      <c r="L339" s="33"/>
      <c r="M339" s="33"/>
    </row>
    <row r="340" spans="12:13" ht="12.75" customHeight="1">
      <c r="L340" s="33"/>
      <c r="M340" s="33"/>
    </row>
    <row r="341" spans="12:13" ht="12.75" customHeight="1">
      <c r="L341" s="33"/>
      <c r="M341" s="33"/>
    </row>
    <row r="342" spans="12:13" ht="12.75" customHeight="1">
      <c r="L342" s="33"/>
      <c r="M342" s="33"/>
    </row>
    <row r="343" spans="12:13" ht="12.75" customHeight="1">
      <c r="L343" s="33"/>
      <c r="M343" s="33"/>
    </row>
    <row r="344" spans="12:13" ht="12.75" customHeight="1">
      <c r="L344" s="33"/>
      <c r="M344" s="33"/>
    </row>
    <row r="345" spans="12:13" ht="12.75" customHeight="1">
      <c r="L345" s="33"/>
      <c r="M345" s="33"/>
    </row>
    <row r="346" spans="12:13" ht="12.75" customHeight="1">
      <c r="L346" s="33"/>
      <c r="M346" s="33"/>
    </row>
    <row r="347" spans="12:13" ht="12.75" customHeight="1">
      <c r="L347" s="33"/>
      <c r="M347" s="33"/>
    </row>
    <row r="348" spans="12:13" ht="12.75" customHeight="1">
      <c r="L348" s="33"/>
      <c r="M348" s="33"/>
    </row>
    <row r="349" spans="12:13" ht="12.75" customHeight="1">
      <c r="L349" s="33"/>
      <c r="M349" s="33"/>
    </row>
    <row r="350" spans="12:13" ht="12.75" customHeight="1">
      <c r="L350" s="33"/>
      <c r="M350" s="33"/>
    </row>
    <row r="351" spans="12:13" ht="12.75" customHeight="1">
      <c r="L351" s="33"/>
      <c r="M351" s="33"/>
    </row>
    <row r="352" spans="12:13" ht="12.75" customHeight="1">
      <c r="L352" s="33"/>
      <c r="M352" s="33"/>
    </row>
    <row r="353" spans="12:13" ht="12.75" customHeight="1">
      <c r="L353" s="33"/>
      <c r="M353" s="33"/>
    </row>
    <row r="354" spans="12:13" ht="12.75" customHeight="1">
      <c r="L354" s="33"/>
      <c r="M354" s="33"/>
    </row>
    <row r="355" spans="12:13" ht="12.75" customHeight="1">
      <c r="L355" s="33"/>
      <c r="M355" s="33"/>
    </row>
    <row r="356" spans="12:13" ht="12.75" customHeight="1">
      <c r="L356" s="33"/>
      <c r="M356" s="33"/>
    </row>
    <row r="357" spans="12:13" ht="12.75" customHeight="1">
      <c r="L357" s="33"/>
      <c r="M357" s="33"/>
    </row>
    <row r="358" spans="12:13" ht="12.75" customHeight="1">
      <c r="L358" s="33"/>
      <c r="M358" s="33"/>
    </row>
    <row r="359" spans="12:13" ht="12.75" customHeight="1">
      <c r="L359" s="33"/>
      <c r="M359" s="33"/>
    </row>
    <row r="360" spans="12:13" ht="12.75" customHeight="1">
      <c r="L360" s="33"/>
      <c r="M360" s="33"/>
    </row>
    <row r="361" spans="12:13" ht="12.75" customHeight="1">
      <c r="L361" s="33"/>
      <c r="M361" s="33"/>
    </row>
    <row r="362" spans="12:13" ht="12.75" customHeight="1">
      <c r="L362" s="33"/>
      <c r="M362" s="33"/>
    </row>
    <row r="363" spans="12:13" ht="12.75" customHeight="1">
      <c r="L363" s="33"/>
      <c r="M363" s="33"/>
    </row>
    <row r="364" spans="12:13" ht="12.75" customHeight="1">
      <c r="L364" s="33"/>
      <c r="M364" s="33"/>
    </row>
    <row r="365" spans="12:13" ht="12.75" customHeight="1">
      <c r="L365" s="33"/>
      <c r="M365" s="33"/>
    </row>
    <row r="366" spans="12:13" ht="12.75" customHeight="1">
      <c r="L366" s="33"/>
      <c r="M366" s="33"/>
    </row>
    <row r="367" spans="12:13" ht="12.75" customHeight="1">
      <c r="L367" s="33"/>
      <c r="M367" s="33"/>
    </row>
    <row r="368" spans="12:13" ht="12.75" customHeight="1">
      <c r="L368" s="33"/>
      <c r="M368" s="33"/>
    </row>
    <row r="369" spans="12:13" ht="12.75" customHeight="1">
      <c r="L369" s="33"/>
      <c r="M369" s="33"/>
    </row>
    <row r="370" spans="12:13" ht="12.75" customHeight="1">
      <c r="L370" s="33"/>
      <c r="M370" s="33"/>
    </row>
    <row r="371" spans="12:13" ht="12.75" customHeight="1">
      <c r="L371" s="33"/>
      <c r="M371" s="33"/>
    </row>
    <row r="372" spans="12:13" ht="12.75" customHeight="1">
      <c r="L372" s="33"/>
      <c r="M372" s="33"/>
    </row>
    <row r="373" spans="12:13" ht="12.75" customHeight="1">
      <c r="L373" s="33"/>
      <c r="M373" s="33"/>
    </row>
    <row r="374" spans="12:13" ht="12.75" customHeight="1">
      <c r="L374" s="33"/>
      <c r="M374" s="33"/>
    </row>
    <row r="375" spans="12:13" ht="12.75" customHeight="1">
      <c r="L375" s="33"/>
      <c r="M375" s="33"/>
    </row>
    <row r="376" spans="12:13" ht="12.75" customHeight="1">
      <c r="L376" s="33"/>
      <c r="M376" s="33"/>
    </row>
    <row r="377" spans="12:13" ht="12.75" customHeight="1">
      <c r="L377" s="33"/>
      <c r="M377" s="33"/>
    </row>
    <row r="378" spans="12:13" ht="12.75" customHeight="1">
      <c r="L378" s="33"/>
      <c r="M378" s="33"/>
    </row>
    <row r="379" spans="12:13" ht="12.75" customHeight="1">
      <c r="L379" s="33"/>
      <c r="M379" s="33"/>
    </row>
    <row r="380" spans="12:13" ht="12.75" customHeight="1">
      <c r="L380" s="33"/>
      <c r="M380" s="33"/>
    </row>
    <row r="381" spans="12:13" ht="12.75" customHeight="1">
      <c r="L381" s="33"/>
      <c r="M381" s="33"/>
    </row>
    <row r="382" spans="12:13" ht="12.75" customHeight="1">
      <c r="L382" s="33"/>
      <c r="M382" s="33"/>
    </row>
    <row r="383" spans="12:13" ht="12.75" customHeight="1">
      <c r="L383" s="33"/>
      <c r="M383" s="33"/>
    </row>
    <row r="384" spans="12:13" ht="12.75" customHeight="1">
      <c r="L384" s="33"/>
      <c r="M384" s="33"/>
    </row>
    <row r="385" spans="12:13" ht="12.75" customHeight="1">
      <c r="L385" s="33"/>
      <c r="M385" s="33"/>
    </row>
    <row r="386" spans="12:13" ht="12.75" customHeight="1">
      <c r="L386" s="33"/>
      <c r="M386" s="33"/>
    </row>
    <row r="387" spans="12:13" ht="12.75" customHeight="1">
      <c r="L387" s="33"/>
      <c r="M387" s="33"/>
    </row>
    <row r="388" spans="12:13" ht="12.75" customHeight="1">
      <c r="L388" s="33"/>
      <c r="M388" s="33"/>
    </row>
    <row r="389" spans="12:13" ht="12.75" customHeight="1">
      <c r="L389" s="33"/>
      <c r="M389" s="33"/>
    </row>
    <row r="390" spans="12:13" ht="12.75" customHeight="1">
      <c r="L390" s="33"/>
      <c r="M390" s="33"/>
    </row>
    <row r="391" spans="12:13" ht="12.75" customHeight="1">
      <c r="L391" s="33"/>
      <c r="M391" s="33"/>
    </row>
    <row r="392" spans="12:13" ht="12.75" customHeight="1">
      <c r="L392" s="33"/>
      <c r="M392" s="33"/>
    </row>
    <row r="393" spans="12:13" ht="12.75" customHeight="1">
      <c r="L393" s="33"/>
      <c r="M393" s="33"/>
    </row>
    <row r="394" spans="12:13" ht="12.75" customHeight="1">
      <c r="L394" s="33"/>
      <c r="M394" s="33"/>
    </row>
    <row r="395" spans="12:13" ht="12.75" customHeight="1">
      <c r="L395" s="33"/>
      <c r="M395" s="33"/>
    </row>
    <row r="396" spans="12:13" ht="12.75" customHeight="1">
      <c r="L396" s="33"/>
      <c r="M396" s="33"/>
    </row>
    <row r="397" spans="12:13" ht="12.75" customHeight="1">
      <c r="L397" s="33"/>
      <c r="M397" s="33"/>
    </row>
    <row r="398" spans="12:13" ht="12.75" customHeight="1">
      <c r="L398" s="33"/>
      <c r="M398" s="33"/>
    </row>
    <row r="399" spans="12:13" ht="12.75" customHeight="1">
      <c r="L399" s="33"/>
      <c r="M399" s="33"/>
    </row>
    <row r="400" spans="12:13" ht="12.75" customHeight="1">
      <c r="L400" s="33"/>
      <c r="M400" s="33"/>
    </row>
    <row r="401" spans="12:13" ht="12.75" customHeight="1">
      <c r="L401" s="33"/>
      <c r="M401" s="33"/>
    </row>
    <row r="402" spans="12:13" ht="12.75" customHeight="1">
      <c r="L402" s="33"/>
      <c r="M402" s="33"/>
    </row>
    <row r="403" spans="12:13" ht="12.75" customHeight="1">
      <c r="L403" s="33"/>
      <c r="M403" s="33"/>
    </row>
    <row r="404" spans="12:13" ht="12.75" customHeight="1">
      <c r="L404" s="33"/>
      <c r="M404" s="33"/>
    </row>
    <row r="405" spans="12:13" ht="12.75" customHeight="1">
      <c r="L405" s="33"/>
      <c r="M405" s="33"/>
    </row>
    <row r="406" spans="12:13" ht="12.75" customHeight="1">
      <c r="L406" s="33"/>
      <c r="M406" s="33"/>
    </row>
    <row r="407" spans="12:13" ht="12.75" customHeight="1">
      <c r="L407" s="33"/>
      <c r="M407" s="33"/>
    </row>
    <row r="408" spans="12:13" ht="12.75" customHeight="1">
      <c r="L408" s="33"/>
      <c r="M408" s="33"/>
    </row>
    <row r="409" spans="12:13" ht="12.75" customHeight="1">
      <c r="L409" s="33"/>
      <c r="M409" s="33"/>
    </row>
    <row r="410" spans="12:13" ht="12.75" customHeight="1">
      <c r="L410" s="33"/>
      <c r="M410" s="33"/>
    </row>
    <row r="411" spans="12:13" ht="12.75" customHeight="1">
      <c r="L411" s="33"/>
      <c r="M411" s="33"/>
    </row>
    <row r="412" spans="12:13" ht="12.75" customHeight="1">
      <c r="L412" s="33"/>
      <c r="M412" s="33"/>
    </row>
    <row r="413" spans="12:13" ht="12.75" customHeight="1">
      <c r="L413" s="33"/>
      <c r="M413" s="33"/>
    </row>
    <row r="414" spans="12:13" ht="12.75" customHeight="1">
      <c r="L414" s="33"/>
      <c r="M414" s="33"/>
    </row>
    <row r="415" spans="12:13" ht="12.75" customHeight="1">
      <c r="L415" s="33"/>
      <c r="M415" s="33"/>
    </row>
    <row r="416" spans="12:13" ht="12.75" customHeight="1">
      <c r="L416" s="33"/>
      <c r="M416" s="33"/>
    </row>
    <row r="417" spans="12:13" ht="12.75" customHeight="1">
      <c r="L417" s="33"/>
      <c r="M417" s="33"/>
    </row>
    <row r="418" spans="12:13" ht="12.75" customHeight="1">
      <c r="L418" s="33"/>
      <c r="M418" s="33"/>
    </row>
    <row r="419" spans="12:13" ht="12.75" customHeight="1">
      <c r="L419" s="33"/>
      <c r="M419" s="33"/>
    </row>
    <row r="420" spans="12:13" ht="12.75" customHeight="1">
      <c r="L420" s="33"/>
      <c r="M420" s="33"/>
    </row>
    <row r="421" spans="12:13" ht="12.75" customHeight="1">
      <c r="L421" s="33"/>
      <c r="M421" s="33"/>
    </row>
    <row r="422" spans="12:13" ht="12.75" customHeight="1">
      <c r="L422" s="33"/>
      <c r="M422" s="33"/>
    </row>
    <row r="423" spans="12:13" ht="12.75" customHeight="1">
      <c r="L423" s="33"/>
      <c r="M423" s="33"/>
    </row>
    <row r="424" spans="12:13" ht="12.75" customHeight="1">
      <c r="L424" s="33"/>
      <c r="M424" s="33"/>
    </row>
    <row r="425" spans="12:13" ht="12.75" customHeight="1">
      <c r="L425" s="33"/>
      <c r="M425" s="33"/>
    </row>
    <row r="426" spans="12:13" ht="12.75" customHeight="1">
      <c r="L426" s="33"/>
      <c r="M426" s="33"/>
    </row>
    <row r="427" spans="12:13" ht="12.75" customHeight="1">
      <c r="L427" s="33"/>
      <c r="M427" s="33"/>
    </row>
    <row r="428" spans="12:13" ht="12.75" customHeight="1">
      <c r="L428" s="33"/>
      <c r="M428" s="33"/>
    </row>
    <row r="429" spans="12:13" ht="12.75" customHeight="1">
      <c r="L429" s="33"/>
      <c r="M429" s="33"/>
    </row>
    <row r="430" spans="12:13" ht="12.75" customHeight="1">
      <c r="L430" s="33"/>
      <c r="M430" s="33"/>
    </row>
    <row r="431" spans="12:13" ht="12.75" customHeight="1">
      <c r="L431" s="33"/>
      <c r="M431" s="33"/>
    </row>
    <row r="432" spans="12:13" ht="12.75" customHeight="1">
      <c r="L432" s="33"/>
      <c r="M432" s="33"/>
    </row>
    <row r="433" spans="12:13" ht="12.75" customHeight="1">
      <c r="L433" s="33"/>
      <c r="M433" s="33"/>
    </row>
    <row r="434" spans="12:13" ht="12.75" customHeight="1">
      <c r="L434" s="33"/>
      <c r="M434" s="33"/>
    </row>
    <row r="435" spans="12:13" ht="12.75" customHeight="1">
      <c r="L435" s="33"/>
      <c r="M435" s="33"/>
    </row>
    <row r="436" spans="12:13" ht="12.75" customHeight="1">
      <c r="L436" s="33"/>
      <c r="M436" s="33"/>
    </row>
    <row r="437" spans="12:13" ht="12.75" customHeight="1">
      <c r="L437" s="33"/>
      <c r="M437" s="33"/>
    </row>
    <row r="438" spans="12:13" ht="12.75" customHeight="1">
      <c r="L438" s="33"/>
      <c r="M438" s="33"/>
    </row>
    <row r="439" spans="12:13" ht="12.75" customHeight="1">
      <c r="L439" s="33"/>
      <c r="M439" s="33"/>
    </row>
    <row r="440" spans="12:13" ht="12.75" customHeight="1">
      <c r="L440" s="33"/>
      <c r="M440" s="33"/>
    </row>
    <row r="441" spans="12:13" ht="12.75" customHeight="1">
      <c r="L441" s="33"/>
      <c r="M441" s="33"/>
    </row>
    <row r="442" spans="12:13" ht="12.75" customHeight="1">
      <c r="L442" s="33"/>
      <c r="M442" s="33"/>
    </row>
    <row r="443" spans="12:13" ht="12.75" customHeight="1">
      <c r="L443" s="33"/>
      <c r="M443" s="33"/>
    </row>
    <row r="444" spans="12:13" ht="12.75" customHeight="1">
      <c r="L444" s="33"/>
      <c r="M444" s="33"/>
    </row>
    <row r="445" spans="12:13" ht="12.75" customHeight="1">
      <c r="L445" s="33"/>
      <c r="M445" s="33"/>
    </row>
    <row r="446" spans="12:13" ht="12.75" customHeight="1">
      <c r="L446" s="33"/>
      <c r="M446" s="33"/>
    </row>
    <row r="447" spans="12:13" ht="12.75" customHeight="1">
      <c r="L447" s="33"/>
      <c r="M447" s="33"/>
    </row>
    <row r="448" spans="12:13" ht="12.75" customHeight="1">
      <c r="L448" s="33"/>
      <c r="M448" s="33"/>
    </row>
    <row r="449" spans="12:13" ht="12.75" customHeight="1">
      <c r="L449" s="33"/>
      <c r="M449" s="33"/>
    </row>
    <row r="450" spans="12:13" ht="12.75" customHeight="1">
      <c r="L450" s="33"/>
      <c r="M450" s="33"/>
    </row>
    <row r="451" spans="12:13" ht="12.75" customHeight="1">
      <c r="L451" s="33"/>
      <c r="M451" s="33"/>
    </row>
    <row r="452" spans="12:13" ht="12.75" customHeight="1">
      <c r="L452" s="33"/>
      <c r="M452" s="33"/>
    </row>
    <row r="453" spans="12:13" ht="12.75" customHeight="1">
      <c r="L453" s="33"/>
      <c r="M453" s="33"/>
    </row>
    <row r="454" spans="12:13" ht="12.75" customHeight="1">
      <c r="L454" s="33"/>
      <c r="M454" s="33"/>
    </row>
    <row r="455" spans="12:13" ht="12.75" customHeight="1">
      <c r="L455" s="33"/>
      <c r="M455" s="33"/>
    </row>
    <row r="456" spans="12:13" ht="12.75" customHeight="1">
      <c r="L456" s="33"/>
      <c r="M456" s="33"/>
    </row>
    <row r="457" spans="12:13" ht="12.75" customHeight="1">
      <c r="L457" s="33"/>
      <c r="M457" s="33"/>
    </row>
    <row r="458" spans="12:13" ht="12.75" customHeight="1">
      <c r="L458" s="33"/>
      <c r="M458" s="33"/>
    </row>
    <row r="459" spans="12:13" ht="12.75" customHeight="1">
      <c r="L459" s="33"/>
      <c r="M459" s="33"/>
    </row>
    <row r="460" spans="12:13" ht="12.75" customHeight="1">
      <c r="L460" s="33"/>
      <c r="M460" s="33"/>
    </row>
    <row r="461" spans="12:13" ht="12.75" customHeight="1">
      <c r="L461" s="33"/>
      <c r="M461" s="33"/>
    </row>
    <row r="462" spans="12:13" ht="12.75" customHeight="1">
      <c r="L462" s="33"/>
      <c r="M462" s="33"/>
    </row>
    <row r="463" spans="12:13" ht="12.75" customHeight="1">
      <c r="L463" s="33"/>
      <c r="M463" s="33"/>
    </row>
    <row r="464" spans="12:13" ht="12.75" customHeight="1">
      <c r="L464" s="33"/>
      <c r="M464" s="33"/>
    </row>
    <row r="465" spans="12:13" ht="12.75" customHeight="1">
      <c r="L465" s="33"/>
      <c r="M465" s="33"/>
    </row>
    <row r="466" spans="12:13" ht="12.75" customHeight="1">
      <c r="L466" s="33"/>
      <c r="M466" s="33"/>
    </row>
    <row r="467" spans="12:13" ht="12.75" customHeight="1">
      <c r="L467" s="33"/>
      <c r="M467" s="33"/>
    </row>
    <row r="468" spans="12:13" ht="12.75" customHeight="1">
      <c r="L468" s="33"/>
      <c r="M468" s="33"/>
    </row>
    <row r="469" spans="12:13" ht="12.75" customHeight="1">
      <c r="L469" s="33"/>
      <c r="M469" s="33"/>
    </row>
    <row r="470" spans="12:13" ht="12.75" customHeight="1">
      <c r="L470" s="33"/>
      <c r="M470" s="33"/>
    </row>
    <row r="471" spans="12:13" ht="12.75" customHeight="1">
      <c r="L471" s="33"/>
      <c r="M471" s="33"/>
    </row>
    <row r="472" spans="12:13" ht="12.75" customHeight="1">
      <c r="L472" s="33"/>
      <c r="M472" s="33"/>
    </row>
    <row r="473" spans="12:13" ht="12.75" customHeight="1">
      <c r="L473" s="33"/>
      <c r="M473" s="33"/>
    </row>
    <row r="474" spans="12:13" ht="12.75" customHeight="1">
      <c r="L474" s="33"/>
      <c r="M474" s="33"/>
    </row>
    <row r="475" spans="12:13" ht="12.75" customHeight="1">
      <c r="L475" s="33"/>
      <c r="M475" s="33"/>
    </row>
    <row r="476" spans="12:13" ht="12.75" customHeight="1">
      <c r="L476" s="33"/>
      <c r="M476" s="33"/>
    </row>
    <row r="477" spans="12:13" ht="12.75" customHeight="1">
      <c r="L477" s="33"/>
      <c r="M477" s="33"/>
    </row>
    <row r="478" spans="12:13" ht="12.75" customHeight="1">
      <c r="L478" s="33"/>
      <c r="M478" s="33"/>
    </row>
    <row r="479" spans="12:13" ht="12.75" customHeight="1">
      <c r="L479" s="33"/>
      <c r="M479" s="33"/>
    </row>
    <row r="480" spans="12:13" ht="12.75" customHeight="1">
      <c r="L480" s="33"/>
      <c r="M480" s="33"/>
    </row>
    <row r="481" spans="12:13" ht="12.75" customHeight="1">
      <c r="L481" s="33"/>
      <c r="M481" s="33"/>
    </row>
    <row r="482" spans="12:13" ht="12.75" customHeight="1">
      <c r="L482" s="33"/>
      <c r="M482" s="33"/>
    </row>
    <row r="483" spans="12:13" ht="12.75" customHeight="1">
      <c r="L483" s="33"/>
      <c r="M483" s="33"/>
    </row>
    <row r="484" spans="12:13" ht="12.75" customHeight="1">
      <c r="L484" s="33"/>
      <c r="M484" s="33"/>
    </row>
    <row r="485" spans="12:13" ht="12.75" customHeight="1">
      <c r="L485" s="33"/>
      <c r="M485" s="33"/>
    </row>
    <row r="486" spans="12:13" ht="12.75" customHeight="1">
      <c r="L486" s="33"/>
      <c r="M486" s="33"/>
    </row>
    <row r="487" spans="12:13" ht="12.75" customHeight="1">
      <c r="L487" s="33"/>
      <c r="M487" s="33"/>
    </row>
    <row r="488" spans="12:13" ht="12.75" customHeight="1">
      <c r="L488" s="33"/>
      <c r="M488" s="33"/>
    </row>
    <row r="489" spans="12:13" ht="12.75" customHeight="1">
      <c r="L489" s="33"/>
      <c r="M489" s="33"/>
    </row>
    <row r="490" spans="12:13" ht="12.75" customHeight="1">
      <c r="L490" s="33"/>
      <c r="M490" s="33"/>
    </row>
    <row r="491" spans="12:13" ht="12.75" customHeight="1">
      <c r="L491" s="33"/>
      <c r="M491" s="33"/>
    </row>
    <row r="492" spans="12:13" ht="12.75" customHeight="1">
      <c r="L492" s="33"/>
      <c r="M492" s="33"/>
    </row>
    <row r="493" spans="12:13" ht="12.75" customHeight="1">
      <c r="L493" s="33"/>
      <c r="M493" s="33"/>
    </row>
    <row r="494" spans="12:13" ht="12.75" customHeight="1">
      <c r="L494" s="33"/>
      <c r="M494" s="33"/>
    </row>
    <row r="495" spans="12:13" ht="12.75" customHeight="1">
      <c r="L495" s="33"/>
      <c r="M495" s="33"/>
    </row>
    <row r="496" spans="12:13" ht="12.75" customHeight="1">
      <c r="L496" s="33"/>
      <c r="M496" s="33"/>
    </row>
    <row r="497" spans="12:13" ht="12.75" customHeight="1">
      <c r="L497" s="33"/>
      <c r="M497" s="33"/>
    </row>
    <row r="498" spans="12:13" ht="12.75" customHeight="1">
      <c r="L498" s="33"/>
      <c r="M498" s="33"/>
    </row>
    <row r="499" spans="12:13" ht="12.75" customHeight="1">
      <c r="L499" s="33"/>
      <c r="M499" s="33"/>
    </row>
    <row r="500" spans="12:13" ht="12.75" customHeight="1">
      <c r="L500" s="33"/>
      <c r="M500" s="33"/>
    </row>
    <row r="501" spans="12:13" ht="12.75" customHeight="1">
      <c r="L501" s="33"/>
      <c r="M501" s="33"/>
    </row>
    <row r="502" spans="12:13" ht="12.75" customHeight="1">
      <c r="L502" s="33"/>
      <c r="M502" s="33"/>
    </row>
    <row r="503" spans="12:13" ht="12.75" customHeight="1">
      <c r="L503" s="33"/>
      <c r="M503" s="33"/>
    </row>
    <row r="504" spans="12:13" ht="12.75" customHeight="1">
      <c r="L504" s="33"/>
      <c r="M504" s="33"/>
    </row>
    <row r="505" spans="12:13" ht="12.75" customHeight="1">
      <c r="L505" s="33"/>
      <c r="M505" s="33"/>
    </row>
    <row r="506" spans="12:13" ht="12.75" customHeight="1">
      <c r="L506" s="33"/>
      <c r="M506" s="33"/>
    </row>
    <row r="507" spans="12:13" ht="12.75" customHeight="1">
      <c r="L507" s="33"/>
      <c r="M507" s="33"/>
    </row>
    <row r="508" spans="12:13" ht="12.75" customHeight="1">
      <c r="L508" s="33"/>
      <c r="M508" s="33"/>
    </row>
    <row r="509" spans="12:13" ht="12.75" customHeight="1">
      <c r="L509" s="33"/>
      <c r="M509" s="33"/>
    </row>
    <row r="510" spans="12:13" ht="12.75" customHeight="1">
      <c r="L510" s="33"/>
      <c r="M510" s="33"/>
    </row>
    <row r="511" spans="12:13" ht="12.75" customHeight="1">
      <c r="L511" s="33"/>
      <c r="M511" s="33"/>
    </row>
    <row r="512" spans="12:13" ht="12.75" customHeight="1">
      <c r="L512" s="33"/>
      <c r="M512" s="33"/>
    </row>
    <row r="513" spans="12:13" ht="12.75" customHeight="1">
      <c r="L513" s="33"/>
      <c r="M513" s="33"/>
    </row>
    <row r="514" spans="12:13" ht="12.75" customHeight="1">
      <c r="L514" s="33"/>
      <c r="M514" s="33"/>
    </row>
    <row r="515" spans="12:13" ht="12.75" customHeight="1">
      <c r="L515" s="33"/>
      <c r="M515" s="33"/>
    </row>
    <row r="516" spans="12:13" ht="12.75" customHeight="1">
      <c r="L516" s="33"/>
      <c r="M516" s="33"/>
    </row>
    <row r="517" spans="12:13" ht="12.75" customHeight="1">
      <c r="L517" s="33"/>
      <c r="M517" s="33"/>
    </row>
    <row r="518" spans="12:13" ht="12.75" customHeight="1">
      <c r="L518" s="33"/>
      <c r="M518" s="33"/>
    </row>
    <row r="519" spans="12:13" ht="12.75" customHeight="1">
      <c r="L519" s="33"/>
      <c r="M519" s="33"/>
    </row>
    <row r="520" spans="12:13" ht="12.75" customHeight="1">
      <c r="L520" s="33"/>
      <c r="M520" s="33"/>
    </row>
    <row r="521" spans="12:13" ht="12.75" customHeight="1">
      <c r="L521" s="33"/>
      <c r="M521" s="33"/>
    </row>
    <row r="522" spans="12:13" ht="12.75" customHeight="1">
      <c r="L522" s="33"/>
      <c r="M522" s="33"/>
    </row>
    <row r="523" spans="12:13" ht="12.75" customHeight="1">
      <c r="L523" s="33"/>
      <c r="M523" s="33"/>
    </row>
    <row r="524" spans="12:13" ht="12.75" customHeight="1">
      <c r="L524" s="33"/>
      <c r="M524" s="33"/>
    </row>
    <row r="525" spans="12:13" ht="12.75" customHeight="1">
      <c r="L525" s="33"/>
      <c r="M525" s="33"/>
    </row>
    <row r="526" spans="12:13" ht="12.75" customHeight="1">
      <c r="L526" s="33"/>
      <c r="M526" s="33"/>
    </row>
    <row r="527" spans="12:13" ht="12.75" customHeight="1">
      <c r="L527" s="33"/>
      <c r="M527" s="33"/>
    </row>
    <row r="528" spans="12:13" ht="12.75" customHeight="1">
      <c r="L528" s="33"/>
      <c r="M528" s="33"/>
    </row>
    <row r="529" spans="12:13" ht="12.75" customHeight="1">
      <c r="L529" s="33"/>
      <c r="M529" s="33"/>
    </row>
    <row r="530" spans="12:13" ht="12.75" customHeight="1">
      <c r="L530" s="33"/>
      <c r="M530" s="33"/>
    </row>
    <row r="531" spans="12:13" ht="12.75" customHeight="1">
      <c r="L531" s="33"/>
      <c r="M531" s="33"/>
    </row>
    <row r="532" spans="12:13" ht="12.75" customHeight="1">
      <c r="L532" s="33"/>
      <c r="M532" s="33"/>
    </row>
    <row r="533" spans="12:13" ht="12.75" customHeight="1">
      <c r="L533" s="33"/>
      <c r="M533" s="33"/>
    </row>
    <row r="534" spans="12:13" ht="12.75" customHeight="1">
      <c r="L534" s="33"/>
      <c r="M534" s="33"/>
    </row>
    <row r="535" spans="12:13" ht="12.75" customHeight="1">
      <c r="L535" s="33"/>
      <c r="M535" s="33"/>
    </row>
    <row r="536" spans="12:13" ht="12.75" customHeight="1">
      <c r="L536" s="33"/>
      <c r="M536" s="33"/>
    </row>
    <row r="537" spans="12:13" ht="12.75" customHeight="1">
      <c r="L537" s="33"/>
      <c r="M537" s="33"/>
    </row>
    <row r="538" spans="12:13" ht="12.75" customHeight="1">
      <c r="L538" s="33"/>
      <c r="M538" s="33"/>
    </row>
    <row r="539" spans="12:13" ht="12.75" customHeight="1">
      <c r="L539" s="33"/>
      <c r="M539" s="33"/>
    </row>
    <row r="540" spans="12:13" ht="12.75" customHeight="1">
      <c r="L540" s="33"/>
      <c r="M540" s="33"/>
    </row>
    <row r="541" spans="12:13" ht="12.75" customHeight="1">
      <c r="L541" s="33"/>
      <c r="M541" s="33"/>
    </row>
    <row r="542" spans="12:13" ht="12.75" customHeight="1">
      <c r="L542" s="33"/>
      <c r="M542" s="33"/>
    </row>
    <row r="543" spans="12:13" ht="12.75" customHeight="1">
      <c r="L543" s="33"/>
      <c r="M543" s="33"/>
    </row>
    <row r="544" spans="12:13" ht="12.75" customHeight="1">
      <c r="L544" s="33"/>
      <c r="M544" s="33"/>
    </row>
    <row r="545" spans="12:13" ht="12.75" customHeight="1">
      <c r="L545" s="33"/>
      <c r="M545" s="33"/>
    </row>
    <row r="546" spans="12:13" ht="12.75" customHeight="1">
      <c r="L546" s="33"/>
      <c r="M546" s="33"/>
    </row>
    <row r="547" spans="12:13" ht="12.75" customHeight="1">
      <c r="L547" s="33"/>
      <c r="M547" s="33"/>
    </row>
    <row r="548" spans="12:13" ht="12.75" customHeight="1">
      <c r="L548" s="33"/>
      <c r="M548" s="33"/>
    </row>
    <row r="549" spans="12:13" ht="12.75" customHeight="1">
      <c r="L549" s="33"/>
      <c r="M549" s="33"/>
    </row>
    <row r="550" spans="12:13" ht="12.75" customHeight="1">
      <c r="L550" s="33"/>
      <c r="M550" s="33"/>
    </row>
    <row r="551" spans="12:13" ht="12.75" customHeight="1">
      <c r="L551" s="33"/>
      <c r="M551" s="33"/>
    </row>
    <row r="552" spans="12:13" ht="12.75" customHeight="1">
      <c r="L552" s="33"/>
      <c r="M552" s="33"/>
    </row>
    <row r="553" spans="12:13" ht="12.75" customHeight="1">
      <c r="L553" s="33"/>
      <c r="M553" s="33"/>
    </row>
    <row r="554" spans="12:13" ht="12.75" customHeight="1">
      <c r="L554" s="33"/>
      <c r="M554" s="33"/>
    </row>
    <row r="555" spans="12:13" ht="12.75" customHeight="1">
      <c r="L555" s="33"/>
      <c r="M555" s="33"/>
    </row>
    <row r="556" spans="12:13" ht="12.75" customHeight="1">
      <c r="L556" s="33"/>
      <c r="M556" s="33"/>
    </row>
    <row r="557" spans="12:13" ht="12.75" customHeight="1">
      <c r="L557" s="33"/>
      <c r="M557" s="33"/>
    </row>
    <row r="558" spans="12:13" ht="12.75" customHeight="1">
      <c r="L558" s="33"/>
      <c r="M558" s="33"/>
    </row>
    <row r="559" spans="12:13" ht="12.75" customHeight="1">
      <c r="L559" s="33"/>
      <c r="M559" s="33"/>
    </row>
    <row r="560" spans="12:13" ht="12.75" customHeight="1">
      <c r="L560" s="33"/>
      <c r="M560" s="33"/>
    </row>
    <row r="561" spans="12:13" ht="12.75" customHeight="1">
      <c r="L561" s="33"/>
      <c r="M561" s="33"/>
    </row>
    <row r="562" spans="12:13" ht="12.75" customHeight="1">
      <c r="L562" s="33"/>
      <c r="M562" s="33"/>
    </row>
    <row r="563" spans="12:13" ht="12.75" customHeight="1">
      <c r="L563" s="33"/>
      <c r="M563" s="33"/>
    </row>
    <row r="564" spans="12:13" ht="12.75" customHeight="1">
      <c r="L564" s="33"/>
      <c r="M564" s="33"/>
    </row>
    <row r="565" spans="12:13" ht="12.75" customHeight="1">
      <c r="L565" s="33"/>
      <c r="M565" s="33"/>
    </row>
    <row r="566" spans="12:13" ht="12.75" customHeight="1">
      <c r="L566" s="33"/>
      <c r="M566" s="33"/>
    </row>
    <row r="567" spans="12:13" ht="12.75" customHeight="1">
      <c r="L567" s="33"/>
      <c r="M567" s="33"/>
    </row>
    <row r="568" spans="12:13" ht="12.75" customHeight="1">
      <c r="L568" s="33"/>
      <c r="M568" s="33"/>
    </row>
    <row r="569" spans="12:13" ht="12.75" customHeight="1">
      <c r="L569" s="33"/>
      <c r="M569" s="33"/>
    </row>
    <row r="570" spans="12:13" ht="12.75" customHeight="1">
      <c r="L570" s="33"/>
      <c r="M570" s="33"/>
    </row>
    <row r="571" spans="12:13" ht="12.75" customHeight="1">
      <c r="L571" s="33"/>
      <c r="M571" s="33"/>
    </row>
    <row r="572" spans="12:13" ht="12.75" customHeight="1">
      <c r="L572" s="33"/>
      <c r="M572" s="33"/>
    </row>
    <row r="573" spans="12:13" ht="12.75" customHeight="1">
      <c r="L573" s="33"/>
      <c r="M573" s="33"/>
    </row>
    <row r="574" spans="12:13" ht="12.75" customHeight="1">
      <c r="L574" s="33"/>
      <c r="M574" s="33"/>
    </row>
    <row r="575" spans="12:13" ht="12.75" customHeight="1">
      <c r="L575" s="33"/>
      <c r="M575" s="33"/>
    </row>
    <row r="576" spans="12:13" ht="12.75" customHeight="1">
      <c r="L576" s="33"/>
      <c r="M576" s="33"/>
    </row>
    <row r="577" spans="12:13" ht="12.75" customHeight="1">
      <c r="L577" s="33"/>
      <c r="M577" s="33"/>
    </row>
    <row r="578" spans="12:13" ht="12.75" customHeight="1">
      <c r="L578" s="33"/>
      <c r="M578" s="33"/>
    </row>
    <row r="579" spans="12:13" ht="12.75" customHeight="1">
      <c r="L579" s="33"/>
      <c r="M579" s="33"/>
    </row>
    <row r="580" spans="12:13" ht="12.75" customHeight="1">
      <c r="L580" s="33"/>
      <c r="M580" s="33"/>
    </row>
    <row r="581" spans="12:13" ht="12.75" customHeight="1">
      <c r="L581" s="33"/>
      <c r="M581" s="33"/>
    </row>
    <row r="582" spans="12:13" ht="12.75" customHeight="1">
      <c r="L582" s="33"/>
      <c r="M582" s="33"/>
    </row>
    <row r="583" spans="12:13" ht="12.75" customHeight="1">
      <c r="L583" s="33"/>
      <c r="M583" s="33"/>
    </row>
    <row r="584" spans="12:13" ht="12.75" customHeight="1">
      <c r="L584" s="33"/>
      <c r="M584" s="33"/>
    </row>
    <row r="585" spans="12:13" ht="12.75" customHeight="1">
      <c r="L585" s="33"/>
      <c r="M585" s="33"/>
    </row>
    <row r="586" spans="12:13" ht="12.75" customHeight="1">
      <c r="L586" s="33"/>
      <c r="M586" s="33"/>
    </row>
    <row r="587" spans="12:13" ht="12.75" customHeight="1">
      <c r="L587" s="33"/>
      <c r="M587" s="33"/>
    </row>
    <row r="588" spans="12:13" ht="12.75" customHeight="1">
      <c r="L588" s="33"/>
      <c r="M588" s="33"/>
    </row>
    <row r="589" spans="12:13" ht="12.75" customHeight="1">
      <c r="L589" s="33"/>
      <c r="M589" s="33"/>
    </row>
    <row r="590" spans="12:13" ht="12.75" customHeight="1">
      <c r="L590" s="33"/>
      <c r="M590" s="33"/>
    </row>
    <row r="591" spans="12:13" ht="12.75" customHeight="1">
      <c r="L591" s="33"/>
      <c r="M591" s="33"/>
    </row>
    <row r="592" spans="12:13" ht="12.75" customHeight="1">
      <c r="L592" s="33"/>
      <c r="M592" s="33"/>
    </row>
    <row r="593" spans="12:13" ht="12.75" customHeight="1">
      <c r="L593" s="33"/>
      <c r="M593" s="33"/>
    </row>
    <row r="594" spans="12:13" ht="12.75" customHeight="1">
      <c r="L594" s="33"/>
      <c r="M594" s="33"/>
    </row>
    <row r="595" spans="12:13" ht="12.75" customHeight="1">
      <c r="L595" s="33"/>
      <c r="M595" s="33"/>
    </row>
    <row r="596" spans="12:13" ht="12.75" customHeight="1">
      <c r="L596" s="33"/>
      <c r="M596" s="33"/>
    </row>
    <row r="597" spans="12:13" ht="12.75" customHeight="1">
      <c r="L597" s="33"/>
      <c r="M597" s="33"/>
    </row>
    <row r="598" spans="12:13" ht="12.75" customHeight="1">
      <c r="L598" s="33"/>
      <c r="M598" s="33"/>
    </row>
    <row r="599" spans="12:13" ht="12.75" customHeight="1">
      <c r="L599" s="33"/>
      <c r="M599" s="33"/>
    </row>
    <row r="600" spans="12:13" ht="12.75" customHeight="1">
      <c r="L600" s="33"/>
      <c r="M600" s="33"/>
    </row>
    <row r="601" spans="12:13" ht="12.75" customHeight="1">
      <c r="L601" s="33"/>
      <c r="M601" s="33"/>
    </row>
    <row r="602" spans="12:13" ht="12.75" customHeight="1">
      <c r="L602" s="33"/>
      <c r="M602" s="33"/>
    </row>
    <row r="603" spans="12:13" ht="12.75" customHeight="1">
      <c r="L603" s="33"/>
      <c r="M603" s="33"/>
    </row>
    <row r="604" spans="12:13" ht="12.75" customHeight="1">
      <c r="L604" s="33"/>
      <c r="M604" s="33"/>
    </row>
    <row r="605" spans="12:13" ht="12.75" customHeight="1">
      <c r="L605" s="33"/>
      <c r="M605" s="33"/>
    </row>
    <row r="606" spans="12:13" ht="12.75" customHeight="1">
      <c r="L606" s="33"/>
      <c r="M606" s="33"/>
    </row>
    <row r="607" spans="12:13" ht="12.75" customHeight="1">
      <c r="L607" s="33"/>
      <c r="M607" s="33"/>
    </row>
    <row r="608" spans="12:13" ht="12.75" customHeight="1">
      <c r="L608" s="33"/>
      <c r="M608" s="33"/>
    </row>
    <row r="609" spans="12:13" ht="12.75" customHeight="1">
      <c r="L609" s="33"/>
      <c r="M609" s="33"/>
    </row>
    <row r="610" spans="12:13" ht="12.75" customHeight="1">
      <c r="L610" s="33"/>
      <c r="M610" s="33"/>
    </row>
    <row r="611" spans="12:13" ht="12.75" customHeight="1">
      <c r="L611" s="33"/>
      <c r="M611" s="33"/>
    </row>
    <row r="612" spans="12:13" ht="12.75" customHeight="1">
      <c r="L612" s="33"/>
      <c r="M612" s="33"/>
    </row>
    <row r="613" spans="12:13" ht="12.75" customHeight="1">
      <c r="L613" s="33"/>
      <c r="M613" s="33"/>
    </row>
    <row r="614" spans="12:13" ht="12.75" customHeight="1">
      <c r="L614" s="33"/>
      <c r="M614" s="33"/>
    </row>
    <row r="615" spans="12:13" ht="12.75" customHeight="1">
      <c r="L615" s="33"/>
      <c r="M615" s="33"/>
    </row>
    <row r="616" spans="12:13" ht="12.75" customHeight="1">
      <c r="L616" s="33"/>
      <c r="M616" s="33"/>
    </row>
    <row r="617" spans="12:13" ht="12.75" customHeight="1">
      <c r="L617" s="33"/>
      <c r="M617" s="33"/>
    </row>
    <row r="618" spans="12:13" ht="12.75" customHeight="1">
      <c r="L618" s="33"/>
      <c r="M618" s="33"/>
    </row>
    <row r="619" spans="12:13" ht="12.75" customHeight="1">
      <c r="L619" s="33"/>
      <c r="M619" s="33"/>
    </row>
    <row r="620" spans="12:13" ht="12.75" customHeight="1">
      <c r="L620" s="33"/>
      <c r="M620" s="33"/>
    </row>
    <row r="621" spans="12:13" ht="12.75" customHeight="1">
      <c r="L621" s="33"/>
      <c r="M621" s="33"/>
    </row>
    <row r="622" spans="12:13" ht="12.75" customHeight="1">
      <c r="L622" s="33"/>
      <c r="M622" s="33"/>
    </row>
    <row r="623" spans="12:13" ht="12.75" customHeight="1">
      <c r="L623" s="33"/>
      <c r="M623" s="33"/>
    </row>
    <row r="624" spans="12:13" ht="12.75" customHeight="1">
      <c r="L624" s="33"/>
      <c r="M624" s="33"/>
    </row>
    <row r="625" spans="12:13" ht="12.75" customHeight="1">
      <c r="L625" s="33"/>
      <c r="M625" s="33"/>
    </row>
    <row r="626" spans="12:13" ht="12.75" customHeight="1">
      <c r="L626" s="33"/>
      <c r="M626" s="33"/>
    </row>
    <row r="627" spans="12:13" ht="12.75" customHeight="1">
      <c r="L627" s="33"/>
      <c r="M627" s="33"/>
    </row>
    <row r="628" spans="12:13" ht="12.75" customHeight="1">
      <c r="L628" s="33"/>
      <c r="M628" s="33"/>
    </row>
    <row r="629" spans="12:13" ht="12.75" customHeight="1">
      <c r="L629" s="33"/>
      <c r="M629" s="33"/>
    </row>
    <row r="630" spans="12:13" ht="12.75" customHeight="1">
      <c r="L630" s="33"/>
      <c r="M630" s="33"/>
    </row>
    <row r="631" spans="12:13" ht="12.75" customHeight="1">
      <c r="L631" s="33"/>
      <c r="M631" s="33"/>
    </row>
    <row r="632" spans="12:13" ht="12.75" customHeight="1">
      <c r="L632" s="33"/>
      <c r="M632" s="33"/>
    </row>
    <row r="633" spans="12:13" ht="12.75" customHeight="1">
      <c r="L633" s="33"/>
      <c r="M633" s="33"/>
    </row>
    <row r="634" spans="12:13" ht="12.75" customHeight="1">
      <c r="L634" s="33"/>
      <c r="M634" s="33"/>
    </row>
    <row r="635" spans="12:13" ht="12.75" customHeight="1">
      <c r="L635" s="33"/>
      <c r="M635" s="33"/>
    </row>
    <row r="636" spans="12:13" ht="12.75" customHeight="1">
      <c r="L636" s="33"/>
      <c r="M636" s="33"/>
    </row>
    <row r="637" spans="12:13" ht="12.75" customHeight="1">
      <c r="L637" s="33"/>
      <c r="M637" s="33"/>
    </row>
    <row r="638" spans="12:13" ht="12.75" customHeight="1">
      <c r="L638" s="33"/>
      <c r="M638" s="33"/>
    </row>
    <row r="639" spans="12:13" ht="12.75" customHeight="1">
      <c r="L639" s="33"/>
      <c r="M639" s="33"/>
    </row>
    <row r="640" spans="12:13" ht="12.75" customHeight="1">
      <c r="L640" s="33"/>
      <c r="M640" s="33"/>
    </row>
    <row r="641" spans="12:13" ht="12.75" customHeight="1">
      <c r="L641" s="33"/>
      <c r="M641" s="33"/>
    </row>
    <row r="642" spans="12:13" ht="12.75" customHeight="1">
      <c r="L642" s="33"/>
      <c r="M642" s="33"/>
    </row>
    <row r="643" spans="12:13" ht="12.75" customHeight="1">
      <c r="L643" s="33"/>
      <c r="M643" s="33"/>
    </row>
    <row r="644" spans="12:13" ht="12.75" customHeight="1">
      <c r="L644" s="33"/>
      <c r="M644" s="33"/>
    </row>
    <row r="645" spans="12:13" ht="12.75" customHeight="1">
      <c r="L645" s="33"/>
      <c r="M645" s="33"/>
    </row>
    <row r="646" spans="12:13" ht="12.75" customHeight="1">
      <c r="L646" s="33"/>
      <c r="M646" s="33"/>
    </row>
    <row r="647" spans="12:13" ht="12.75" customHeight="1">
      <c r="L647" s="33"/>
      <c r="M647" s="33"/>
    </row>
    <row r="648" spans="12:13" ht="12.75" customHeight="1">
      <c r="L648" s="33"/>
      <c r="M648" s="33"/>
    </row>
    <row r="649" spans="12:13" ht="12.75" customHeight="1">
      <c r="L649" s="33"/>
      <c r="M649" s="33"/>
    </row>
    <row r="650" spans="12:13" ht="12.75" customHeight="1">
      <c r="L650" s="33"/>
      <c r="M650" s="33"/>
    </row>
    <row r="651" spans="12:13" ht="12.75" customHeight="1">
      <c r="L651" s="33"/>
      <c r="M651" s="33"/>
    </row>
    <row r="652" spans="12:13" ht="12.75" customHeight="1">
      <c r="L652" s="33"/>
      <c r="M652" s="33"/>
    </row>
    <row r="653" spans="12:13" ht="12.75" customHeight="1">
      <c r="L653" s="33"/>
      <c r="M653" s="33"/>
    </row>
    <row r="654" spans="12:13" ht="12.75" customHeight="1">
      <c r="L654" s="33"/>
      <c r="M654" s="33"/>
    </row>
    <row r="655" spans="12:13" ht="12.75" customHeight="1">
      <c r="L655" s="33"/>
      <c r="M655" s="33"/>
    </row>
    <row r="656" spans="12:13" ht="12.75" customHeight="1">
      <c r="L656" s="33"/>
      <c r="M656" s="33"/>
    </row>
    <row r="657" spans="12:13" ht="12.75" customHeight="1">
      <c r="L657" s="33"/>
      <c r="M657" s="33"/>
    </row>
    <row r="658" spans="12:13" ht="12.75" customHeight="1">
      <c r="L658" s="33"/>
      <c r="M658" s="33"/>
    </row>
    <row r="659" spans="12:13" ht="12.75" customHeight="1">
      <c r="L659" s="33"/>
      <c r="M659" s="33"/>
    </row>
    <row r="660" spans="12:13" ht="12.75" customHeight="1">
      <c r="L660" s="33"/>
      <c r="M660" s="33"/>
    </row>
    <row r="661" spans="12:13" ht="12.75" customHeight="1">
      <c r="L661" s="33"/>
      <c r="M661" s="33"/>
    </row>
    <row r="662" spans="12:13" ht="12.75" customHeight="1">
      <c r="L662" s="33"/>
      <c r="M662" s="33"/>
    </row>
    <row r="663" spans="12:13" ht="12.75" customHeight="1">
      <c r="L663" s="33"/>
      <c r="M663" s="33"/>
    </row>
    <row r="664" spans="12:13" ht="12.75" customHeight="1">
      <c r="L664" s="33"/>
      <c r="M664" s="33"/>
    </row>
    <row r="665" spans="12:13" ht="12.75" customHeight="1">
      <c r="L665" s="33"/>
      <c r="M665" s="33"/>
    </row>
    <row r="666" spans="12:13" ht="12.75" customHeight="1">
      <c r="L666" s="33"/>
      <c r="M666" s="33"/>
    </row>
    <row r="667" spans="12:13" ht="12.75" customHeight="1">
      <c r="L667" s="33"/>
      <c r="M667" s="33"/>
    </row>
    <row r="668" spans="12:13" ht="12.75" customHeight="1">
      <c r="L668" s="33"/>
      <c r="M668" s="33"/>
    </row>
    <row r="669" spans="12:13" ht="12.75" customHeight="1">
      <c r="L669" s="33"/>
      <c r="M669" s="33"/>
    </row>
    <row r="670" spans="12:13" ht="12.75" customHeight="1">
      <c r="L670" s="33"/>
      <c r="M670" s="33"/>
    </row>
    <row r="671" spans="12:13" ht="12.75" customHeight="1">
      <c r="L671" s="33"/>
      <c r="M671" s="33"/>
    </row>
    <row r="672" spans="12:13" ht="12.75" customHeight="1">
      <c r="L672" s="33"/>
      <c r="M672" s="33"/>
    </row>
    <row r="673" spans="12:13" ht="12.75" customHeight="1">
      <c r="L673" s="33"/>
      <c r="M673" s="33"/>
    </row>
    <row r="674" spans="12:13" ht="12.75" customHeight="1">
      <c r="L674" s="33"/>
      <c r="M674" s="33"/>
    </row>
    <row r="675" spans="12:13" ht="12.75" customHeight="1">
      <c r="L675" s="33"/>
      <c r="M675" s="33"/>
    </row>
    <row r="676" spans="12:13" ht="12.75" customHeight="1">
      <c r="L676" s="33"/>
      <c r="M676" s="33"/>
    </row>
    <row r="677" spans="12:13" ht="12.75" customHeight="1">
      <c r="L677" s="33"/>
      <c r="M677" s="33"/>
    </row>
    <row r="678" spans="12:13" ht="12.75" customHeight="1">
      <c r="L678" s="33"/>
      <c r="M678" s="33"/>
    </row>
    <row r="679" spans="12:13" ht="12.75" customHeight="1">
      <c r="L679" s="33"/>
      <c r="M679" s="33"/>
    </row>
    <row r="680" spans="12:13" ht="12.75" customHeight="1">
      <c r="L680" s="33"/>
      <c r="M680" s="33"/>
    </row>
    <row r="681" spans="12:13" ht="12.75" customHeight="1">
      <c r="L681" s="33"/>
      <c r="M681" s="33"/>
    </row>
    <row r="682" spans="12:13" ht="12.75" customHeight="1">
      <c r="L682" s="33"/>
      <c r="M682" s="33"/>
    </row>
    <row r="683" spans="12:13" ht="12.75" customHeight="1">
      <c r="L683" s="33"/>
      <c r="M683" s="33"/>
    </row>
    <row r="684" spans="12:13" ht="12.75" customHeight="1">
      <c r="L684" s="33"/>
      <c r="M684" s="33"/>
    </row>
    <row r="685" spans="12:13" ht="12.75" customHeight="1">
      <c r="L685" s="33"/>
      <c r="M685" s="33"/>
    </row>
    <row r="686" spans="12:13" ht="12.75" customHeight="1">
      <c r="L686" s="33"/>
      <c r="M686" s="33"/>
    </row>
    <row r="687" spans="12:13" ht="12.75" customHeight="1">
      <c r="L687" s="33"/>
      <c r="M687" s="33"/>
    </row>
    <row r="688" spans="12:13" ht="12.75" customHeight="1">
      <c r="L688" s="33"/>
      <c r="M688" s="33"/>
    </row>
    <row r="689" spans="12:13" ht="12.75" customHeight="1">
      <c r="L689" s="33"/>
      <c r="M689" s="33"/>
    </row>
    <row r="690" spans="12:13" ht="12.75" customHeight="1">
      <c r="L690" s="33"/>
      <c r="M690" s="33"/>
    </row>
    <row r="691" spans="12:13" ht="12.75" customHeight="1">
      <c r="L691" s="33"/>
      <c r="M691" s="33"/>
    </row>
    <row r="692" spans="12:13" ht="12.75" customHeight="1">
      <c r="L692" s="33"/>
      <c r="M692" s="33"/>
    </row>
    <row r="693" spans="12:13" ht="12.75" customHeight="1">
      <c r="L693" s="33"/>
      <c r="M693" s="33"/>
    </row>
    <row r="694" spans="12:13" ht="12.75" customHeight="1">
      <c r="L694" s="33"/>
      <c r="M694" s="33"/>
    </row>
    <row r="695" spans="12:13" ht="12.75" customHeight="1">
      <c r="L695" s="33"/>
      <c r="M695" s="33"/>
    </row>
    <row r="696" spans="12:13" ht="12.75" customHeight="1">
      <c r="L696" s="33"/>
      <c r="M696" s="33"/>
    </row>
    <row r="697" spans="12:13" ht="12.75" customHeight="1">
      <c r="L697" s="33"/>
      <c r="M697" s="33"/>
    </row>
    <row r="698" spans="12:13" ht="12.75" customHeight="1">
      <c r="L698" s="33"/>
      <c r="M698" s="33"/>
    </row>
    <row r="699" spans="12:13" ht="12.75" customHeight="1">
      <c r="L699" s="33"/>
      <c r="M699" s="33"/>
    </row>
    <row r="700" spans="12:13" ht="12.75" customHeight="1">
      <c r="L700" s="33"/>
      <c r="M700" s="33"/>
    </row>
    <row r="701" spans="12:13" ht="12.75" customHeight="1">
      <c r="L701" s="33"/>
      <c r="M701" s="33"/>
    </row>
    <row r="702" spans="12:13" ht="12.75" customHeight="1">
      <c r="L702" s="33"/>
      <c r="M702" s="33"/>
    </row>
    <row r="703" spans="12:13" ht="12.75" customHeight="1">
      <c r="L703" s="33"/>
      <c r="M703" s="33"/>
    </row>
    <row r="704" spans="12:13" ht="12.75" customHeight="1">
      <c r="L704" s="33"/>
      <c r="M704" s="33"/>
    </row>
    <row r="705" spans="12:13" ht="12.75" customHeight="1">
      <c r="L705" s="33"/>
      <c r="M705" s="33"/>
    </row>
    <row r="706" spans="12:13" ht="12.75" customHeight="1">
      <c r="L706" s="33"/>
      <c r="M706" s="33"/>
    </row>
    <row r="707" spans="12:13" ht="12.75" customHeight="1">
      <c r="L707" s="33"/>
      <c r="M707" s="33"/>
    </row>
    <row r="708" spans="12:13" ht="12.75" customHeight="1">
      <c r="L708" s="33"/>
      <c r="M708" s="33"/>
    </row>
    <row r="709" spans="12:13" ht="12.75" customHeight="1">
      <c r="L709" s="33"/>
      <c r="M709" s="33"/>
    </row>
    <row r="710" spans="12:13" ht="12.75" customHeight="1">
      <c r="L710" s="33"/>
      <c r="M710" s="33"/>
    </row>
    <row r="711" spans="12:13" ht="12.75" customHeight="1">
      <c r="L711" s="33"/>
      <c r="M711" s="33"/>
    </row>
    <row r="712" spans="12:13" ht="12.75" customHeight="1">
      <c r="L712" s="33"/>
      <c r="M712" s="33"/>
    </row>
    <row r="713" spans="12:13" ht="12.75" customHeight="1">
      <c r="L713" s="33"/>
      <c r="M713" s="33"/>
    </row>
    <row r="714" spans="12:13" ht="12.75" customHeight="1">
      <c r="L714" s="33"/>
      <c r="M714" s="33"/>
    </row>
    <row r="715" spans="12:13" ht="12.75" customHeight="1">
      <c r="L715" s="33"/>
      <c r="M715" s="33"/>
    </row>
    <row r="716" spans="12:13" ht="12.75" customHeight="1">
      <c r="L716" s="33"/>
      <c r="M716" s="33"/>
    </row>
    <row r="717" spans="12:13" ht="12.75" customHeight="1">
      <c r="L717" s="33"/>
      <c r="M717" s="33"/>
    </row>
    <row r="718" spans="12:13" ht="12.75" customHeight="1">
      <c r="L718" s="33"/>
      <c r="M718" s="33"/>
    </row>
    <row r="719" spans="12:13" ht="12.75" customHeight="1">
      <c r="L719" s="33"/>
      <c r="M719" s="33"/>
    </row>
    <row r="720" spans="12:13" ht="12.75" customHeight="1">
      <c r="L720" s="33"/>
      <c r="M720" s="33"/>
    </row>
    <row r="721" spans="12:13" ht="12.75" customHeight="1">
      <c r="L721" s="33"/>
      <c r="M721" s="33"/>
    </row>
    <row r="722" spans="12:13" ht="12.75" customHeight="1">
      <c r="L722" s="33"/>
      <c r="M722" s="33"/>
    </row>
    <row r="723" spans="12:13" ht="12.75" customHeight="1">
      <c r="L723" s="33"/>
      <c r="M723" s="33"/>
    </row>
    <row r="724" spans="12:13" ht="12.75" customHeight="1">
      <c r="L724" s="33"/>
      <c r="M724" s="33"/>
    </row>
    <row r="725" spans="12:13" ht="12.75" customHeight="1">
      <c r="L725" s="33"/>
      <c r="M725" s="33"/>
    </row>
    <row r="726" spans="12:13" ht="12.75" customHeight="1">
      <c r="L726" s="33"/>
      <c r="M726" s="33"/>
    </row>
    <row r="727" spans="12:13" ht="12.75" customHeight="1">
      <c r="L727" s="33"/>
      <c r="M727" s="33"/>
    </row>
    <row r="728" spans="12:13" ht="12.75" customHeight="1">
      <c r="L728" s="33"/>
      <c r="M728" s="33"/>
    </row>
    <row r="729" spans="12:13" ht="12.75" customHeight="1">
      <c r="L729" s="33"/>
      <c r="M729" s="33"/>
    </row>
    <row r="730" spans="12:13" ht="12.75" customHeight="1">
      <c r="L730" s="33"/>
      <c r="M730" s="33"/>
    </row>
    <row r="731" spans="12:13" ht="12.75" customHeight="1">
      <c r="L731" s="33"/>
      <c r="M731" s="33"/>
    </row>
    <row r="732" spans="12:13" ht="12.75" customHeight="1">
      <c r="L732" s="33"/>
      <c r="M732" s="33"/>
    </row>
    <row r="733" spans="12:13" ht="12.75" customHeight="1">
      <c r="L733" s="33"/>
      <c r="M733" s="33"/>
    </row>
    <row r="734" spans="12:13" ht="12.75" customHeight="1">
      <c r="L734" s="33"/>
      <c r="M734" s="33"/>
    </row>
    <row r="735" spans="12:13" ht="12.75" customHeight="1">
      <c r="L735" s="33"/>
      <c r="M735" s="33"/>
    </row>
    <row r="736" spans="12:13" ht="12.75" customHeight="1">
      <c r="L736" s="33"/>
      <c r="M736" s="33"/>
    </row>
    <row r="737" spans="12:13" ht="12.75" customHeight="1">
      <c r="L737" s="33"/>
      <c r="M737" s="33"/>
    </row>
    <row r="738" spans="12:13" ht="12.75" customHeight="1">
      <c r="L738" s="33"/>
      <c r="M738" s="33"/>
    </row>
    <row r="739" spans="12:13" ht="12.75" customHeight="1">
      <c r="L739" s="33"/>
      <c r="M739" s="33"/>
    </row>
    <row r="740" spans="12:13" ht="12.75" customHeight="1">
      <c r="L740" s="33"/>
      <c r="M740" s="33"/>
    </row>
    <row r="741" spans="12:13" ht="12.75" customHeight="1">
      <c r="L741" s="33"/>
      <c r="M741" s="33"/>
    </row>
    <row r="742" spans="12:13" ht="12.75" customHeight="1">
      <c r="L742" s="33"/>
      <c r="M742" s="33"/>
    </row>
    <row r="743" spans="12:13" ht="12.75" customHeight="1">
      <c r="L743" s="33"/>
      <c r="M743" s="33"/>
    </row>
    <row r="744" spans="12:13" ht="12.75" customHeight="1">
      <c r="L744" s="33"/>
      <c r="M744" s="33"/>
    </row>
    <row r="745" spans="12:13" ht="12.75" customHeight="1">
      <c r="L745" s="33"/>
      <c r="M745" s="33"/>
    </row>
    <row r="746" spans="12:13" ht="12.75" customHeight="1">
      <c r="L746" s="33"/>
      <c r="M746" s="33"/>
    </row>
    <row r="747" spans="12:13" ht="12.75" customHeight="1">
      <c r="L747" s="33"/>
      <c r="M747" s="33"/>
    </row>
    <row r="748" spans="12:13" ht="12.75" customHeight="1">
      <c r="L748" s="33"/>
      <c r="M748" s="33"/>
    </row>
    <row r="749" spans="12:13" ht="12.75" customHeight="1">
      <c r="L749" s="33"/>
      <c r="M749" s="33"/>
    </row>
    <row r="750" spans="12:13" ht="12.75" customHeight="1">
      <c r="L750" s="33"/>
      <c r="M750" s="33"/>
    </row>
    <row r="751" spans="12:13" ht="12.75" customHeight="1">
      <c r="L751" s="33"/>
      <c r="M751" s="33"/>
    </row>
    <row r="752" spans="12:13" ht="12.75" customHeight="1">
      <c r="L752" s="33"/>
      <c r="M752" s="33"/>
    </row>
    <row r="753" spans="12:13" ht="12.75" customHeight="1">
      <c r="L753" s="33"/>
      <c r="M753" s="33"/>
    </row>
    <row r="754" spans="12:13" ht="12.75" customHeight="1">
      <c r="L754" s="33"/>
      <c r="M754" s="33"/>
    </row>
    <row r="755" spans="12:13" ht="12.75" customHeight="1">
      <c r="L755" s="33"/>
      <c r="M755" s="33"/>
    </row>
    <row r="756" spans="12:13" ht="12.75" customHeight="1">
      <c r="L756" s="33"/>
      <c r="M756" s="33"/>
    </row>
    <row r="757" spans="12:13" ht="12.75" customHeight="1">
      <c r="L757" s="33"/>
      <c r="M757" s="33"/>
    </row>
    <row r="758" spans="12:13" ht="12.75" customHeight="1">
      <c r="L758" s="33"/>
      <c r="M758" s="33"/>
    </row>
    <row r="759" spans="12:13" ht="12.75" customHeight="1">
      <c r="L759" s="33"/>
      <c r="M759" s="33"/>
    </row>
    <row r="760" spans="12:13" ht="12.75" customHeight="1">
      <c r="L760" s="33"/>
      <c r="M760" s="33"/>
    </row>
    <row r="761" spans="12:13" ht="12.75" customHeight="1">
      <c r="L761" s="33"/>
      <c r="M761" s="33"/>
    </row>
    <row r="762" spans="12:13" ht="12.75" customHeight="1">
      <c r="L762" s="33"/>
      <c r="M762" s="33"/>
    </row>
    <row r="763" spans="12:13" ht="12.75" customHeight="1">
      <c r="L763" s="33"/>
      <c r="M763" s="33"/>
    </row>
    <row r="764" spans="12:13" ht="12.75" customHeight="1">
      <c r="L764" s="33"/>
      <c r="M764" s="33"/>
    </row>
    <row r="765" spans="12:13" ht="12.75" customHeight="1">
      <c r="L765" s="33"/>
      <c r="M765" s="33"/>
    </row>
    <row r="766" spans="12:13" ht="12.75" customHeight="1">
      <c r="L766" s="33"/>
      <c r="M766" s="33"/>
    </row>
    <row r="767" spans="12:13" ht="12.75" customHeight="1">
      <c r="L767" s="33"/>
      <c r="M767" s="33"/>
    </row>
    <row r="768" spans="12:13" ht="12.75" customHeight="1">
      <c r="L768" s="33"/>
      <c r="M768" s="33"/>
    </row>
    <row r="769" spans="12:13" ht="12.75" customHeight="1">
      <c r="L769" s="33"/>
      <c r="M769" s="33"/>
    </row>
    <row r="770" spans="12:13" ht="12.75" customHeight="1">
      <c r="L770" s="33"/>
      <c r="M770" s="33"/>
    </row>
    <row r="771" spans="12:13" ht="12.75" customHeight="1">
      <c r="L771" s="33"/>
      <c r="M771" s="33"/>
    </row>
    <row r="772" spans="12:13" ht="12.75" customHeight="1">
      <c r="L772" s="33"/>
      <c r="M772" s="33"/>
    </row>
    <row r="773" spans="12:13" ht="12.75" customHeight="1">
      <c r="L773" s="33"/>
      <c r="M773" s="33"/>
    </row>
    <row r="774" spans="12:13" ht="12.75" customHeight="1">
      <c r="L774" s="33"/>
      <c r="M774" s="33"/>
    </row>
    <row r="775" spans="12:13" ht="12.75" customHeight="1">
      <c r="L775" s="33"/>
      <c r="M775" s="33"/>
    </row>
    <row r="776" spans="12:13" ht="12.75" customHeight="1">
      <c r="L776" s="33"/>
      <c r="M776" s="33"/>
    </row>
    <row r="777" spans="12:13" ht="12.75" customHeight="1">
      <c r="L777" s="33"/>
      <c r="M777" s="33"/>
    </row>
    <row r="778" spans="12:13" ht="12.75" customHeight="1">
      <c r="L778" s="33"/>
      <c r="M778" s="33"/>
    </row>
    <row r="779" spans="12:13" ht="12.75" customHeight="1">
      <c r="L779" s="33"/>
      <c r="M779" s="33"/>
    </row>
    <row r="780" spans="12:13" ht="12.75" customHeight="1">
      <c r="L780" s="33"/>
      <c r="M780" s="33"/>
    </row>
    <row r="781" spans="12:13" ht="12.75" customHeight="1">
      <c r="L781" s="33"/>
      <c r="M781" s="33"/>
    </row>
    <row r="782" spans="12:13" ht="12.75" customHeight="1">
      <c r="L782" s="33"/>
      <c r="M782" s="33"/>
    </row>
    <row r="783" spans="12:13" ht="12.75" customHeight="1">
      <c r="L783" s="33"/>
      <c r="M783" s="33"/>
    </row>
    <row r="784" spans="12:13" ht="12.75" customHeight="1">
      <c r="L784" s="33"/>
      <c r="M784" s="33"/>
    </row>
    <row r="785" spans="12:13" ht="12.75" customHeight="1">
      <c r="L785" s="33"/>
      <c r="M785" s="33"/>
    </row>
    <row r="786" spans="12:13" ht="12.75" customHeight="1">
      <c r="L786" s="33"/>
      <c r="M786" s="33"/>
    </row>
    <row r="787" spans="12:13" ht="12.75" customHeight="1">
      <c r="L787" s="33"/>
      <c r="M787" s="33"/>
    </row>
    <row r="788" spans="12:13" ht="12.75" customHeight="1">
      <c r="L788" s="33"/>
      <c r="M788" s="33"/>
    </row>
    <row r="789" spans="12:13" ht="12.75" customHeight="1">
      <c r="L789" s="33"/>
      <c r="M789" s="33"/>
    </row>
    <row r="790" spans="12:13" ht="12.75" customHeight="1">
      <c r="L790" s="33"/>
      <c r="M790" s="33"/>
    </row>
    <row r="791" spans="12:13" ht="12.75" customHeight="1">
      <c r="L791" s="33"/>
      <c r="M791" s="33"/>
    </row>
    <row r="792" spans="12:13" ht="12.75" customHeight="1">
      <c r="L792" s="33"/>
      <c r="M792" s="33"/>
    </row>
    <row r="793" spans="12:13" ht="12.75" customHeight="1">
      <c r="L793" s="33"/>
      <c r="M793" s="33"/>
    </row>
    <row r="794" spans="12:13" ht="12.75" customHeight="1">
      <c r="L794" s="33"/>
      <c r="M794" s="33"/>
    </row>
    <row r="795" spans="12:13" ht="12.75" customHeight="1">
      <c r="L795" s="33"/>
      <c r="M795" s="33"/>
    </row>
    <row r="796" spans="12:13" ht="12.75" customHeight="1">
      <c r="L796" s="33"/>
      <c r="M796" s="33"/>
    </row>
    <row r="797" spans="12:13" ht="12.75" customHeight="1">
      <c r="L797" s="33"/>
      <c r="M797" s="33"/>
    </row>
    <row r="798" spans="12:13" ht="12.75" customHeight="1">
      <c r="L798" s="33"/>
      <c r="M798" s="33"/>
    </row>
    <row r="799" spans="12:13" ht="12.75" customHeight="1">
      <c r="L799" s="33"/>
      <c r="M799" s="33"/>
    </row>
    <row r="800" spans="12:13" ht="12.75" customHeight="1">
      <c r="L800" s="33"/>
      <c r="M800" s="33"/>
    </row>
    <row r="801" spans="12:13" ht="12.75" customHeight="1">
      <c r="L801" s="33"/>
      <c r="M801" s="33"/>
    </row>
    <row r="802" spans="12:13" ht="12.75" customHeight="1">
      <c r="L802" s="33"/>
      <c r="M802" s="33"/>
    </row>
    <row r="803" spans="12:13" ht="12.75" customHeight="1">
      <c r="L803" s="33"/>
      <c r="M803" s="33"/>
    </row>
    <row r="804" spans="12:13" ht="12.75" customHeight="1">
      <c r="L804" s="33"/>
      <c r="M804" s="33"/>
    </row>
    <row r="805" spans="12:13" ht="12.75" customHeight="1">
      <c r="L805" s="33"/>
      <c r="M805" s="33"/>
    </row>
    <row r="806" spans="12:13" ht="12.75" customHeight="1">
      <c r="L806" s="33"/>
      <c r="M806" s="33"/>
    </row>
    <row r="807" spans="12:13" ht="12.75" customHeight="1">
      <c r="L807" s="33"/>
      <c r="M807" s="33"/>
    </row>
    <row r="808" spans="12:13" ht="12.75" customHeight="1">
      <c r="L808" s="33"/>
      <c r="M808" s="33"/>
    </row>
    <row r="809" spans="12:13" ht="12.75" customHeight="1">
      <c r="L809" s="33"/>
      <c r="M809" s="33"/>
    </row>
    <row r="810" spans="12:13" ht="12.75" customHeight="1">
      <c r="L810" s="33"/>
      <c r="M810" s="33"/>
    </row>
    <row r="811" spans="12:13" ht="12.75" customHeight="1">
      <c r="L811" s="33"/>
      <c r="M811" s="33"/>
    </row>
    <row r="812" spans="12:13" ht="12.75" customHeight="1">
      <c r="L812" s="33"/>
      <c r="M812" s="33"/>
    </row>
    <row r="813" spans="12:13" ht="12.75" customHeight="1">
      <c r="L813" s="33"/>
      <c r="M813" s="33"/>
    </row>
    <row r="814" spans="12:13" ht="12.75" customHeight="1">
      <c r="L814" s="33"/>
      <c r="M814" s="33"/>
    </row>
    <row r="815" spans="12:13" ht="12.75" customHeight="1">
      <c r="L815" s="33"/>
      <c r="M815" s="33"/>
    </row>
    <row r="816" spans="12:13" ht="12.75" customHeight="1">
      <c r="L816" s="33"/>
      <c r="M816" s="33"/>
    </row>
    <row r="817" spans="12:13" ht="12.75" customHeight="1">
      <c r="L817" s="33"/>
      <c r="M817" s="33"/>
    </row>
    <row r="818" spans="12:13" ht="12.75" customHeight="1">
      <c r="L818" s="33"/>
      <c r="M818" s="33"/>
    </row>
    <row r="819" spans="12:13" ht="12.75" customHeight="1">
      <c r="L819" s="33"/>
      <c r="M819" s="33"/>
    </row>
    <row r="820" spans="12:13" ht="12.75" customHeight="1">
      <c r="L820" s="33"/>
      <c r="M820" s="33"/>
    </row>
    <row r="821" spans="12:13" ht="12.75" customHeight="1">
      <c r="L821" s="33"/>
      <c r="M821" s="33"/>
    </row>
    <row r="822" spans="12:13" ht="12.75" customHeight="1">
      <c r="L822" s="33"/>
      <c r="M822" s="33"/>
    </row>
    <row r="823" spans="12:13" ht="12.75" customHeight="1">
      <c r="L823" s="33"/>
      <c r="M823" s="33"/>
    </row>
    <row r="824" spans="12:13" ht="12.75" customHeight="1">
      <c r="L824" s="33"/>
      <c r="M824" s="33"/>
    </row>
    <row r="825" spans="12:13" ht="12.75" customHeight="1">
      <c r="L825" s="33"/>
      <c r="M825" s="33"/>
    </row>
    <row r="826" spans="12:13" ht="12.75" customHeight="1">
      <c r="L826" s="33"/>
      <c r="M826" s="33"/>
    </row>
    <row r="827" spans="12:13" ht="12.75" customHeight="1">
      <c r="L827" s="33"/>
      <c r="M827" s="33"/>
    </row>
    <row r="828" spans="12:13" ht="12.75" customHeight="1">
      <c r="L828" s="33"/>
      <c r="M828" s="33"/>
    </row>
    <row r="829" spans="12:13" ht="12.75" customHeight="1">
      <c r="L829" s="33"/>
      <c r="M829" s="33"/>
    </row>
    <row r="830" spans="12:13" ht="12.75" customHeight="1">
      <c r="L830" s="33"/>
      <c r="M830" s="33"/>
    </row>
    <row r="831" spans="12:13" ht="12.75" customHeight="1">
      <c r="L831" s="33"/>
      <c r="M831" s="33"/>
    </row>
    <row r="832" spans="12:13" ht="12.75" customHeight="1">
      <c r="L832" s="33"/>
      <c r="M832" s="33"/>
    </row>
    <row r="833" spans="12:13" ht="12.75" customHeight="1">
      <c r="L833" s="33"/>
      <c r="M833" s="33"/>
    </row>
    <row r="834" spans="12:13" ht="12.75" customHeight="1">
      <c r="L834" s="33"/>
      <c r="M834" s="33"/>
    </row>
    <row r="835" spans="12:13" ht="12.75" customHeight="1">
      <c r="L835" s="33"/>
      <c r="M835" s="33"/>
    </row>
    <row r="836" spans="12:13" ht="12.75" customHeight="1">
      <c r="L836" s="33"/>
      <c r="M836" s="33"/>
    </row>
    <row r="837" spans="12:13" ht="12.75" customHeight="1">
      <c r="L837" s="33"/>
      <c r="M837" s="33"/>
    </row>
    <row r="838" spans="12:13" ht="12.75" customHeight="1">
      <c r="L838" s="33"/>
      <c r="M838" s="33"/>
    </row>
    <row r="839" spans="12:13" ht="12.75" customHeight="1">
      <c r="L839" s="33"/>
      <c r="M839" s="33"/>
    </row>
    <row r="840" spans="12:13" ht="12.75" customHeight="1">
      <c r="L840" s="33"/>
      <c r="M840" s="33"/>
    </row>
    <row r="841" spans="12:13" ht="12.75" customHeight="1">
      <c r="L841" s="33"/>
      <c r="M841" s="33"/>
    </row>
    <row r="842" spans="12:13" ht="12.75" customHeight="1">
      <c r="L842" s="33"/>
      <c r="M842" s="33"/>
    </row>
    <row r="843" spans="12:13" ht="12.75" customHeight="1">
      <c r="L843" s="33"/>
      <c r="M843" s="33"/>
    </row>
    <row r="844" spans="12:13" ht="12.75" customHeight="1">
      <c r="L844" s="33"/>
      <c r="M844" s="33"/>
    </row>
    <row r="845" spans="12:13" ht="12.75" customHeight="1">
      <c r="L845" s="33"/>
      <c r="M845" s="33"/>
    </row>
    <row r="846" spans="12:13" ht="12.75" customHeight="1">
      <c r="L846" s="33"/>
      <c r="M846" s="33"/>
    </row>
    <row r="847" spans="12:13" ht="12.75" customHeight="1">
      <c r="L847" s="33"/>
      <c r="M847" s="33"/>
    </row>
    <row r="848" spans="12:13" ht="12.75" customHeight="1">
      <c r="L848" s="33"/>
      <c r="M848" s="33"/>
    </row>
    <row r="849" spans="12:13" ht="12.75" customHeight="1">
      <c r="L849" s="33"/>
      <c r="M849" s="33"/>
    </row>
    <row r="850" spans="12:13" ht="12.75" customHeight="1">
      <c r="L850" s="33"/>
      <c r="M850" s="33"/>
    </row>
    <row r="851" spans="12:13" ht="12.75" customHeight="1">
      <c r="L851" s="33"/>
      <c r="M851" s="33"/>
    </row>
    <row r="852" spans="12:13" ht="12.75" customHeight="1">
      <c r="L852" s="33"/>
      <c r="M852" s="33"/>
    </row>
    <row r="853" spans="12:13" ht="12.75" customHeight="1">
      <c r="L853" s="33"/>
      <c r="M853" s="33"/>
    </row>
    <row r="854" spans="12:13" ht="12.75" customHeight="1">
      <c r="L854" s="33"/>
      <c r="M854" s="33"/>
    </row>
    <row r="855" spans="12:13" ht="12.75" customHeight="1">
      <c r="L855" s="33"/>
      <c r="M855" s="33"/>
    </row>
    <row r="856" spans="12:13" ht="12.75" customHeight="1">
      <c r="L856" s="33"/>
      <c r="M856" s="33"/>
    </row>
    <row r="857" spans="12:13" ht="12.75" customHeight="1">
      <c r="L857" s="33"/>
      <c r="M857" s="33"/>
    </row>
    <row r="858" spans="12:13" ht="12.75" customHeight="1">
      <c r="L858" s="33"/>
      <c r="M858" s="33"/>
    </row>
    <row r="859" spans="12:13" ht="12.75" customHeight="1">
      <c r="L859" s="33"/>
      <c r="M859" s="33"/>
    </row>
    <row r="860" spans="12:13" ht="12.75" customHeight="1">
      <c r="L860" s="33"/>
      <c r="M860" s="33"/>
    </row>
    <row r="861" spans="12:13" ht="12.75" customHeight="1">
      <c r="L861" s="33"/>
      <c r="M861" s="33"/>
    </row>
    <row r="862" spans="12:13" ht="12.75" customHeight="1">
      <c r="L862" s="33"/>
      <c r="M862" s="33"/>
    </row>
    <row r="863" spans="12:13" ht="12.75" customHeight="1">
      <c r="L863" s="33"/>
      <c r="M863" s="33"/>
    </row>
    <row r="864" spans="12:13" ht="12.75" customHeight="1">
      <c r="L864" s="33"/>
      <c r="M864" s="33"/>
    </row>
    <row r="865" spans="12:13" ht="12.75" customHeight="1">
      <c r="L865" s="33"/>
      <c r="M865" s="33"/>
    </row>
    <row r="866" spans="12:13" ht="12.75" customHeight="1">
      <c r="L866" s="33"/>
      <c r="M866" s="33"/>
    </row>
    <row r="867" spans="12:13" ht="12.75" customHeight="1">
      <c r="L867" s="33"/>
      <c r="M867" s="33"/>
    </row>
    <row r="868" spans="12:13" ht="12.75" customHeight="1">
      <c r="L868" s="33"/>
      <c r="M868" s="33"/>
    </row>
    <row r="869" spans="12:13" ht="12.75" customHeight="1">
      <c r="L869" s="33"/>
      <c r="M869" s="33"/>
    </row>
    <row r="870" spans="12:13" ht="12.75" customHeight="1">
      <c r="L870" s="33"/>
      <c r="M870" s="33"/>
    </row>
    <row r="871" spans="12:13" ht="12.75" customHeight="1">
      <c r="L871" s="33"/>
      <c r="M871" s="33"/>
    </row>
    <row r="872" spans="12:13" ht="12.75" customHeight="1">
      <c r="L872" s="33"/>
      <c r="M872" s="33"/>
    </row>
    <row r="873" spans="12:13" ht="12.75" customHeight="1">
      <c r="L873" s="33"/>
      <c r="M873" s="33"/>
    </row>
    <row r="874" spans="12:13" ht="12.75" customHeight="1">
      <c r="L874" s="33"/>
      <c r="M874" s="33"/>
    </row>
    <row r="875" spans="12:13" ht="12.75" customHeight="1">
      <c r="L875" s="33"/>
      <c r="M875" s="33"/>
    </row>
    <row r="876" spans="12:13" ht="12.75" customHeight="1">
      <c r="L876" s="33"/>
      <c r="M876" s="33"/>
    </row>
    <row r="877" spans="12:13" ht="12.75" customHeight="1">
      <c r="L877" s="33"/>
      <c r="M877" s="33"/>
    </row>
    <row r="878" spans="12:13" ht="12.75" customHeight="1">
      <c r="L878" s="33"/>
      <c r="M878" s="33"/>
    </row>
    <row r="879" spans="12:13" ht="12.75" customHeight="1">
      <c r="L879" s="33"/>
      <c r="M879" s="33"/>
    </row>
    <row r="880" spans="12:13" ht="12.75" customHeight="1">
      <c r="L880" s="33"/>
      <c r="M880" s="33"/>
    </row>
    <row r="881" spans="12:13" ht="12.75" customHeight="1">
      <c r="L881" s="33"/>
      <c r="M881" s="33"/>
    </row>
    <row r="882" spans="12:13" ht="12.75" customHeight="1">
      <c r="L882" s="33"/>
      <c r="M882" s="33"/>
    </row>
    <row r="883" spans="12:13" ht="12.75" customHeight="1">
      <c r="L883" s="33"/>
      <c r="M883" s="33"/>
    </row>
    <row r="884" spans="12:13" ht="12.75" customHeight="1">
      <c r="L884" s="33"/>
      <c r="M884" s="33"/>
    </row>
    <row r="885" spans="12:13" ht="12.75" customHeight="1">
      <c r="L885" s="33"/>
      <c r="M885" s="33"/>
    </row>
    <row r="886" spans="12:13" ht="12.75" customHeight="1">
      <c r="L886" s="33"/>
      <c r="M886" s="33"/>
    </row>
    <row r="887" spans="12:13" ht="12.75" customHeight="1">
      <c r="L887" s="33"/>
      <c r="M887" s="33"/>
    </row>
    <row r="888" spans="12:13" ht="12.75" customHeight="1">
      <c r="L888" s="33"/>
      <c r="M888" s="33"/>
    </row>
    <row r="889" spans="12:13" ht="12.75" customHeight="1">
      <c r="L889" s="33"/>
      <c r="M889" s="33"/>
    </row>
    <row r="890" spans="12:13" ht="12.75" customHeight="1">
      <c r="L890" s="33"/>
      <c r="M890" s="33"/>
    </row>
    <row r="891" spans="12:13" ht="12.75" customHeight="1">
      <c r="L891" s="33"/>
      <c r="M891" s="33"/>
    </row>
    <row r="892" spans="12:13" ht="12.75" customHeight="1">
      <c r="L892" s="33"/>
      <c r="M892" s="33"/>
    </row>
    <row r="893" spans="12:13" ht="12.75" customHeight="1">
      <c r="L893" s="33"/>
      <c r="M893" s="33"/>
    </row>
    <row r="894" spans="12:13" ht="12.75" customHeight="1">
      <c r="L894" s="33"/>
      <c r="M894" s="33"/>
    </row>
    <row r="895" spans="12:13" ht="12.75" customHeight="1">
      <c r="L895" s="33"/>
      <c r="M895" s="33"/>
    </row>
    <row r="896" spans="12:13" ht="12.75" customHeight="1">
      <c r="L896" s="33"/>
      <c r="M896" s="33"/>
    </row>
    <row r="897" spans="12:13" ht="12.75" customHeight="1">
      <c r="L897" s="33"/>
      <c r="M897" s="33"/>
    </row>
    <row r="898" spans="12:13" ht="12.75" customHeight="1">
      <c r="L898" s="33"/>
      <c r="M898" s="33"/>
    </row>
    <row r="899" spans="12:13" ht="12.75" customHeight="1">
      <c r="L899" s="33"/>
      <c r="M899" s="33"/>
    </row>
    <row r="900" spans="12:13" ht="12.75" customHeight="1">
      <c r="L900" s="33"/>
      <c r="M900" s="33"/>
    </row>
    <row r="901" spans="12:13" ht="12.75" customHeight="1">
      <c r="L901" s="33"/>
      <c r="M901" s="33"/>
    </row>
    <row r="902" spans="12:13" ht="12.75" customHeight="1">
      <c r="L902" s="33"/>
      <c r="M902" s="33"/>
    </row>
    <row r="903" spans="12:13" ht="12.75" customHeight="1">
      <c r="L903" s="33"/>
      <c r="M903" s="33"/>
    </row>
    <row r="904" spans="12:13" ht="12.75" customHeight="1">
      <c r="L904" s="33"/>
      <c r="M904" s="33"/>
    </row>
    <row r="905" spans="12:13" ht="12.75" customHeight="1">
      <c r="L905" s="33"/>
      <c r="M905" s="33"/>
    </row>
    <row r="906" spans="12:13" ht="12.75" customHeight="1">
      <c r="L906" s="33"/>
      <c r="M906" s="33"/>
    </row>
    <row r="907" spans="12:13" ht="12.75" customHeight="1">
      <c r="L907" s="33"/>
      <c r="M907" s="33"/>
    </row>
    <row r="908" spans="12:13" ht="12.75" customHeight="1">
      <c r="L908" s="33"/>
      <c r="M908" s="33"/>
    </row>
    <row r="909" spans="12:13" ht="12.75" customHeight="1">
      <c r="L909" s="33"/>
      <c r="M909" s="33"/>
    </row>
    <row r="910" spans="12:13" ht="12.75" customHeight="1">
      <c r="L910" s="33"/>
      <c r="M910" s="33"/>
    </row>
    <row r="911" spans="12:13" ht="12.75" customHeight="1">
      <c r="L911" s="33"/>
      <c r="M911" s="33"/>
    </row>
    <row r="912" spans="12:13" ht="12.75" customHeight="1">
      <c r="L912" s="33"/>
      <c r="M912" s="33"/>
    </row>
    <row r="913" spans="12:13" ht="12.75" customHeight="1">
      <c r="L913" s="33"/>
      <c r="M913" s="33"/>
    </row>
    <row r="914" spans="12:13" ht="12.75" customHeight="1">
      <c r="L914" s="33"/>
      <c r="M914" s="33"/>
    </row>
    <row r="915" spans="12:13" ht="12.75" customHeight="1">
      <c r="L915" s="33"/>
      <c r="M915" s="33"/>
    </row>
    <row r="916" spans="12:13" ht="12.75" customHeight="1">
      <c r="L916" s="33"/>
      <c r="M916" s="33"/>
    </row>
    <row r="917" spans="12:13" ht="12.75" customHeight="1">
      <c r="L917" s="33"/>
      <c r="M917" s="33"/>
    </row>
    <row r="918" spans="12:13" ht="12.75" customHeight="1">
      <c r="L918" s="33"/>
      <c r="M918" s="33"/>
    </row>
    <row r="919" spans="12:13" ht="12.75" customHeight="1">
      <c r="L919" s="33"/>
      <c r="M919" s="33"/>
    </row>
    <row r="920" spans="12:13" ht="12.75" customHeight="1">
      <c r="L920" s="33"/>
      <c r="M920" s="33"/>
    </row>
    <row r="921" spans="12:13" ht="12.75" customHeight="1">
      <c r="L921" s="33"/>
      <c r="M921" s="33"/>
    </row>
    <row r="922" spans="12:13" ht="12.75" customHeight="1">
      <c r="L922" s="33"/>
      <c r="M922" s="33"/>
    </row>
    <row r="923" spans="12:13" ht="12.75" customHeight="1">
      <c r="L923" s="33"/>
      <c r="M923" s="33"/>
    </row>
    <row r="924" spans="12:13" ht="12.75" customHeight="1">
      <c r="L924" s="33"/>
      <c r="M924" s="33"/>
    </row>
    <row r="925" spans="12:13" ht="12.75" customHeight="1">
      <c r="L925" s="33"/>
      <c r="M925" s="33"/>
    </row>
    <row r="926" spans="12:13" ht="12.75" customHeight="1">
      <c r="L926" s="33"/>
      <c r="M926" s="33"/>
    </row>
    <row r="927" spans="12:13" ht="12.75" customHeight="1">
      <c r="L927" s="33"/>
      <c r="M927" s="33"/>
    </row>
    <row r="928" spans="12:13" ht="12.75" customHeight="1">
      <c r="L928" s="33"/>
      <c r="M928" s="33"/>
    </row>
    <row r="929" spans="12:13" ht="12.75" customHeight="1">
      <c r="L929" s="33"/>
      <c r="M929" s="33"/>
    </row>
    <row r="930" spans="12:13" ht="12.75" customHeight="1">
      <c r="L930" s="33"/>
      <c r="M930" s="33"/>
    </row>
    <row r="931" spans="12:13" ht="12.75" customHeight="1">
      <c r="L931" s="33"/>
      <c r="M931" s="33"/>
    </row>
    <row r="932" spans="12:13" ht="12.75" customHeight="1">
      <c r="L932" s="33"/>
      <c r="M932" s="33"/>
    </row>
    <row r="933" spans="12:13" ht="12.75" customHeight="1">
      <c r="L933" s="33"/>
      <c r="M933" s="33"/>
    </row>
    <row r="934" spans="12:13" ht="12.75" customHeight="1">
      <c r="L934" s="33"/>
      <c r="M934" s="33"/>
    </row>
    <row r="935" spans="12:13" ht="12.75" customHeight="1">
      <c r="L935" s="33"/>
      <c r="M935" s="33"/>
    </row>
    <row r="936" spans="12:13" ht="12.75" customHeight="1">
      <c r="L936" s="33"/>
      <c r="M936" s="33"/>
    </row>
    <row r="937" spans="12:13" ht="12.75" customHeight="1">
      <c r="L937" s="33"/>
      <c r="M937" s="33"/>
    </row>
    <row r="938" spans="12:13" ht="12.75" customHeight="1">
      <c r="L938" s="33"/>
      <c r="M938" s="33"/>
    </row>
    <row r="939" spans="12:13" ht="12.75" customHeight="1">
      <c r="L939" s="33"/>
      <c r="M939" s="33"/>
    </row>
    <row r="940" spans="12:13" ht="12.75" customHeight="1">
      <c r="L940" s="33"/>
      <c r="M940" s="33"/>
    </row>
    <row r="941" spans="12:13" ht="12.75" customHeight="1">
      <c r="L941" s="33"/>
      <c r="M941" s="33"/>
    </row>
    <row r="942" spans="12:13" ht="12.75" customHeight="1">
      <c r="L942" s="33"/>
      <c r="M942" s="33"/>
    </row>
    <row r="943" spans="12:13" ht="12.75" customHeight="1">
      <c r="L943" s="33"/>
      <c r="M943" s="33"/>
    </row>
    <row r="944" spans="12:13" ht="12.75" customHeight="1">
      <c r="L944" s="33"/>
      <c r="M944" s="33"/>
    </row>
    <row r="945" spans="12:13" ht="12.75" customHeight="1">
      <c r="L945" s="33"/>
      <c r="M945" s="33"/>
    </row>
    <row r="946" spans="12:13" ht="12.75" customHeight="1">
      <c r="L946" s="33"/>
      <c r="M946" s="33"/>
    </row>
    <row r="947" spans="12:13" ht="12.75" customHeight="1">
      <c r="L947" s="33"/>
      <c r="M947" s="33"/>
    </row>
    <row r="948" spans="12:13" ht="12.75" customHeight="1">
      <c r="L948" s="33"/>
      <c r="M948" s="33"/>
    </row>
    <row r="949" spans="12:13" ht="12.75" customHeight="1">
      <c r="L949" s="33"/>
      <c r="M949" s="33"/>
    </row>
    <row r="950" spans="12:13" ht="12.75" customHeight="1">
      <c r="L950" s="33"/>
      <c r="M950" s="33"/>
    </row>
    <row r="951" spans="12:13" ht="12.75" customHeight="1">
      <c r="L951" s="33"/>
      <c r="M951" s="33"/>
    </row>
    <row r="952" spans="12:13" ht="12.75" customHeight="1">
      <c r="L952" s="33"/>
      <c r="M952" s="33"/>
    </row>
    <row r="953" spans="12:13" ht="12.75" customHeight="1">
      <c r="L953" s="33"/>
      <c r="M953" s="33"/>
    </row>
    <row r="954" spans="12:13" ht="12.75" customHeight="1">
      <c r="L954" s="33"/>
      <c r="M954" s="33"/>
    </row>
    <row r="955" spans="12:13" ht="12.75" customHeight="1">
      <c r="L955" s="33"/>
      <c r="M955" s="33"/>
    </row>
    <row r="956" spans="12:13" ht="12.75" customHeight="1">
      <c r="L956" s="33"/>
      <c r="M956" s="33"/>
    </row>
    <row r="957" spans="12:13" ht="12.75" customHeight="1">
      <c r="L957" s="33"/>
      <c r="M957" s="33"/>
    </row>
    <row r="958" spans="12:13" ht="12.75" customHeight="1">
      <c r="L958" s="33"/>
      <c r="M958" s="33"/>
    </row>
    <row r="959" spans="12:13" ht="12.75" customHeight="1">
      <c r="L959" s="33"/>
      <c r="M959" s="33"/>
    </row>
    <row r="960" spans="12:13" ht="12.75" customHeight="1">
      <c r="L960" s="33"/>
      <c r="M960" s="33"/>
    </row>
    <row r="961" spans="12:13" ht="12.75" customHeight="1">
      <c r="L961" s="33"/>
      <c r="M961" s="33"/>
    </row>
    <row r="962" spans="12:13" ht="12.75" customHeight="1">
      <c r="L962" s="33"/>
      <c r="M962" s="33"/>
    </row>
    <row r="963" spans="12:13" ht="12.75" customHeight="1">
      <c r="L963" s="33"/>
      <c r="M963" s="33"/>
    </row>
    <row r="964" spans="12:13" ht="12.75" customHeight="1">
      <c r="L964" s="33"/>
      <c r="M964" s="33"/>
    </row>
    <row r="965" spans="12:13" ht="12.75" customHeight="1">
      <c r="L965" s="33"/>
      <c r="M965" s="33"/>
    </row>
    <row r="966" spans="12:13" ht="12.75" customHeight="1">
      <c r="L966" s="33"/>
      <c r="M966" s="33"/>
    </row>
    <row r="967" spans="12:13" ht="12.75" customHeight="1">
      <c r="L967" s="33"/>
      <c r="M967" s="33"/>
    </row>
    <row r="968" spans="12:13" ht="12.75" customHeight="1">
      <c r="L968" s="33"/>
      <c r="M968" s="33"/>
    </row>
    <row r="969" spans="12:13" ht="12.75" customHeight="1">
      <c r="L969" s="33"/>
      <c r="M969" s="33"/>
    </row>
    <row r="970" spans="12:13" ht="12.75" customHeight="1">
      <c r="L970" s="33"/>
      <c r="M970" s="33"/>
    </row>
    <row r="971" spans="12:13" ht="12.75" customHeight="1">
      <c r="L971" s="33"/>
      <c r="M971" s="33"/>
    </row>
    <row r="972" spans="12:13" ht="12.75" customHeight="1">
      <c r="L972" s="33"/>
      <c r="M972" s="33"/>
    </row>
    <row r="973" spans="12:13" ht="12.75" customHeight="1">
      <c r="L973" s="33"/>
      <c r="M973" s="33"/>
    </row>
    <row r="974" spans="12:13" ht="12.75" customHeight="1">
      <c r="L974" s="33"/>
      <c r="M974" s="33"/>
    </row>
    <row r="975" spans="12:13" ht="12.75" customHeight="1">
      <c r="L975" s="33"/>
      <c r="M975" s="33"/>
    </row>
    <row r="976" spans="12:13" ht="12.75" customHeight="1">
      <c r="L976" s="33"/>
      <c r="M976" s="33"/>
    </row>
    <row r="977" spans="12:13" ht="12.75" customHeight="1">
      <c r="L977" s="33"/>
      <c r="M977" s="33"/>
    </row>
    <row r="978" spans="12:13" ht="12.75" customHeight="1">
      <c r="L978" s="33"/>
      <c r="M978" s="33"/>
    </row>
    <row r="979" spans="12:13" ht="12.75" customHeight="1">
      <c r="L979" s="33"/>
      <c r="M979" s="33"/>
    </row>
    <row r="980" spans="12:13" ht="12.75" customHeight="1">
      <c r="L980" s="33"/>
      <c r="M980" s="33"/>
    </row>
    <row r="981" spans="12:13" ht="12.75" customHeight="1">
      <c r="L981" s="33"/>
      <c r="M981" s="33"/>
    </row>
    <row r="982" spans="12:13" ht="12.75" customHeight="1">
      <c r="L982" s="33"/>
      <c r="M982" s="33"/>
    </row>
    <row r="983" spans="12:13" ht="12.75" customHeight="1">
      <c r="L983" s="33"/>
      <c r="M983" s="33"/>
    </row>
    <row r="984" spans="12:13" ht="12.75" customHeight="1">
      <c r="L984" s="33"/>
      <c r="M984" s="33"/>
    </row>
    <row r="985" spans="12:13" ht="12.75" customHeight="1">
      <c r="L985" s="33"/>
      <c r="M985" s="33"/>
    </row>
    <row r="986" spans="12:13" ht="12.75" customHeight="1">
      <c r="L986" s="33"/>
      <c r="M986" s="33"/>
    </row>
    <row r="987" spans="12:13" ht="12.75" customHeight="1">
      <c r="L987" s="33"/>
      <c r="M987" s="33"/>
    </row>
    <row r="988" spans="12:13" ht="12.75" customHeight="1">
      <c r="L988" s="33"/>
      <c r="M988" s="33"/>
    </row>
    <row r="989" spans="12:13" ht="12.75" customHeight="1">
      <c r="L989" s="33"/>
      <c r="M989" s="33"/>
    </row>
    <row r="990" spans="12:13" ht="12.75" customHeight="1">
      <c r="L990" s="33"/>
      <c r="M990" s="33"/>
    </row>
    <row r="991" spans="12:13" ht="12.75" customHeight="1">
      <c r="L991" s="33"/>
      <c r="M991" s="33"/>
    </row>
    <row r="992" spans="12:13" ht="12.75" customHeight="1">
      <c r="L992" s="33"/>
      <c r="M992" s="33"/>
    </row>
    <row r="993" spans="12:13" ht="12.75" customHeight="1">
      <c r="L993" s="33"/>
      <c r="M993" s="33"/>
    </row>
    <row r="994" spans="12:13" ht="12.75" customHeight="1">
      <c r="L994" s="33"/>
      <c r="M994" s="33"/>
    </row>
    <row r="995" spans="12:13" ht="12.75" customHeight="1">
      <c r="L995" s="33"/>
      <c r="M995" s="33"/>
    </row>
    <row r="996" spans="12:13" ht="12.75" customHeight="1">
      <c r="L996" s="33"/>
      <c r="M996" s="33"/>
    </row>
    <row r="997" spans="12:13" ht="12.75" customHeight="1">
      <c r="L997" s="33"/>
      <c r="M997" s="33"/>
    </row>
    <row r="998" spans="12:13" ht="12.75" customHeight="1">
      <c r="L998" s="33"/>
      <c r="M998" s="33"/>
    </row>
    <row r="999" spans="12:13" ht="12.75" customHeight="1">
      <c r="L999" s="33"/>
      <c r="M999" s="33"/>
    </row>
    <row r="1000" spans="12:13" ht="12.75" customHeight="1">
      <c r="L1000" s="33"/>
      <c r="M1000" s="33"/>
    </row>
    <row r="1001" spans="12:13" ht="12.75" customHeight="1">
      <c r="L1001" s="33"/>
      <c r="M1001" s="33"/>
    </row>
    <row r="1002" spans="12:13" ht="12.75" customHeight="1">
      <c r="L1002" s="33"/>
      <c r="M1002" s="33"/>
    </row>
    <row r="1003" spans="12:13" ht="12.75" customHeight="1">
      <c r="L1003" s="33"/>
      <c r="M1003" s="33"/>
    </row>
    <row r="1004" spans="12:13" ht="12.75" customHeight="1">
      <c r="L1004" s="33"/>
      <c r="M1004" s="33"/>
    </row>
    <row r="1005" spans="12:13" ht="12.75" customHeight="1">
      <c r="L1005" s="33"/>
      <c r="M1005" s="33"/>
    </row>
    <row r="1006" spans="12:13" ht="12.75" customHeight="1">
      <c r="L1006" s="33"/>
      <c r="M1006" s="33"/>
    </row>
    <row r="1007" spans="12:13" ht="12.75" customHeight="1">
      <c r="L1007" s="33"/>
      <c r="M1007" s="33"/>
    </row>
    <row r="1008" spans="12:13" ht="12.75" customHeight="1">
      <c r="L1008" s="33"/>
      <c r="M1008" s="33"/>
    </row>
    <row r="1009" spans="12:13" ht="12.75" customHeight="1">
      <c r="L1009" s="33"/>
      <c r="M1009" s="33"/>
    </row>
    <row r="1010" spans="12:13" ht="12.75" customHeight="1">
      <c r="L1010" s="33"/>
      <c r="M1010" s="33"/>
    </row>
    <row r="1011" spans="12:13" ht="12.75" customHeight="1">
      <c r="L1011" s="33"/>
      <c r="M1011" s="33"/>
    </row>
    <row r="1012" spans="12:13" ht="12.75" customHeight="1">
      <c r="L1012" s="33"/>
      <c r="M1012" s="33"/>
    </row>
    <row r="1013" spans="12:13" ht="12.75" customHeight="1">
      <c r="L1013" s="33"/>
      <c r="M1013" s="33"/>
    </row>
    <row r="1014" spans="12:13" ht="12.75" customHeight="1">
      <c r="L1014" s="33"/>
      <c r="M1014" s="33"/>
    </row>
  </sheetData>
  <mergeCells count="11">
    <mergeCell ref="G2:M2"/>
    <mergeCell ref="G3:M3"/>
    <mergeCell ref="G4:M4"/>
    <mergeCell ref="L47:L49"/>
    <mergeCell ref="B50:M51"/>
    <mergeCell ref="B34:M35"/>
    <mergeCell ref="B32:C32"/>
    <mergeCell ref="M25:M26"/>
    <mergeCell ref="C41:I41"/>
    <mergeCell ref="B11:N11"/>
    <mergeCell ref="B36:M36"/>
  </mergeCells>
  <hyperlinks>
    <hyperlink ref="D7" r:id="rId1" xr:uid="{00000000-0004-0000-0100-000000000000}"/>
    <hyperlink ref="D8" r:id="rId2" xr:uid="{00000000-0004-0000-0100-000001000000}"/>
    <hyperlink ref="D9" r:id="rId3" xr:uid="{00000000-0004-0000-0100-000002000000}"/>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AA1000"/>
  <sheetViews>
    <sheetView showGridLines="0" topLeftCell="B1" workbookViewId="0">
      <selection activeCell="N17" sqref="C12:N17"/>
    </sheetView>
  </sheetViews>
  <sheetFormatPr defaultColWidth="14.42578125" defaultRowHeight="15" customHeight="1"/>
  <cols>
    <col min="1" max="1" width="10" style="1" customWidth="1"/>
    <col min="2" max="2" width="27.5703125" style="1" customWidth="1"/>
    <col min="3" max="6" width="11.42578125" style="1" customWidth="1"/>
    <col min="7" max="7" width="13.28515625" style="1" customWidth="1"/>
    <col min="8" max="13" width="11.42578125" style="1" customWidth="1"/>
    <col min="14" max="15" width="16.140625" style="1" customWidth="1"/>
    <col min="16" max="27" width="10" style="1" customWidth="1"/>
    <col min="28" max="16384" width="14.42578125" style="1"/>
  </cols>
  <sheetData>
    <row r="1" spans="2:18" ht="12.75">
      <c r="B1" s="2"/>
      <c r="C1" s="2"/>
      <c r="D1" s="2"/>
      <c r="E1" s="2"/>
      <c r="F1" s="2"/>
    </row>
    <row r="2" spans="2:18" ht="15" customHeight="1">
      <c r="G2" s="218" t="s">
        <v>3</v>
      </c>
      <c r="H2" s="218"/>
      <c r="I2" s="218"/>
      <c r="J2" s="218"/>
      <c r="K2" s="218"/>
      <c r="L2" s="218"/>
      <c r="M2" s="218"/>
      <c r="N2" s="218"/>
    </row>
    <row r="3" spans="2:18" ht="14.25" customHeight="1">
      <c r="G3" s="219" t="s">
        <v>68</v>
      </c>
      <c r="H3" s="219"/>
      <c r="I3" s="219"/>
      <c r="J3" s="219"/>
      <c r="K3" s="219"/>
      <c r="L3" s="219"/>
      <c r="M3" s="219"/>
      <c r="N3" s="219"/>
    </row>
    <row r="4" spans="2:18" ht="12.75">
      <c r="G4" s="220" t="s">
        <v>69</v>
      </c>
      <c r="H4" s="220"/>
      <c r="I4" s="220"/>
      <c r="J4" s="220"/>
      <c r="K4" s="220"/>
      <c r="L4" s="220"/>
      <c r="M4" s="220"/>
      <c r="N4" s="220"/>
    </row>
    <row r="5" spans="2:18" ht="12.75">
      <c r="G5" s="45"/>
      <c r="H5" s="45"/>
      <c r="I5" s="45"/>
      <c r="J5" s="45"/>
      <c r="K5" s="45"/>
      <c r="L5" s="45"/>
      <c r="M5" s="45"/>
      <c r="N5" s="45"/>
    </row>
    <row r="6" spans="2:18" ht="12.75">
      <c r="B6" s="71" t="s">
        <v>8</v>
      </c>
      <c r="C6" s="72" t="s">
        <v>9</v>
      </c>
      <c r="G6" s="45"/>
      <c r="H6" s="45"/>
      <c r="I6" s="45"/>
      <c r="J6" s="45"/>
      <c r="K6" s="45"/>
      <c r="L6" s="45"/>
      <c r="M6" s="45"/>
      <c r="N6" s="45"/>
    </row>
    <row r="7" spans="2:18" ht="12.75">
      <c r="B7" s="71" t="s">
        <v>8</v>
      </c>
      <c r="C7" s="72" t="s">
        <v>10</v>
      </c>
      <c r="G7" s="45"/>
      <c r="H7" s="45"/>
      <c r="I7" s="45"/>
      <c r="J7" s="45"/>
      <c r="K7" s="45"/>
      <c r="L7" s="45"/>
      <c r="M7" s="45"/>
      <c r="N7" s="45"/>
    </row>
    <row r="8" spans="2:18" ht="12.75">
      <c r="G8" s="45"/>
      <c r="H8" s="45"/>
      <c r="I8" s="45"/>
      <c r="J8" s="45"/>
      <c r="K8" s="45"/>
      <c r="L8" s="45"/>
      <c r="M8" s="45"/>
      <c r="N8" s="45"/>
    </row>
    <row r="9" spans="2:18" ht="12.75">
      <c r="N9" s="16"/>
      <c r="O9" s="16"/>
    </row>
    <row r="10" spans="2:18" ht="38.25" customHeight="1">
      <c r="B10" s="63" t="s">
        <v>70</v>
      </c>
      <c r="C10" s="234" t="s">
        <v>71</v>
      </c>
      <c r="D10" s="236"/>
      <c r="E10" s="236"/>
      <c r="F10" s="235"/>
      <c r="G10" s="64" t="s">
        <v>72</v>
      </c>
      <c r="H10" s="234" t="s">
        <v>73</v>
      </c>
      <c r="I10" s="235"/>
      <c r="J10" s="64" t="s">
        <v>74</v>
      </c>
      <c r="K10" s="234" t="s">
        <v>75</v>
      </c>
      <c r="L10" s="236"/>
      <c r="M10" s="235"/>
      <c r="N10" s="65" t="s">
        <v>76</v>
      </c>
      <c r="O10" s="230" t="s">
        <v>77</v>
      </c>
      <c r="P10" s="233" t="s">
        <v>61</v>
      </c>
    </row>
    <row r="11" spans="2:18" ht="38.25" customHeight="1">
      <c r="B11" s="63" t="s">
        <v>70</v>
      </c>
      <c r="C11" s="64" t="s">
        <v>78</v>
      </c>
      <c r="D11" s="64" t="s">
        <v>79</v>
      </c>
      <c r="E11" s="64" t="s">
        <v>80</v>
      </c>
      <c r="F11" s="64" t="s">
        <v>81</v>
      </c>
      <c r="G11" s="64" t="s">
        <v>82</v>
      </c>
      <c r="H11" s="64" t="s">
        <v>83</v>
      </c>
      <c r="I11" s="64" t="s">
        <v>84</v>
      </c>
      <c r="J11" s="64" t="s">
        <v>85</v>
      </c>
      <c r="K11" s="64" t="s">
        <v>86</v>
      </c>
      <c r="L11" s="64" t="s">
        <v>87</v>
      </c>
      <c r="M11" s="64" t="s">
        <v>88</v>
      </c>
      <c r="N11" s="65" t="s">
        <v>89</v>
      </c>
      <c r="O11" s="231"/>
      <c r="P11" s="233"/>
    </row>
    <row r="12" spans="2:18" ht="12.75" customHeight="1">
      <c r="B12" s="26" t="s">
        <v>90</v>
      </c>
      <c r="C12" s="178">
        <v>11082</v>
      </c>
      <c r="D12" s="178">
        <v>13134</v>
      </c>
      <c r="E12" s="178">
        <v>6504</v>
      </c>
      <c r="F12" s="178">
        <v>33678</v>
      </c>
      <c r="G12" s="178">
        <v>12980</v>
      </c>
      <c r="H12" s="178">
        <v>11875</v>
      </c>
      <c r="I12" s="178">
        <v>1262</v>
      </c>
      <c r="J12" s="178">
        <v>13384</v>
      </c>
      <c r="K12" s="178">
        <v>14696</v>
      </c>
      <c r="L12" s="178">
        <v>10964</v>
      </c>
      <c r="M12" s="178">
        <v>701</v>
      </c>
      <c r="N12" s="178">
        <f>8448+175+197+11</f>
        <v>8831</v>
      </c>
      <c r="O12" s="75">
        <v>1126</v>
      </c>
      <c r="P12" s="66">
        <f>+SUM(C12:O12)</f>
        <v>140217</v>
      </c>
      <c r="R12" s="4"/>
    </row>
    <row r="13" spans="2:18" ht="27" customHeight="1">
      <c r="B13" s="26" t="s">
        <v>91</v>
      </c>
      <c r="C13" s="178">
        <v>1620</v>
      </c>
      <c r="D13" s="178">
        <v>30</v>
      </c>
      <c r="E13" s="178">
        <v>45</v>
      </c>
      <c r="F13" s="178">
        <v>791</v>
      </c>
      <c r="G13" s="178">
        <v>446</v>
      </c>
      <c r="H13" s="178">
        <v>420</v>
      </c>
      <c r="I13" s="178">
        <v>0</v>
      </c>
      <c r="J13" s="178">
        <v>504</v>
      </c>
      <c r="K13" s="178">
        <v>409</v>
      </c>
      <c r="L13" s="178">
        <v>444</v>
      </c>
      <c r="M13" s="178"/>
      <c r="N13" s="178">
        <v>120</v>
      </c>
      <c r="O13" s="74">
        <v>485</v>
      </c>
      <c r="P13" s="66">
        <f t="shared" ref="P13:P18" si="0">+SUM(C13:O13)</f>
        <v>5314</v>
      </c>
      <c r="R13" s="14"/>
    </row>
    <row r="14" spans="2:18" ht="14.25" customHeight="1">
      <c r="B14" s="26" t="s">
        <v>92</v>
      </c>
      <c r="C14" s="178">
        <v>19365</v>
      </c>
      <c r="D14" s="178">
        <v>16</v>
      </c>
      <c r="E14" s="178"/>
      <c r="F14" s="178">
        <v>38</v>
      </c>
      <c r="G14" s="178">
        <v>3820</v>
      </c>
      <c r="H14" s="178">
        <v>1219</v>
      </c>
      <c r="I14" s="178">
        <v>0</v>
      </c>
      <c r="J14" s="178">
        <v>1727</v>
      </c>
      <c r="K14" s="178">
        <v>6098</v>
      </c>
      <c r="L14" s="178">
        <v>0</v>
      </c>
      <c r="M14" s="178">
        <v>0</v>
      </c>
      <c r="N14" s="178">
        <v>2100</v>
      </c>
      <c r="O14" s="74" t="s">
        <v>45</v>
      </c>
      <c r="P14" s="66">
        <f t="shared" si="0"/>
        <v>34383</v>
      </c>
      <c r="R14" s="4"/>
    </row>
    <row r="15" spans="2:18" ht="15" customHeight="1">
      <c r="B15" s="26" t="s">
        <v>93</v>
      </c>
      <c r="C15" s="178">
        <v>4584</v>
      </c>
      <c r="D15" s="178">
        <v>145</v>
      </c>
      <c r="E15" s="178"/>
      <c r="F15" s="178"/>
      <c r="G15" s="178"/>
      <c r="H15" s="178">
        <v>1339</v>
      </c>
      <c r="I15" s="178"/>
      <c r="J15" s="178"/>
      <c r="K15" s="178"/>
      <c r="L15" s="178">
        <v>21744</v>
      </c>
      <c r="M15" s="178"/>
      <c r="N15" s="178"/>
      <c r="O15" s="74"/>
      <c r="P15" s="66">
        <f t="shared" si="0"/>
        <v>27812</v>
      </c>
      <c r="R15" s="4"/>
    </row>
    <row r="16" spans="2:18" ht="12.75">
      <c r="B16" s="26" t="s">
        <v>39</v>
      </c>
      <c r="C16" s="178">
        <v>1234</v>
      </c>
      <c r="D16" s="178">
        <v>85</v>
      </c>
      <c r="E16" s="178">
        <v>325</v>
      </c>
      <c r="F16" s="178">
        <v>678</v>
      </c>
      <c r="G16" s="178">
        <v>279</v>
      </c>
      <c r="H16" s="178">
        <v>308</v>
      </c>
      <c r="I16" s="178"/>
      <c r="J16" s="178">
        <v>240</v>
      </c>
      <c r="K16" s="178">
        <v>774</v>
      </c>
      <c r="L16" s="178">
        <v>447</v>
      </c>
      <c r="M16" s="178">
        <v>12</v>
      </c>
      <c r="N16" s="178">
        <v>401</v>
      </c>
      <c r="O16" s="74"/>
      <c r="P16" s="66">
        <f t="shared" si="0"/>
        <v>4783</v>
      </c>
      <c r="R16" s="4"/>
    </row>
    <row r="17" spans="1:27" ht="12.75">
      <c r="A17" s="11"/>
      <c r="B17" s="26" t="s">
        <v>94</v>
      </c>
      <c r="C17" s="178"/>
      <c r="D17" s="178"/>
      <c r="E17" s="178"/>
      <c r="F17" s="178"/>
      <c r="G17" s="178"/>
      <c r="H17" s="178"/>
      <c r="I17" s="178">
        <v>39573</v>
      </c>
      <c r="J17" s="178"/>
      <c r="K17" s="178"/>
      <c r="L17" s="178"/>
      <c r="M17" s="178"/>
      <c r="N17" s="178"/>
      <c r="O17" s="74"/>
      <c r="P17" s="66">
        <f t="shared" si="0"/>
        <v>39573</v>
      </c>
      <c r="R17" s="15"/>
      <c r="S17" s="11"/>
      <c r="T17" s="11"/>
      <c r="U17" s="11"/>
      <c r="V17" s="11"/>
      <c r="W17" s="11"/>
      <c r="X17" s="11"/>
      <c r="Y17" s="11"/>
      <c r="Z17" s="11"/>
      <c r="AA17" s="11"/>
    </row>
    <row r="18" spans="1:27" ht="12.75">
      <c r="B18" s="67" t="s">
        <v>61</v>
      </c>
      <c r="C18" s="68">
        <f>+SUM(C12:C17)</f>
        <v>37885</v>
      </c>
      <c r="D18" s="68">
        <f t="shared" ref="D18:K18" si="1">+SUM(D12:D17)</f>
        <v>13410</v>
      </c>
      <c r="E18" s="68">
        <f t="shared" si="1"/>
        <v>6874</v>
      </c>
      <c r="F18" s="68">
        <f t="shared" si="1"/>
        <v>35185</v>
      </c>
      <c r="G18" s="68">
        <f t="shared" si="1"/>
        <v>17525</v>
      </c>
      <c r="H18" s="68">
        <f t="shared" si="1"/>
        <v>15161</v>
      </c>
      <c r="I18" s="68">
        <f t="shared" si="1"/>
        <v>40835</v>
      </c>
      <c r="J18" s="68">
        <f t="shared" si="1"/>
        <v>15855</v>
      </c>
      <c r="K18" s="68">
        <f t="shared" si="1"/>
        <v>21977</v>
      </c>
      <c r="L18" s="179">
        <f t="shared" ref="L18:O18" si="2">+SUM(L12:L17)</f>
        <v>33599</v>
      </c>
      <c r="M18" s="68">
        <f t="shared" si="2"/>
        <v>713</v>
      </c>
      <c r="N18" s="68">
        <f t="shared" si="2"/>
        <v>11452</v>
      </c>
      <c r="O18" s="68">
        <f t="shared" si="2"/>
        <v>1611</v>
      </c>
      <c r="P18" s="66">
        <f t="shared" si="0"/>
        <v>252082</v>
      </c>
      <c r="R18" s="4"/>
    </row>
    <row r="19" spans="1:27" ht="12.75">
      <c r="A19" s="16"/>
      <c r="B19" s="69" t="s">
        <v>95</v>
      </c>
      <c r="C19" s="70">
        <f t="shared" ref="C19:P19" si="3">+C18/$P$18</f>
        <v>0.15028839821962695</v>
      </c>
      <c r="D19" s="70">
        <f t="shared" si="3"/>
        <v>5.319697558730889E-2</v>
      </c>
      <c r="E19" s="70">
        <f t="shared" si="3"/>
        <v>2.7268904562800993E-2</v>
      </c>
      <c r="F19" s="70">
        <f t="shared" si="3"/>
        <v>0.13957759776580636</v>
      </c>
      <c r="G19" s="70">
        <f t="shared" si="3"/>
        <v>6.9521028871557672E-2</v>
      </c>
      <c r="H19" s="70">
        <f t="shared" si="3"/>
        <v>6.0143128029768095E-2</v>
      </c>
      <c r="I19" s="70">
        <f t="shared" si="3"/>
        <v>0.16199093945620868</v>
      </c>
      <c r="J19" s="70">
        <f t="shared" si="3"/>
        <v>6.2896200442713088E-2</v>
      </c>
      <c r="K19" s="70">
        <f t="shared" si="3"/>
        <v>8.7181948730968489E-2</v>
      </c>
      <c r="L19" s="180">
        <f t="shared" si="3"/>
        <v>0.13328599423996954</v>
      </c>
      <c r="M19" s="70">
        <f t="shared" si="3"/>
        <v>2.8284447124348427E-3</v>
      </c>
      <c r="N19" s="70">
        <f t="shared" si="3"/>
        <v>4.5429661776723446E-2</v>
      </c>
      <c r="O19" s="70">
        <f t="shared" si="3"/>
        <v>6.3907776041129474E-3</v>
      </c>
      <c r="P19" s="70">
        <f t="shared" si="3"/>
        <v>1</v>
      </c>
      <c r="R19" s="4"/>
    </row>
    <row r="20" spans="1:27" ht="12.75">
      <c r="B20" s="232" t="s">
        <v>96</v>
      </c>
      <c r="C20" s="272"/>
      <c r="D20" s="272"/>
      <c r="E20" s="272"/>
      <c r="F20" s="272"/>
      <c r="G20" s="272"/>
      <c r="H20" s="272"/>
      <c r="I20" s="272"/>
      <c r="J20" s="272"/>
      <c r="K20" s="272"/>
      <c r="L20" s="272"/>
      <c r="M20" s="272"/>
      <c r="N20" s="272"/>
      <c r="O20" s="272"/>
      <c r="P20" s="272"/>
    </row>
    <row r="21" spans="1:27" ht="63.75" customHeight="1">
      <c r="B21" s="271"/>
      <c r="C21" s="271"/>
      <c r="D21" s="271"/>
      <c r="E21" s="271"/>
      <c r="F21" s="271"/>
      <c r="G21" s="271"/>
      <c r="H21" s="271"/>
      <c r="I21" s="271"/>
      <c r="J21" s="271"/>
      <c r="K21" s="271"/>
      <c r="L21" s="271"/>
      <c r="M21" s="271"/>
      <c r="N21" s="271"/>
      <c r="O21" s="271"/>
      <c r="P21" s="271"/>
    </row>
    <row r="22" spans="1:27" ht="27" customHeight="1">
      <c r="B22" s="221" t="s">
        <v>97</v>
      </c>
      <c r="C22" s="221"/>
      <c r="D22" s="221"/>
      <c r="E22" s="221"/>
      <c r="F22" s="221"/>
      <c r="G22" s="221"/>
      <c r="H22" s="221"/>
      <c r="I22" s="221"/>
      <c r="J22" s="221"/>
      <c r="K22" s="221"/>
      <c r="L22" s="221"/>
      <c r="M22" s="221"/>
      <c r="N22" s="221"/>
      <c r="O22" s="221"/>
      <c r="P22" s="221"/>
    </row>
    <row r="23" spans="1:27" s="16" customFormat="1" ht="15.75" customHeight="1">
      <c r="C23" s="165"/>
      <c r="D23" s="165"/>
      <c r="E23" s="165"/>
      <c r="F23" s="165"/>
      <c r="G23" s="165"/>
      <c r="H23" s="165"/>
      <c r="I23" s="165"/>
      <c r="J23" s="165"/>
      <c r="K23" s="165"/>
      <c r="M23" s="165"/>
      <c r="N23" s="165"/>
      <c r="O23" s="165"/>
    </row>
    <row r="24" spans="1:27" ht="15.75" customHeight="1"/>
    <row r="25" spans="1:27" ht="15.75" customHeight="1"/>
    <row r="26" spans="1:27" ht="15.75" customHeight="1"/>
    <row r="27" spans="1:27" ht="15.75" customHeight="1"/>
    <row r="28" spans="1:27" ht="15.75" customHeight="1"/>
    <row r="29" spans="1:27" ht="15.75" customHeight="1"/>
    <row r="30" spans="1:27" ht="15.75" customHeight="1"/>
    <row r="31" spans="1:27" ht="15.75" customHeight="1"/>
    <row r="32" spans="1: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2:N2"/>
    <mergeCell ref="G3:N3"/>
    <mergeCell ref="G4:N4"/>
    <mergeCell ref="O10:O11"/>
    <mergeCell ref="B22:P22"/>
    <mergeCell ref="B20:P21"/>
    <mergeCell ref="P10:P11"/>
    <mergeCell ref="H10:I10"/>
    <mergeCell ref="C10:F10"/>
    <mergeCell ref="K10:M10"/>
  </mergeCells>
  <hyperlinks>
    <hyperlink ref="C6" r:id="rId1" xr:uid="{00000000-0004-0000-0200-000000000000}"/>
    <hyperlink ref="C7" r:id="rId2" xr:uid="{00000000-0004-0000-0200-000001000000}"/>
  </hyperlinks>
  <pageMargins left="0.7" right="0.7" top="0.75" bottom="0.75" header="0" footer="0"/>
  <pageSetup orientation="landscape"/>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Z1007"/>
  <sheetViews>
    <sheetView showGridLines="0" workbookViewId="0">
      <selection activeCell="D1" sqref="D1"/>
    </sheetView>
  </sheetViews>
  <sheetFormatPr defaultColWidth="14.42578125" defaultRowHeight="23.25" customHeight="1"/>
  <cols>
    <col min="1" max="1" width="11.42578125" style="77" customWidth="1"/>
    <col min="2" max="3" width="27.5703125" style="80" customWidth="1"/>
    <col min="4" max="4" width="45.7109375" style="80" customWidth="1"/>
    <col min="5" max="5" width="33.7109375" style="80" customWidth="1"/>
    <col min="6" max="6" width="36.28515625" style="80" customWidth="1"/>
    <col min="7" max="7" width="32.85546875" style="80" customWidth="1"/>
    <col min="8" max="15" width="11.42578125" style="77" customWidth="1"/>
    <col min="16" max="26" width="10" style="77" customWidth="1"/>
    <col min="27" max="16384" width="14.42578125" style="77"/>
  </cols>
  <sheetData>
    <row r="1" spans="1:26" ht="15.75" customHeight="1">
      <c r="B1" s="78"/>
      <c r="C1" s="78"/>
      <c r="D1" s="78"/>
      <c r="E1" s="78"/>
      <c r="F1" s="79"/>
      <c r="G1" s="78"/>
    </row>
    <row r="2" spans="1:26" ht="13.5" customHeight="1">
      <c r="D2" s="237" t="s">
        <v>3</v>
      </c>
      <c r="E2" s="237"/>
      <c r="F2" s="237"/>
      <c r="G2" s="237"/>
      <c r="H2" s="81"/>
      <c r="I2" s="81"/>
      <c r="J2" s="81"/>
      <c r="K2" s="81"/>
      <c r="L2" s="81"/>
      <c r="M2" s="81"/>
      <c r="N2" s="81"/>
      <c r="O2" s="81"/>
    </row>
    <row r="3" spans="1:26" ht="12.75" customHeight="1">
      <c r="D3" s="238" t="s">
        <v>98</v>
      </c>
      <c r="E3" s="238"/>
      <c r="F3" s="238"/>
      <c r="G3" s="238"/>
      <c r="H3" s="82"/>
      <c r="I3" s="82"/>
      <c r="J3" s="82"/>
      <c r="K3" s="82"/>
      <c r="L3" s="82"/>
      <c r="M3" s="82"/>
      <c r="N3" s="82"/>
      <c r="O3" s="82"/>
    </row>
    <row r="4" spans="1:26" ht="12" customHeight="1">
      <c r="D4" s="239" t="s">
        <v>99</v>
      </c>
      <c r="E4" s="239"/>
      <c r="F4" s="239"/>
      <c r="G4" s="239"/>
    </row>
    <row r="5" spans="1:26" ht="18.75" customHeight="1">
      <c r="B5" s="83" t="s">
        <v>6</v>
      </c>
      <c r="C5" s="84" t="s">
        <v>7</v>
      </c>
      <c r="D5" s="85"/>
      <c r="E5" s="85"/>
      <c r="F5" s="85"/>
      <c r="G5" s="85"/>
    </row>
    <row r="6" spans="1:26" ht="15.75" customHeight="1">
      <c r="B6" s="86" t="s">
        <v>11</v>
      </c>
      <c r="C6" s="84" t="s">
        <v>12</v>
      </c>
      <c r="D6" s="87"/>
      <c r="F6" s="88"/>
    </row>
    <row r="7" spans="1:26" ht="15.75" customHeight="1">
      <c r="B7" s="86"/>
      <c r="C7" s="84"/>
      <c r="D7" s="87"/>
      <c r="F7" s="88"/>
    </row>
    <row r="8" spans="1:26" ht="10.5" customHeight="1">
      <c r="B8" s="243"/>
      <c r="C8" s="244"/>
      <c r="D8" s="244"/>
      <c r="F8" s="88"/>
    </row>
    <row r="9" spans="1:26" ht="25.5" customHeight="1">
      <c r="A9" s="89"/>
      <c r="B9" s="76" t="s">
        <v>100</v>
      </c>
      <c r="C9" s="76" t="s">
        <v>101</v>
      </c>
      <c r="D9" s="76" t="s">
        <v>102</v>
      </c>
      <c r="E9" s="76" t="s">
        <v>101</v>
      </c>
      <c r="F9" s="27"/>
      <c r="G9" s="90"/>
      <c r="H9" s="89"/>
      <c r="I9" s="89"/>
      <c r="J9" s="89"/>
      <c r="K9" s="89"/>
      <c r="L9" s="89"/>
      <c r="M9" s="89"/>
      <c r="N9" s="89"/>
      <c r="O9" s="89"/>
      <c r="P9" s="89"/>
      <c r="Q9" s="89"/>
      <c r="R9" s="89"/>
      <c r="S9" s="89"/>
      <c r="T9" s="89"/>
      <c r="U9" s="89"/>
      <c r="V9" s="89"/>
      <c r="W9" s="89"/>
      <c r="X9" s="89"/>
      <c r="Y9" s="89"/>
      <c r="Z9" s="89"/>
    </row>
    <row r="10" spans="1:26" ht="23.25" customHeight="1">
      <c r="A10" s="89"/>
      <c r="B10" s="108">
        <v>18</v>
      </c>
      <c r="C10" s="99">
        <v>40</v>
      </c>
      <c r="D10" s="99">
        <v>47</v>
      </c>
      <c r="E10" s="99" t="str">
        <f>+C14</f>
        <v>Biblioteca Digital - BDIGITAL</v>
      </c>
      <c r="F10" s="27"/>
      <c r="G10" s="90"/>
      <c r="H10" s="89"/>
      <c r="I10" s="89"/>
      <c r="J10" s="89"/>
      <c r="K10" s="89"/>
      <c r="L10" s="89"/>
      <c r="M10" s="89"/>
      <c r="N10" s="89"/>
      <c r="O10" s="89"/>
      <c r="P10" s="89"/>
      <c r="Q10" s="89"/>
      <c r="R10" s="89"/>
      <c r="S10" s="89"/>
      <c r="T10" s="89"/>
      <c r="U10" s="89"/>
      <c r="V10" s="89"/>
      <c r="W10" s="89"/>
      <c r="X10" s="89"/>
      <c r="Y10" s="89"/>
      <c r="Z10" s="89"/>
    </row>
    <row r="11" spans="1:26" ht="23.25" customHeight="1">
      <c r="A11" s="89"/>
      <c r="B11" s="245" t="s">
        <v>15</v>
      </c>
      <c r="C11" s="245" t="s">
        <v>103</v>
      </c>
      <c r="D11" s="245" t="s">
        <v>16</v>
      </c>
      <c r="E11" s="245" t="s">
        <v>104</v>
      </c>
      <c r="F11" s="245" t="s">
        <v>18</v>
      </c>
      <c r="G11" s="245" t="s">
        <v>105</v>
      </c>
      <c r="H11" s="258">
        <v>2020</v>
      </c>
      <c r="I11" s="258"/>
      <c r="J11" s="258">
        <v>2021</v>
      </c>
      <c r="K11" s="258"/>
      <c r="L11" s="258">
        <v>2022</v>
      </c>
      <c r="M11" s="258"/>
      <c r="N11" s="258">
        <v>2023</v>
      </c>
      <c r="O11" s="258"/>
      <c r="P11" s="258">
        <v>2024</v>
      </c>
      <c r="Q11" s="258"/>
      <c r="R11" s="259">
        <v>2025</v>
      </c>
      <c r="S11" s="259"/>
      <c r="T11" s="257"/>
      <c r="U11" s="257"/>
      <c r="V11" s="257"/>
      <c r="W11" s="257"/>
      <c r="X11" s="89"/>
      <c r="Y11" s="89"/>
      <c r="Z11" s="89"/>
    </row>
    <row r="12" spans="1:26" ht="23.25" customHeight="1">
      <c r="B12" s="245"/>
      <c r="C12" s="245"/>
      <c r="D12" s="245"/>
      <c r="E12" s="245"/>
      <c r="F12" s="245"/>
      <c r="G12" s="245"/>
      <c r="H12" s="96" t="s">
        <v>106</v>
      </c>
      <c r="I12" s="96" t="s">
        <v>107</v>
      </c>
      <c r="J12" s="96" t="s">
        <v>106</v>
      </c>
      <c r="K12" s="96" t="s">
        <v>107</v>
      </c>
      <c r="L12" s="96" t="s">
        <v>106</v>
      </c>
      <c r="M12" s="96" t="s">
        <v>107</v>
      </c>
      <c r="N12" s="96" t="s">
        <v>106</v>
      </c>
      <c r="O12" s="96" t="s">
        <v>107</v>
      </c>
      <c r="P12" s="96" t="s">
        <v>106</v>
      </c>
      <c r="Q12" s="166" t="s">
        <v>107</v>
      </c>
      <c r="R12" s="96" t="s">
        <v>106</v>
      </c>
      <c r="S12" s="96" t="s">
        <v>107</v>
      </c>
      <c r="T12" s="97"/>
      <c r="U12" s="97"/>
      <c r="V12" s="97"/>
      <c r="W12" s="97"/>
    </row>
    <row r="13" spans="1:26" ht="61.5" customHeight="1">
      <c r="B13" s="109" t="s">
        <v>49</v>
      </c>
      <c r="C13" s="110" t="s">
        <v>108</v>
      </c>
      <c r="D13" s="111" t="s">
        <v>109</v>
      </c>
      <c r="E13" s="112" t="s">
        <v>110</v>
      </c>
      <c r="F13" s="112" t="s">
        <v>110</v>
      </c>
      <c r="G13" s="113" t="s">
        <v>7</v>
      </c>
      <c r="H13" s="103">
        <v>22</v>
      </c>
      <c r="I13" s="103"/>
      <c r="J13" s="103">
        <v>18</v>
      </c>
      <c r="K13" s="103"/>
      <c r="L13" s="103">
        <v>23</v>
      </c>
      <c r="M13" s="103"/>
      <c r="N13" s="103">
        <v>207</v>
      </c>
      <c r="O13" s="103"/>
      <c r="P13" s="103">
        <v>212</v>
      </c>
      <c r="Q13" s="167"/>
      <c r="R13" s="169">
        <v>47</v>
      </c>
      <c r="S13" s="169"/>
    </row>
    <row r="14" spans="1:26" ht="81" customHeight="1">
      <c r="B14" s="91" t="s">
        <v>52</v>
      </c>
      <c r="C14" s="28" t="s">
        <v>111</v>
      </c>
      <c r="D14" s="106" t="s">
        <v>112</v>
      </c>
      <c r="E14" s="105" t="s">
        <v>110</v>
      </c>
      <c r="F14" s="105" t="s">
        <v>110</v>
      </c>
      <c r="G14" s="101" t="s">
        <v>7</v>
      </c>
      <c r="H14" s="107"/>
      <c r="I14" s="103">
        <v>52</v>
      </c>
      <c r="J14" s="103"/>
      <c r="K14" s="103">
        <v>50</v>
      </c>
      <c r="L14" s="103"/>
      <c r="M14" s="103">
        <v>33</v>
      </c>
      <c r="N14" s="103"/>
      <c r="O14" s="103">
        <v>34</v>
      </c>
      <c r="P14" s="103"/>
      <c r="Q14" s="167">
        <v>35</v>
      </c>
      <c r="R14" s="169"/>
      <c r="S14" s="169">
        <v>40</v>
      </c>
    </row>
    <row r="15" spans="1:26" ht="55.5" customHeight="1">
      <c r="A15" s="92"/>
      <c r="B15" s="240" t="s">
        <v>113</v>
      </c>
      <c r="C15" s="29" t="s">
        <v>114</v>
      </c>
      <c r="D15" s="98" t="s">
        <v>115</v>
      </c>
      <c r="E15" s="100" t="s">
        <v>116</v>
      </c>
      <c r="F15" s="100" t="s">
        <v>117</v>
      </c>
      <c r="G15" s="101" t="s">
        <v>12</v>
      </c>
      <c r="H15" s="104" t="s">
        <v>118</v>
      </c>
      <c r="I15" s="104" t="s">
        <v>118</v>
      </c>
      <c r="J15" s="104" t="s">
        <v>118</v>
      </c>
      <c r="K15" s="104" t="s">
        <v>118</v>
      </c>
      <c r="L15" s="104" t="s">
        <v>118</v>
      </c>
      <c r="M15" s="104" t="s">
        <v>118</v>
      </c>
      <c r="N15" s="104"/>
      <c r="O15" s="104" t="s">
        <v>118</v>
      </c>
      <c r="P15" s="104"/>
      <c r="Q15" s="168" t="s">
        <v>118</v>
      </c>
      <c r="R15" s="169"/>
      <c r="S15" s="185" t="s">
        <v>118</v>
      </c>
    </row>
    <row r="16" spans="1:26" ht="84.75" customHeight="1">
      <c r="A16" s="92"/>
      <c r="B16" s="241"/>
      <c r="C16" s="186" t="s">
        <v>119</v>
      </c>
      <c r="D16" s="98" t="s">
        <v>115</v>
      </c>
      <c r="E16" s="100" t="s">
        <v>120</v>
      </c>
      <c r="F16" s="100" t="s">
        <v>121</v>
      </c>
      <c r="G16" s="101" t="s">
        <v>7</v>
      </c>
      <c r="H16" s="104" t="s">
        <v>118</v>
      </c>
      <c r="I16" s="104"/>
      <c r="J16" s="104" t="s">
        <v>118</v>
      </c>
      <c r="K16" s="104"/>
      <c r="L16" s="104" t="s">
        <v>118</v>
      </c>
      <c r="M16" s="104"/>
      <c r="N16" s="104" t="s">
        <v>118</v>
      </c>
      <c r="O16" s="104"/>
      <c r="P16" s="104" t="s">
        <v>118</v>
      </c>
      <c r="Q16" s="168"/>
      <c r="R16" s="185" t="s">
        <v>118</v>
      </c>
      <c r="S16" s="169"/>
    </row>
    <row r="17" spans="1:20" ht="55.5" customHeight="1">
      <c r="A17" s="92"/>
      <c r="B17" s="241"/>
      <c r="C17" s="187" t="s">
        <v>122</v>
      </c>
      <c r="D17" s="98" t="s">
        <v>123</v>
      </c>
      <c r="E17" s="100" t="s">
        <v>124</v>
      </c>
      <c r="F17" s="100" t="s">
        <v>125</v>
      </c>
      <c r="G17" s="101" t="s">
        <v>126</v>
      </c>
      <c r="H17" s="104" t="s">
        <v>118</v>
      </c>
      <c r="I17" s="104" t="s">
        <v>118</v>
      </c>
      <c r="J17" s="104" t="s">
        <v>118</v>
      </c>
      <c r="K17" s="104" t="s">
        <v>118</v>
      </c>
      <c r="L17" s="104" t="s">
        <v>118</v>
      </c>
      <c r="M17" s="104" t="s">
        <v>118</v>
      </c>
      <c r="N17" s="104" t="s">
        <v>118</v>
      </c>
      <c r="O17" s="104" t="s">
        <v>118</v>
      </c>
      <c r="P17" s="104" t="s">
        <v>118</v>
      </c>
      <c r="Q17" s="168" t="s">
        <v>118</v>
      </c>
      <c r="R17" s="104" t="s">
        <v>118</v>
      </c>
      <c r="S17" s="185" t="s">
        <v>118</v>
      </c>
    </row>
    <row r="18" spans="1:20" ht="55.5" customHeight="1">
      <c r="A18" s="92"/>
      <c r="B18" s="241"/>
      <c r="C18" s="29" t="s">
        <v>111</v>
      </c>
      <c r="D18" s="98" t="s">
        <v>127</v>
      </c>
      <c r="E18" s="100" t="s">
        <v>128</v>
      </c>
      <c r="F18" s="102" t="s">
        <v>110</v>
      </c>
      <c r="G18" s="101" t="s">
        <v>7</v>
      </c>
      <c r="H18" s="104" t="s">
        <v>118</v>
      </c>
      <c r="I18" s="104"/>
      <c r="J18" s="104" t="s">
        <v>118</v>
      </c>
      <c r="K18" s="104"/>
      <c r="L18" s="104" t="s">
        <v>118</v>
      </c>
      <c r="M18" s="104"/>
      <c r="N18" s="104" t="s">
        <v>118</v>
      </c>
      <c r="O18" s="104"/>
      <c r="P18" s="104" t="s">
        <v>118</v>
      </c>
      <c r="Q18" s="168"/>
      <c r="R18" s="104" t="s">
        <v>118</v>
      </c>
      <c r="S18" s="185"/>
    </row>
    <row r="19" spans="1:20" ht="55.5" customHeight="1">
      <c r="A19" s="92"/>
      <c r="B19" s="241"/>
      <c r="C19" s="29" t="s">
        <v>129</v>
      </c>
      <c r="D19" s="98" t="s">
        <v>130</v>
      </c>
      <c r="E19" s="100" t="s">
        <v>131</v>
      </c>
      <c r="F19" s="102" t="s">
        <v>132</v>
      </c>
      <c r="G19" s="101" t="s">
        <v>133</v>
      </c>
      <c r="H19" s="104" t="s">
        <v>118</v>
      </c>
      <c r="I19" s="104" t="s">
        <v>118</v>
      </c>
      <c r="J19" s="104" t="s">
        <v>118</v>
      </c>
      <c r="K19" s="104" t="s">
        <v>118</v>
      </c>
      <c r="L19" s="104" t="s">
        <v>118</v>
      </c>
      <c r="M19" s="104" t="s">
        <v>118</v>
      </c>
      <c r="N19" s="104"/>
      <c r="O19" s="104" t="s">
        <v>118</v>
      </c>
      <c r="P19" s="104"/>
      <c r="Q19" s="168" t="s">
        <v>118</v>
      </c>
      <c r="R19" s="169"/>
      <c r="S19" s="185" t="s">
        <v>118</v>
      </c>
    </row>
    <row r="20" spans="1:20" ht="55.5" customHeight="1">
      <c r="A20" s="92"/>
      <c r="B20" s="241"/>
      <c r="C20" s="29" t="s">
        <v>134</v>
      </c>
      <c r="D20" s="98" t="s">
        <v>130</v>
      </c>
      <c r="E20" s="100" t="s">
        <v>135</v>
      </c>
      <c r="F20" s="102" t="s">
        <v>136</v>
      </c>
      <c r="G20" s="101" t="s">
        <v>137</v>
      </c>
      <c r="H20" s="104" t="s">
        <v>118</v>
      </c>
      <c r="I20" s="104" t="s">
        <v>118</v>
      </c>
      <c r="J20" s="104" t="s">
        <v>118</v>
      </c>
      <c r="K20" s="104" t="s">
        <v>118</v>
      </c>
      <c r="L20" s="104" t="s">
        <v>118</v>
      </c>
      <c r="M20" s="104" t="s">
        <v>118</v>
      </c>
      <c r="N20" s="104"/>
      <c r="O20" s="104" t="s">
        <v>118</v>
      </c>
      <c r="P20" s="104"/>
      <c r="Q20" s="168" t="s">
        <v>118</v>
      </c>
      <c r="R20" s="169"/>
      <c r="S20" s="185" t="s">
        <v>118</v>
      </c>
    </row>
    <row r="21" spans="1:20" ht="55.5" customHeight="1">
      <c r="A21" s="92"/>
      <c r="B21" s="242"/>
      <c r="C21" s="29" t="s">
        <v>138</v>
      </c>
      <c r="D21" s="98" t="s">
        <v>130</v>
      </c>
      <c r="E21" s="100" t="s">
        <v>139</v>
      </c>
      <c r="F21" s="100" t="s">
        <v>140</v>
      </c>
      <c r="G21" s="101" t="s">
        <v>141</v>
      </c>
      <c r="H21" s="104" t="s">
        <v>118</v>
      </c>
      <c r="I21" s="104" t="s">
        <v>118</v>
      </c>
      <c r="J21" s="104" t="s">
        <v>118</v>
      </c>
      <c r="K21" s="104" t="s">
        <v>118</v>
      </c>
      <c r="L21" s="104" t="s">
        <v>118</v>
      </c>
      <c r="M21" s="104" t="s">
        <v>118</v>
      </c>
      <c r="N21" s="104" t="s">
        <v>118</v>
      </c>
      <c r="O21" s="104" t="s">
        <v>118</v>
      </c>
      <c r="P21" s="104" t="s">
        <v>118</v>
      </c>
      <c r="Q21" s="168" t="s">
        <v>118</v>
      </c>
      <c r="R21" s="168" t="s">
        <v>118</v>
      </c>
      <c r="S21" s="185" t="s">
        <v>118</v>
      </c>
      <c r="T21" s="92"/>
    </row>
    <row r="22" spans="1:20" ht="55.5" customHeight="1">
      <c r="B22" s="93" t="s">
        <v>142</v>
      </c>
      <c r="C22" s="94"/>
      <c r="D22" s="94"/>
      <c r="E22" s="94"/>
      <c r="F22" s="95"/>
      <c r="G22" s="94"/>
      <c r="S22" s="92"/>
    </row>
    <row r="23" spans="1:20" ht="15" customHeight="1">
      <c r="B23" s="71" t="s">
        <v>6</v>
      </c>
      <c r="C23" s="72" t="s">
        <v>7</v>
      </c>
      <c r="D23" s="114"/>
      <c r="E23" s="114"/>
      <c r="F23" s="114"/>
      <c r="G23" s="114"/>
      <c r="H23" s="114"/>
      <c r="I23" s="114"/>
      <c r="J23" s="114"/>
    </row>
    <row r="24" spans="1:20" ht="15" customHeight="1">
      <c r="B24" s="73" t="s">
        <v>143</v>
      </c>
      <c r="C24" s="72" t="s">
        <v>144</v>
      </c>
      <c r="D24" s="115"/>
      <c r="E24" s="115"/>
      <c r="F24" s="115"/>
      <c r="G24" s="116"/>
      <c r="H24" s="115"/>
      <c r="I24" s="117"/>
      <c r="J24" s="117"/>
    </row>
    <row r="25" spans="1:20" ht="23.25" customHeight="1">
      <c r="B25" s="73"/>
      <c r="C25" s="72"/>
      <c r="D25" s="115"/>
      <c r="E25" s="115"/>
      <c r="F25" s="115"/>
      <c r="G25" s="116"/>
      <c r="H25" s="115"/>
      <c r="I25" s="117"/>
      <c r="J25" s="117"/>
    </row>
    <row r="26" spans="1:20" ht="59.25" customHeight="1">
      <c r="B26" s="157" t="s">
        <v>145</v>
      </c>
      <c r="C26" s="158" t="s">
        <v>146</v>
      </c>
      <c r="D26" s="159" t="s">
        <v>147</v>
      </c>
      <c r="E26" s="159" t="s">
        <v>148</v>
      </c>
      <c r="F26" s="159" t="s">
        <v>149</v>
      </c>
      <c r="G26" s="159" t="s">
        <v>150</v>
      </c>
      <c r="H26" s="159" t="s">
        <v>151</v>
      </c>
      <c r="I26" s="159" t="s">
        <v>152</v>
      </c>
      <c r="J26" s="181" t="s">
        <v>153</v>
      </c>
      <c r="K26" s="183" t="s">
        <v>154</v>
      </c>
    </row>
    <row r="27" spans="1:20" ht="23.25" customHeight="1">
      <c r="B27" s="248" t="s">
        <v>155</v>
      </c>
      <c r="C27" s="118" t="s">
        <v>156</v>
      </c>
      <c r="D27" s="129" t="s">
        <v>157</v>
      </c>
      <c r="E27" s="130" t="s">
        <v>157</v>
      </c>
      <c r="F27" s="131" t="s">
        <v>157</v>
      </c>
      <c r="G27" s="132" t="s">
        <v>157</v>
      </c>
      <c r="H27" s="133" t="s">
        <v>157</v>
      </c>
      <c r="I27" s="134" t="s">
        <v>157</v>
      </c>
      <c r="J27" s="156" t="s">
        <v>157</v>
      </c>
      <c r="K27" s="103" t="s">
        <v>118</v>
      </c>
    </row>
    <row r="28" spans="1:20" ht="23.25" customHeight="1">
      <c r="B28" s="249"/>
      <c r="C28" s="118" t="s">
        <v>158</v>
      </c>
      <c r="D28" s="129" t="s">
        <v>157</v>
      </c>
      <c r="E28" s="130" t="s">
        <v>157</v>
      </c>
      <c r="F28" s="131" t="s">
        <v>157</v>
      </c>
      <c r="G28" s="132" t="s">
        <v>157</v>
      </c>
      <c r="H28" s="133" t="s">
        <v>157</v>
      </c>
      <c r="I28" s="62" t="s">
        <v>157</v>
      </c>
      <c r="J28" s="182" t="s">
        <v>157</v>
      </c>
      <c r="K28" s="103" t="s">
        <v>118</v>
      </c>
    </row>
    <row r="29" spans="1:20" ht="23.25" customHeight="1">
      <c r="B29" s="249"/>
      <c r="C29" s="119" t="s">
        <v>159</v>
      </c>
      <c r="D29" s="135"/>
      <c r="E29" s="136" t="s">
        <v>157</v>
      </c>
      <c r="F29" s="131" t="s">
        <v>157</v>
      </c>
      <c r="G29" s="132" t="s">
        <v>157</v>
      </c>
      <c r="H29" s="133" t="s">
        <v>157</v>
      </c>
      <c r="I29" s="134" t="s">
        <v>157</v>
      </c>
      <c r="J29" s="156" t="s">
        <v>157</v>
      </c>
      <c r="K29" s="103" t="s">
        <v>118</v>
      </c>
    </row>
    <row r="30" spans="1:20" ht="23.25" customHeight="1">
      <c r="B30" s="249"/>
      <c r="C30" s="119" t="s">
        <v>160</v>
      </c>
      <c r="D30" s="135"/>
      <c r="E30" s="136" t="s">
        <v>157</v>
      </c>
      <c r="F30" s="131" t="s">
        <v>157</v>
      </c>
      <c r="G30" s="132" t="s">
        <v>157</v>
      </c>
      <c r="H30" s="133" t="s">
        <v>157</v>
      </c>
      <c r="I30" s="134" t="s">
        <v>157</v>
      </c>
      <c r="J30" s="156" t="s">
        <v>157</v>
      </c>
      <c r="K30" s="103" t="s">
        <v>118</v>
      </c>
    </row>
    <row r="31" spans="1:20" ht="23.25" customHeight="1">
      <c r="B31" s="249"/>
      <c r="C31" s="119" t="s">
        <v>161</v>
      </c>
      <c r="D31" s="135"/>
      <c r="E31" s="136" t="s">
        <v>157</v>
      </c>
      <c r="F31" s="131" t="s">
        <v>157</v>
      </c>
      <c r="G31" s="132" t="s">
        <v>157</v>
      </c>
      <c r="H31" s="133" t="s">
        <v>157</v>
      </c>
      <c r="I31" s="134" t="s">
        <v>157</v>
      </c>
      <c r="J31" s="156" t="s">
        <v>157</v>
      </c>
      <c r="K31" s="103" t="s">
        <v>118</v>
      </c>
    </row>
    <row r="32" spans="1:20" ht="23.25" customHeight="1">
      <c r="B32" s="249"/>
      <c r="C32" s="119" t="s">
        <v>162</v>
      </c>
      <c r="D32" s="135"/>
      <c r="E32" s="136"/>
      <c r="F32" s="131"/>
      <c r="G32" s="132"/>
      <c r="H32" s="133" t="s">
        <v>157</v>
      </c>
      <c r="I32" s="134" t="s">
        <v>157</v>
      </c>
      <c r="J32" s="156" t="s">
        <v>157</v>
      </c>
      <c r="K32" s="103" t="s">
        <v>118</v>
      </c>
    </row>
    <row r="33" spans="2:11" ht="23.25" customHeight="1">
      <c r="B33" s="249"/>
      <c r="C33" s="120" t="s">
        <v>163</v>
      </c>
      <c r="D33" s="137"/>
      <c r="E33" s="138" t="s">
        <v>157</v>
      </c>
      <c r="F33" s="131" t="s">
        <v>157</v>
      </c>
      <c r="G33" s="132" t="s">
        <v>157</v>
      </c>
      <c r="H33" s="133" t="s">
        <v>157</v>
      </c>
      <c r="I33" s="134" t="s">
        <v>157</v>
      </c>
      <c r="J33" s="156" t="s">
        <v>157</v>
      </c>
      <c r="K33" s="103" t="s">
        <v>118</v>
      </c>
    </row>
    <row r="34" spans="2:11" ht="23.25" customHeight="1">
      <c r="B34" s="249"/>
      <c r="C34" s="119" t="s">
        <v>164</v>
      </c>
      <c r="D34" s="135"/>
      <c r="E34" s="136" t="s">
        <v>157</v>
      </c>
      <c r="F34" s="131" t="s">
        <v>157</v>
      </c>
      <c r="G34" s="132" t="s">
        <v>157</v>
      </c>
      <c r="H34" s="133" t="s">
        <v>157</v>
      </c>
      <c r="I34" s="134" t="s">
        <v>157</v>
      </c>
      <c r="J34" s="156" t="s">
        <v>157</v>
      </c>
      <c r="K34" s="103" t="s">
        <v>118</v>
      </c>
    </row>
    <row r="35" spans="2:11" ht="23.25" customHeight="1">
      <c r="B35" s="249"/>
      <c r="C35" s="120" t="s">
        <v>165</v>
      </c>
      <c r="D35" s="137"/>
      <c r="E35" s="138"/>
      <c r="F35" s="131" t="s">
        <v>157</v>
      </c>
      <c r="G35" s="132" t="s">
        <v>157</v>
      </c>
      <c r="H35" s="133"/>
      <c r="I35" s="134"/>
      <c r="J35" s="156"/>
      <c r="K35" s="103" t="s">
        <v>118</v>
      </c>
    </row>
    <row r="36" spans="2:11" ht="23.25" customHeight="1">
      <c r="B36" s="249"/>
      <c r="C36" s="121" t="s">
        <v>166</v>
      </c>
      <c r="D36" s="139"/>
      <c r="E36" s="140"/>
      <c r="F36" s="131"/>
      <c r="G36" s="132"/>
      <c r="H36" s="133" t="s">
        <v>157</v>
      </c>
      <c r="I36" s="134" t="s">
        <v>157</v>
      </c>
      <c r="J36" s="156" t="s">
        <v>157</v>
      </c>
      <c r="K36" s="103" t="s">
        <v>118</v>
      </c>
    </row>
    <row r="37" spans="2:11" ht="23.25" customHeight="1">
      <c r="B37" s="249"/>
      <c r="C37" s="121" t="s">
        <v>167</v>
      </c>
      <c r="D37" s="141"/>
      <c r="E37" s="142"/>
      <c r="F37" s="131" t="s">
        <v>157</v>
      </c>
      <c r="G37" s="132" t="s">
        <v>157</v>
      </c>
      <c r="H37" s="133"/>
      <c r="I37" s="134"/>
      <c r="J37" s="156" t="s">
        <v>157</v>
      </c>
      <c r="K37" s="103" t="s">
        <v>118</v>
      </c>
    </row>
    <row r="38" spans="2:11" ht="23.25" customHeight="1">
      <c r="B38" s="250"/>
      <c r="C38" s="122" t="s">
        <v>168</v>
      </c>
      <c r="D38" s="141"/>
      <c r="E38" s="143"/>
      <c r="F38" s="144" t="s">
        <v>157</v>
      </c>
      <c r="G38" s="132" t="s">
        <v>157</v>
      </c>
      <c r="H38" s="133"/>
      <c r="I38" s="134"/>
      <c r="J38" s="156" t="s">
        <v>45</v>
      </c>
      <c r="K38" s="103"/>
    </row>
    <row r="39" spans="2:11" ht="23.25" customHeight="1">
      <c r="B39" s="251" t="s">
        <v>169</v>
      </c>
      <c r="C39" s="118" t="s">
        <v>170</v>
      </c>
      <c r="D39" s="129"/>
      <c r="E39" s="136"/>
      <c r="F39" s="145"/>
      <c r="G39" s="132"/>
      <c r="H39" s="133"/>
      <c r="I39" s="134"/>
      <c r="J39" s="156" t="s">
        <v>45</v>
      </c>
      <c r="K39" s="103"/>
    </row>
    <row r="40" spans="2:11" ht="23.25" customHeight="1">
      <c r="B40" s="252"/>
      <c r="C40" s="118" t="s">
        <v>171</v>
      </c>
      <c r="D40" s="129" t="s">
        <v>157</v>
      </c>
      <c r="E40" s="136"/>
      <c r="F40" s="145"/>
      <c r="G40" s="132"/>
      <c r="H40" s="133"/>
      <c r="I40" s="134"/>
      <c r="J40" s="156" t="s">
        <v>45</v>
      </c>
      <c r="K40" s="103"/>
    </row>
    <row r="41" spans="2:11" ht="23.25" customHeight="1">
      <c r="B41" s="253"/>
      <c r="C41" s="118" t="s">
        <v>172</v>
      </c>
      <c r="D41" s="146" t="s">
        <v>157</v>
      </c>
      <c r="E41" s="147"/>
      <c r="F41" s="148"/>
      <c r="G41" s="132"/>
      <c r="H41" s="133"/>
      <c r="I41" s="134"/>
      <c r="J41" s="156" t="s">
        <v>45</v>
      </c>
      <c r="K41" s="103"/>
    </row>
    <row r="42" spans="2:11" ht="23.25" customHeight="1">
      <c r="B42" s="254" t="s">
        <v>173</v>
      </c>
      <c r="C42" s="118" t="s">
        <v>174</v>
      </c>
      <c r="D42" s="149" t="s">
        <v>157</v>
      </c>
      <c r="E42" s="142" t="s">
        <v>157</v>
      </c>
      <c r="F42" s="131" t="s">
        <v>157</v>
      </c>
      <c r="G42" s="150" t="s">
        <v>157</v>
      </c>
      <c r="H42" s="133" t="s">
        <v>157</v>
      </c>
      <c r="I42" s="134" t="s">
        <v>157</v>
      </c>
      <c r="J42" s="156" t="s">
        <v>157</v>
      </c>
      <c r="K42" s="103" t="s">
        <v>118</v>
      </c>
    </row>
    <row r="43" spans="2:11" ht="23.25" customHeight="1">
      <c r="B43" s="255"/>
      <c r="C43" s="118" t="s">
        <v>175</v>
      </c>
      <c r="D43" s="129"/>
      <c r="E43" s="130"/>
      <c r="F43" s="131"/>
      <c r="G43" s="132"/>
      <c r="H43" s="133" t="s">
        <v>157</v>
      </c>
      <c r="I43" s="134"/>
      <c r="J43" s="156" t="s">
        <v>45</v>
      </c>
      <c r="K43" s="103" t="s">
        <v>118</v>
      </c>
    </row>
    <row r="44" spans="2:11" ht="23.25" customHeight="1">
      <c r="B44" s="256"/>
      <c r="C44" s="118" t="s">
        <v>176</v>
      </c>
      <c r="D44" s="129"/>
      <c r="E44" s="130"/>
      <c r="F44" s="131"/>
      <c r="G44" s="132"/>
      <c r="H44" s="133" t="s">
        <v>157</v>
      </c>
      <c r="I44" s="134"/>
      <c r="J44" s="156" t="s">
        <v>45</v>
      </c>
      <c r="K44" s="103" t="s">
        <v>118</v>
      </c>
    </row>
    <row r="45" spans="2:11" ht="23.25" customHeight="1">
      <c r="B45" s="123" t="s">
        <v>177</v>
      </c>
      <c r="C45" s="118" t="s">
        <v>178</v>
      </c>
      <c r="D45" s="129" t="s">
        <v>157</v>
      </c>
      <c r="E45" s="136" t="s">
        <v>157</v>
      </c>
      <c r="F45" s="145" t="s">
        <v>157</v>
      </c>
      <c r="G45" s="132" t="s">
        <v>157</v>
      </c>
      <c r="H45" s="133" t="s">
        <v>157</v>
      </c>
      <c r="I45" s="134" t="s">
        <v>157</v>
      </c>
      <c r="J45" s="156" t="s">
        <v>157</v>
      </c>
      <c r="K45" s="103" t="s">
        <v>118</v>
      </c>
    </row>
    <row r="46" spans="2:11" ht="23.25" customHeight="1">
      <c r="B46" s="123" t="s">
        <v>179</v>
      </c>
      <c r="C46" s="124" t="s">
        <v>180</v>
      </c>
      <c r="D46" s="129" t="s">
        <v>157</v>
      </c>
      <c r="E46" s="136"/>
      <c r="F46" s="145"/>
      <c r="G46" s="132"/>
      <c r="H46" s="133"/>
      <c r="I46" s="134"/>
      <c r="J46" s="156" t="s">
        <v>157</v>
      </c>
      <c r="K46" s="103" t="s">
        <v>118</v>
      </c>
    </row>
    <row r="47" spans="2:11" ht="23.25" customHeight="1">
      <c r="B47" s="251" t="s">
        <v>181</v>
      </c>
      <c r="C47" s="124" t="s">
        <v>182</v>
      </c>
      <c r="D47" s="129" t="s">
        <v>157</v>
      </c>
      <c r="E47" s="136"/>
      <c r="F47" s="145"/>
      <c r="G47" s="132" t="s">
        <v>157</v>
      </c>
      <c r="H47" s="133" t="s">
        <v>157</v>
      </c>
      <c r="I47" s="134"/>
      <c r="J47" s="156" t="s">
        <v>45</v>
      </c>
      <c r="K47" s="103"/>
    </row>
    <row r="48" spans="2:11" ht="23.25" customHeight="1">
      <c r="B48" s="253"/>
      <c r="C48" s="124" t="s">
        <v>183</v>
      </c>
      <c r="D48" s="129"/>
      <c r="E48" s="136"/>
      <c r="F48" s="131" t="s">
        <v>157</v>
      </c>
      <c r="G48" s="132" t="s">
        <v>157</v>
      </c>
      <c r="H48" s="133" t="s">
        <v>157</v>
      </c>
      <c r="I48" s="134" t="s">
        <v>157</v>
      </c>
      <c r="J48" s="156" t="s">
        <v>157</v>
      </c>
      <c r="K48" s="103" t="s">
        <v>118</v>
      </c>
    </row>
    <row r="49" spans="2:11" ht="23.25" customHeight="1">
      <c r="B49" s="248" t="s">
        <v>184</v>
      </c>
      <c r="C49" s="125" t="s">
        <v>185</v>
      </c>
      <c r="D49" s="129" t="s">
        <v>157</v>
      </c>
      <c r="E49" s="136"/>
      <c r="F49" s="145"/>
      <c r="G49" s="132"/>
      <c r="H49" s="133"/>
      <c r="I49" s="134"/>
      <c r="J49" s="156" t="s">
        <v>45</v>
      </c>
      <c r="K49" s="103"/>
    </row>
    <row r="50" spans="2:11" ht="23.25" customHeight="1">
      <c r="B50" s="250"/>
      <c r="C50" s="125" t="s">
        <v>186</v>
      </c>
      <c r="D50" s="129" t="s">
        <v>157</v>
      </c>
      <c r="E50" s="136"/>
      <c r="F50" s="145"/>
      <c r="G50" s="132"/>
      <c r="H50" s="133"/>
      <c r="I50" s="134"/>
      <c r="J50" s="156" t="s">
        <v>45</v>
      </c>
      <c r="K50" s="103" t="s">
        <v>118</v>
      </c>
    </row>
    <row r="51" spans="2:11" ht="23.25" customHeight="1">
      <c r="B51" s="123" t="s">
        <v>187</v>
      </c>
      <c r="C51" s="125" t="s">
        <v>188</v>
      </c>
      <c r="D51" s="129" t="s">
        <v>157</v>
      </c>
      <c r="E51" s="136"/>
      <c r="F51" s="145"/>
      <c r="G51" s="132"/>
      <c r="H51" s="133"/>
      <c r="I51" s="134"/>
      <c r="J51" s="156"/>
      <c r="K51" s="103"/>
    </row>
    <row r="52" spans="2:11" ht="23.25" customHeight="1">
      <c r="B52" s="246" t="s">
        <v>189</v>
      </c>
      <c r="C52" s="126" t="s">
        <v>190</v>
      </c>
      <c r="D52" s="129" t="s">
        <v>157</v>
      </c>
      <c r="E52" s="136" t="s">
        <v>157</v>
      </c>
      <c r="F52" s="145"/>
      <c r="G52" s="132"/>
      <c r="H52" s="133" t="s">
        <v>157</v>
      </c>
      <c r="I52" s="134" t="s">
        <v>157</v>
      </c>
      <c r="J52" s="156" t="s">
        <v>157</v>
      </c>
      <c r="K52" s="103" t="s">
        <v>118</v>
      </c>
    </row>
    <row r="53" spans="2:11" ht="23.25" customHeight="1">
      <c r="B53" s="247"/>
      <c r="C53" s="126" t="s">
        <v>191</v>
      </c>
      <c r="D53" s="129"/>
      <c r="E53" s="136"/>
      <c r="F53" s="145"/>
      <c r="G53" s="132"/>
      <c r="H53" s="133"/>
      <c r="I53" s="134"/>
      <c r="J53" s="156"/>
      <c r="K53" s="103" t="s">
        <v>157</v>
      </c>
    </row>
    <row r="54" spans="2:11" ht="23.25" customHeight="1">
      <c r="B54" s="123" t="s">
        <v>192</v>
      </c>
      <c r="C54" s="125" t="s">
        <v>193</v>
      </c>
      <c r="D54" s="129" t="s">
        <v>157</v>
      </c>
      <c r="E54" s="136"/>
      <c r="F54" s="145"/>
      <c r="G54" s="132"/>
      <c r="H54" s="133"/>
      <c r="I54" s="134"/>
      <c r="J54" s="156"/>
      <c r="K54" s="103"/>
    </row>
    <row r="55" spans="2:11" ht="23.25" customHeight="1">
      <c r="B55" s="123" t="s">
        <v>194</v>
      </c>
      <c r="C55" s="125" t="s">
        <v>195</v>
      </c>
      <c r="D55" s="129" t="s">
        <v>157</v>
      </c>
      <c r="E55" s="136" t="s">
        <v>157</v>
      </c>
      <c r="F55" s="131" t="s">
        <v>157</v>
      </c>
      <c r="G55" s="132"/>
      <c r="H55" s="133"/>
      <c r="I55" s="134"/>
      <c r="J55" s="156"/>
      <c r="K55" s="103"/>
    </row>
    <row r="56" spans="2:11" ht="23.25" customHeight="1">
      <c r="B56" s="248" t="s">
        <v>196</v>
      </c>
      <c r="C56" s="125" t="s">
        <v>197</v>
      </c>
      <c r="D56" s="129" t="s">
        <v>157</v>
      </c>
      <c r="E56" s="136" t="s">
        <v>157</v>
      </c>
      <c r="F56" s="145"/>
      <c r="G56" s="132"/>
      <c r="H56" s="133"/>
      <c r="I56" s="134"/>
      <c r="J56" s="156"/>
      <c r="K56" s="103"/>
    </row>
    <row r="57" spans="2:11" ht="23.25" customHeight="1">
      <c r="B57" s="250"/>
      <c r="C57" s="125" t="s">
        <v>198</v>
      </c>
      <c r="D57" s="129" t="s">
        <v>157</v>
      </c>
      <c r="E57" s="136"/>
      <c r="F57" s="145"/>
      <c r="G57" s="132"/>
      <c r="H57" s="133"/>
      <c r="I57" s="134"/>
      <c r="J57" s="156"/>
      <c r="K57" s="103"/>
    </row>
    <row r="58" spans="2:11" ht="23.25" customHeight="1">
      <c r="B58" s="251" t="s">
        <v>199</v>
      </c>
      <c r="C58" s="125" t="s">
        <v>200</v>
      </c>
      <c r="D58" s="129" t="s">
        <v>157</v>
      </c>
      <c r="E58" s="136" t="s">
        <v>157</v>
      </c>
      <c r="F58" s="131" t="s">
        <v>157</v>
      </c>
      <c r="G58" s="132"/>
      <c r="H58" s="133"/>
      <c r="I58" s="134"/>
      <c r="J58" s="156"/>
      <c r="K58" s="103"/>
    </row>
    <row r="59" spans="2:11" ht="23.25" customHeight="1">
      <c r="B59" s="252"/>
      <c r="C59" s="125" t="s">
        <v>201</v>
      </c>
      <c r="D59" s="129" t="s">
        <v>157</v>
      </c>
      <c r="E59" s="136" t="s">
        <v>157</v>
      </c>
      <c r="F59" s="144" t="s">
        <v>157</v>
      </c>
      <c r="G59" s="132"/>
      <c r="H59" s="133"/>
      <c r="I59" s="134"/>
      <c r="J59" s="156"/>
      <c r="K59" s="103"/>
    </row>
    <row r="60" spans="2:11" ht="23.25" customHeight="1">
      <c r="B60" s="253"/>
      <c r="C60" s="125" t="s">
        <v>202</v>
      </c>
      <c r="D60" s="129" t="s">
        <v>157</v>
      </c>
      <c r="E60" s="136" t="s">
        <v>157</v>
      </c>
      <c r="F60" s="144" t="s">
        <v>157</v>
      </c>
      <c r="G60" s="132"/>
      <c r="H60" s="133"/>
      <c r="I60" s="134"/>
      <c r="J60" s="156"/>
      <c r="K60" s="103"/>
    </row>
    <row r="61" spans="2:11" ht="23.25" customHeight="1">
      <c r="B61" s="127" t="s">
        <v>203</v>
      </c>
      <c r="C61" s="125" t="s">
        <v>204</v>
      </c>
      <c r="D61" s="151" t="s">
        <v>157</v>
      </c>
      <c r="E61" s="152"/>
      <c r="F61" s="131" t="s">
        <v>157</v>
      </c>
      <c r="G61" s="153" t="s">
        <v>157</v>
      </c>
      <c r="H61" s="133" t="s">
        <v>157</v>
      </c>
      <c r="I61" s="134"/>
      <c r="J61" s="156"/>
      <c r="K61" s="103"/>
    </row>
    <row r="62" spans="2:11" ht="23.25" customHeight="1">
      <c r="B62" s="246" t="s">
        <v>205</v>
      </c>
      <c r="C62" s="125" t="s">
        <v>206</v>
      </c>
      <c r="D62" s="146" t="s">
        <v>157</v>
      </c>
      <c r="E62" s="136" t="s">
        <v>157</v>
      </c>
      <c r="F62" s="154" t="s">
        <v>157</v>
      </c>
      <c r="G62" s="132"/>
      <c r="H62" s="133" t="s">
        <v>157</v>
      </c>
      <c r="I62" s="134"/>
      <c r="J62" s="156"/>
      <c r="K62" s="103"/>
    </row>
    <row r="63" spans="2:11" ht="23.25" customHeight="1">
      <c r="B63" s="247"/>
      <c r="C63" s="125" t="s">
        <v>207</v>
      </c>
      <c r="D63" s="155"/>
      <c r="E63" s="184"/>
      <c r="F63" s="154"/>
      <c r="G63" s="132"/>
      <c r="H63" s="133"/>
      <c r="I63" s="134"/>
      <c r="J63" s="156"/>
      <c r="K63" s="103"/>
    </row>
    <row r="64" spans="2:11" ht="23.25" customHeight="1">
      <c r="B64" s="127" t="s">
        <v>208</v>
      </c>
      <c r="C64" s="125" t="s">
        <v>209</v>
      </c>
      <c r="D64" s="155"/>
      <c r="E64" s="184"/>
      <c r="F64" s="154"/>
      <c r="G64" s="132"/>
      <c r="H64" s="133"/>
      <c r="I64" s="134"/>
      <c r="J64" s="156" t="s">
        <v>118</v>
      </c>
      <c r="K64" s="103" t="s">
        <v>118</v>
      </c>
    </row>
    <row r="65" spans="2:11" ht="23.25" customHeight="1">
      <c r="B65" s="248" t="s">
        <v>210</v>
      </c>
      <c r="C65" s="125" t="s">
        <v>211</v>
      </c>
      <c r="D65" s="260"/>
      <c r="E65" s="260"/>
      <c r="F65" s="260"/>
      <c r="G65" s="260"/>
      <c r="H65" s="260"/>
      <c r="I65" s="260"/>
      <c r="J65" s="262" t="s">
        <v>118</v>
      </c>
      <c r="K65" s="262" t="s">
        <v>118</v>
      </c>
    </row>
    <row r="66" spans="2:11" ht="23.25" customHeight="1">
      <c r="B66" s="249"/>
      <c r="C66" s="125" t="s">
        <v>212</v>
      </c>
      <c r="D66" s="261"/>
      <c r="E66" s="261"/>
      <c r="F66" s="261"/>
      <c r="G66" s="261"/>
      <c r="H66" s="261"/>
      <c r="I66" s="261"/>
      <c r="J66" s="263"/>
      <c r="K66" s="263"/>
    </row>
    <row r="67" spans="2:11" ht="23.25" customHeight="1">
      <c r="B67" s="249"/>
      <c r="C67" s="125" t="s">
        <v>213</v>
      </c>
      <c r="D67" s="261"/>
      <c r="E67" s="261"/>
      <c r="F67" s="261"/>
      <c r="G67" s="261"/>
      <c r="H67" s="261"/>
      <c r="I67" s="261"/>
      <c r="J67" s="263"/>
      <c r="K67" s="263"/>
    </row>
    <row r="68" spans="2:11" ht="23.25" customHeight="1">
      <c r="B68" s="249"/>
      <c r="C68" s="125" t="s">
        <v>214</v>
      </c>
      <c r="D68" s="261"/>
      <c r="E68" s="261"/>
      <c r="F68" s="261"/>
      <c r="G68" s="261"/>
      <c r="H68" s="261"/>
      <c r="I68" s="261"/>
      <c r="J68" s="263"/>
      <c r="K68" s="263"/>
    </row>
    <row r="69" spans="2:11" ht="23.25" customHeight="1">
      <c r="B69" s="249"/>
      <c r="C69" s="125" t="s">
        <v>215</v>
      </c>
      <c r="D69" s="261"/>
      <c r="E69" s="261"/>
      <c r="F69" s="261"/>
      <c r="G69" s="261"/>
      <c r="H69" s="261"/>
      <c r="I69" s="261"/>
      <c r="J69" s="263"/>
      <c r="K69" s="263"/>
    </row>
    <row r="70" spans="2:11" ht="23.25" customHeight="1">
      <c r="B70" s="249"/>
      <c r="C70" s="125" t="s">
        <v>216</v>
      </c>
      <c r="D70" s="261"/>
      <c r="E70" s="261"/>
      <c r="F70" s="261"/>
      <c r="G70" s="261"/>
      <c r="H70" s="261"/>
      <c r="I70" s="261"/>
      <c r="J70" s="263"/>
      <c r="K70" s="263"/>
    </row>
    <row r="71" spans="2:11" ht="23.25" customHeight="1">
      <c r="B71" s="249"/>
      <c r="C71" s="125" t="s">
        <v>217</v>
      </c>
      <c r="D71" s="261"/>
      <c r="E71" s="261"/>
      <c r="F71" s="261"/>
      <c r="G71" s="261"/>
      <c r="H71" s="261"/>
      <c r="I71" s="261"/>
      <c r="J71" s="263"/>
      <c r="K71" s="263"/>
    </row>
    <row r="72" spans="2:11" ht="23.25" customHeight="1">
      <c r="B72" s="249"/>
      <c r="C72" s="125" t="s">
        <v>218</v>
      </c>
      <c r="D72" s="261"/>
      <c r="E72" s="261"/>
      <c r="F72" s="261"/>
      <c r="G72" s="261"/>
      <c r="H72" s="261"/>
      <c r="I72" s="261"/>
      <c r="J72" s="263"/>
      <c r="K72" s="263"/>
    </row>
    <row r="73" spans="2:11" ht="23.25" customHeight="1">
      <c r="B73" s="249"/>
      <c r="C73" s="125" t="s">
        <v>219</v>
      </c>
      <c r="D73" s="261"/>
      <c r="E73" s="261"/>
      <c r="F73" s="261"/>
      <c r="G73" s="261"/>
      <c r="H73" s="261"/>
      <c r="I73" s="261"/>
      <c r="J73" s="263"/>
      <c r="K73" s="263"/>
    </row>
    <row r="74" spans="2:11" ht="23.25" customHeight="1">
      <c r="B74" s="249"/>
      <c r="C74" s="125" t="s">
        <v>220</v>
      </c>
      <c r="D74" s="261"/>
      <c r="E74" s="261"/>
      <c r="F74" s="261"/>
      <c r="G74" s="261"/>
      <c r="H74" s="261"/>
      <c r="I74" s="261"/>
      <c r="J74" s="263"/>
      <c r="K74" s="263"/>
    </row>
    <row r="75" spans="2:11" ht="23.25" customHeight="1">
      <c r="B75" s="249"/>
      <c r="C75" s="125" t="s">
        <v>221</v>
      </c>
      <c r="D75" s="261"/>
      <c r="E75" s="261"/>
      <c r="F75" s="261"/>
      <c r="G75" s="261"/>
      <c r="H75" s="261"/>
      <c r="I75" s="261"/>
      <c r="J75" s="263"/>
      <c r="K75" s="263"/>
    </row>
    <row r="76" spans="2:11" ht="23.25" customHeight="1">
      <c r="B76" s="249"/>
      <c r="C76" s="125" t="s">
        <v>222</v>
      </c>
      <c r="D76" s="261"/>
      <c r="E76" s="261"/>
      <c r="F76" s="261"/>
      <c r="G76" s="261"/>
      <c r="H76" s="261"/>
      <c r="I76" s="261"/>
      <c r="J76" s="263"/>
      <c r="K76" s="263"/>
    </row>
    <row r="77" spans="2:11" ht="23.25" customHeight="1">
      <c r="B77" s="249"/>
      <c r="C77" s="125" t="s">
        <v>223</v>
      </c>
      <c r="D77" s="261"/>
      <c r="E77" s="261"/>
      <c r="F77" s="261"/>
      <c r="G77" s="261"/>
      <c r="H77" s="261"/>
      <c r="I77" s="261"/>
      <c r="J77" s="263"/>
      <c r="K77" s="263"/>
    </row>
    <row r="78" spans="2:11" ht="23.25" customHeight="1">
      <c r="B78" s="249"/>
      <c r="C78" s="125" t="s">
        <v>224</v>
      </c>
      <c r="D78" s="261"/>
      <c r="E78" s="261"/>
      <c r="F78" s="261"/>
      <c r="G78" s="261"/>
      <c r="H78" s="261"/>
      <c r="I78" s="261"/>
      <c r="J78" s="263"/>
      <c r="K78" s="263"/>
    </row>
    <row r="79" spans="2:11" ht="23.25" customHeight="1">
      <c r="B79" s="249"/>
      <c r="C79" s="125" t="s">
        <v>225</v>
      </c>
      <c r="D79" s="261"/>
      <c r="E79" s="261"/>
      <c r="F79" s="261"/>
      <c r="G79" s="261"/>
      <c r="H79" s="261"/>
      <c r="I79" s="261"/>
      <c r="J79" s="263"/>
      <c r="K79" s="263"/>
    </row>
    <row r="80" spans="2:11" ht="23.25" customHeight="1">
      <c r="B80" s="249"/>
      <c r="C80" s="125" t="s">
        <v>226</v>
      </c>
      <c r="D80" s="261"/>
      <c r="E80" s="261"/>
      <c r="F80" s="261"/>
      <c r="G80" s="261"/>
      <c r="H80" s="261"/>
      <c r="I80" s="261"/>
      <c r="J80" s="263"/>
      <c r="K80" s="263"/>
    </row>
    <row r="81" spans="1:12" ht="23.25" customHeight="1">
      <c r="B81" s="249"/>
      <c r="C81" s="125" t="s">
        <v>227</v>
      </c>
      <c r="D81" s="261"/>
      <c r="E81" s="261"/>
      <c r="F81" s="261"/>
      <c r="G81" s="261"/>
      <c r="H81" s="261"/>
      <c r="I81" s="261"/>
      <c r="J81" s="263"/>
      <c r="K81" s="263"/>
    </row>
    <row r="82" spans="1:12" ht="23.25" customHeight="1">
      <c r="B82" s="249"/>
      <c r="C82" s="125" t="s">
        <v>228</v>
      </c>
      <c r="D82" s="261"/>
      <c r="E82" s="261"/>
      <c r="F82" s="261"/>
      <c r="G82" s="261"/>
      <c r="H82" s="261"/>
      <c r="I82" s="261"/>
      <c r="J82" s="263"/>
      <c r="K82" s="263"/>
    </row>
    <row r="83" spans="1:12" ht="23.25" customHeight="1">
      <c r="B83" s="249"/>
      <c r="C83" s="125" t="s">
        <v>229</v>
      </c>
      <c r="D83" s="261"/>
      <c r="E83" s="261"/>
      <c r="F83" s="261"/>
      <c r="G83" s="261"/>
      <c r="H83" s="261"/>
      <c r="I83" s="261"/>
      <c r="J83" s="263"/>
      <c r="K83" s="263"/>
    </row>
    <row r="84" spans="1:12" ht="23.25" customHeight="1">
      <c r="B84" s="249"/>
      <c r="C84" s="125" t="s">
        <v>230</v>
      </c>
      <c r="D84" s="261"/>
      <c r="E84" s="261"/>
      <c r="F84" s="261"/>
      <c r="G84" s="261"/>
      <c r="H84" s="261"/>
      <c r="I84" s="261"/>
      <c r="J84" s="263"/>
      <c r="K84" s="263"/>
    </row>
    <row r="85" spans="1:12" ht="23.25" customHeight="1">
      <c r="B85" s="249"/>
      <c r="C85" s="204" t="s">
        <v>231</v>
      </c>
      <c r="D85" s="261"/>
      <c r="E85" s="261"/>
      <c r="F85" s="261"/>
      <c r="G85" s="261"/>
      <c r="H85" s="261"/>
      <c r="I85" s="261"/>
      <c r="J85" s="263"/>
      <c r="K85" s="263"/>
    </row>
    <row r="86" spans="1:12" ht="23.25" customHeight="1">
      <c r="A86" s="92"/>
      <c r="B86" s="188" t="s">
        <v>208</v>
      </c>
      <c r="C86" s="189" t="s">
        <v>232</v>
      </c>
      <c r="D86" s="190"/>
      <c r="E86" s="190"/>
      <c r="F86" s="190"/>
      <c r="G86" s="190"/>
      <c r="H86" s="191"/>
      <c r="I86" s="192"/>
      <c r="J86" s="192"/>
      <c r="K86" s="193" t="s">
        <v>118</v>
      </c>
      <c r="L86" s="92"/>
    </row>
    <row r="87" spans="1:12" ht="23.25" customHeight="1">
      <c r="A87" s="92"/>
      <c r="B87" s="194" t="s">
        <v>233</v>
      </c>
      <c r="C87" s="128" t="s">
        <v>234</v>
      </c>
      <c r="D87" s="145"/>
      <c r="E87" s="131"/>
      <c r="F87" s="145" t="s">
        <v>157</v>
      </c>
      <c r="G87" s="195" t="s">
        <v>157</v>
      </c>
      <c r="H87" s="195" t="s">
        <v>157</v>
      </c>
      <c r="I87" s="196"/>
      <c r="J87" s="196" t="s">
        <v>157</v>
      </c>
      <c r="K87" s="193" t="s">
        <v>118</v>
      </c>
      <c r="L87" s="92"/>
    </row>
    <row r="88" spans="1:12" ht="23.25" customHeight="1">
      <c r="A88" s="92"/>
      <c r="B88" s="194" t="s">
        <v>235</v>
      </c>
      <c r="C88" s="214" t="s">
        <v>236</v>
      </c>
      <c r="D88" s="196"/>
      <c r="E88" s="196"/>
      <c r="F88" s="196"/>
      <c r="G88" s="196" t="s">
        <v>157</v>
      </c>
      <c r="H88" s="196" t="s">
        <v>157</v>
      </c>
      <c r="I88" s="196"/>
      <c r="J88" s="196"/>
      <c r="K88" s="193"/>
      <c r="L88" s="92"/>
    </row>
    <row r="89" spans="1:12" ht="23.25" customHeight="1">
      <c r="A89" s="92"/>
      <c r="B89" s="198" t="s">
        <v>237</v>
      </c>
      <c r="C89" s="197" t="s">
        <v>238</v>
      </c>
      <c r="D89" s="196"/>
      <c r="E89" s="196"/>
      <c r="F89" s="196"/>
      <c r="G89" s="196"/>
      <c r="H89" s="196" t="s">
        <v>157</v>
      </c>
      <c r="I89" s="196"/>
      <c r="J89" s="196"/>
      <c r="K89" s="193" t="s">
        <v>118</v>
      </c>
      <c r="L89" s="92"/>
    </row>
    <row r="90" spans="1:12" ht="23.25" customHeight="1">
      <c r="A90" s="92"/>
      <c r="B90" s="264" t="s">
        <v>239</v>
      </c>
      <c r="C90" s="197" t="s">
        <v>240</v>
      </c>
      <c r="D90" s="196"/>
      <c r="E90" s="196"/>
      <c r="F90" s="196"/>
      <c r="G90" s="196" t="s">
        <v>157</v>
      </c>
      <c r="H90" s="196"/>
      <c r="I90" s="196" t="s">
        <v>157</v>
      </c>
      <c r="J90" s="196"/>
      <c r="K90" s="193"/>
      <c r="L90" s="92"/>
    </row>
    <row r="91" spans="1:12" ht="23.25" customHeight="1">
      <c r="A91" s="92"/>
      <c r="B91" s="264"/>
      <c r="C91" s="197" t="s">
        <v>241</v>
      </c>
      <c r="D91" s="196"/>
      <c r="E91" s="196"/>
      <c r="F91" s="196"/>
      <c r="G91" s="196" t="s">
        <v>157</v>
      </c>
      <c r="H91" s="196" t="s">
        <v>157</v>
      </c>
      <c r="I91" s="196" t="s">
        <v>157</v>
      </c>
      <c r="J91" s="196"/>
      <c r="K91" s="193"/>
      <c r="L91" s="92"/>
    </row>
    <row r="92" spans="1:12" ht="23.25" customHeight="1">
      <c r="A92" s="92"/>
      <c r="B92" s="264"/>
      <c r="C92" s="197" t="s">
        <v>242</v>
      </c>
      <c r="D92" s="196"/>
      <c r="E92" s="196"/>
      <c r="F92" s="196"/>
      <c r="G92" s="196" t="s">
        <v>157</v>
      </c>
      <c r="H92" s="196" t="s">
        <v>157</v>
      </c>
      <c r="I92" s="196" t="s">
        <v>157</v>
      </c>
      <c r="J92" s="196" t="s">
        <v>45</v>
      </c>
      <c r="K92" s="193"/>
      <c r="L92" s="92"/>
    </row>
    <row r="93" spans="1:12" ht="23.25" customHeight="1">
      <c r="A93" s="92"/>
      <c r="B93" s="264"/>
      <c r="C93" s="197" t="s">
        <v>243</v>
      </c>
      <c r="D93" s="196"/>
      <c r="E93" s="196"/>
      <c r="F93" s="196"/>
      <c r="G93" s="196" t="s">
        <v>157</v>
      </c>
      <c r="H93" s="196" t="s">
        <v>157</v>
      </c>
      <c r="I93" s="196" t="s">
        <v>157</v>
      </c>
      <c r="J93" s="196"/>
      <c r="K93" s="193"/>
      <c r="L93" s="92"/>
    </row>
    <row r="94" spans="1:12" ht="23.25" customHeight="1">
      <c r="A94" s="92"/>
      <c r="B94" s="264"/>
      <c r="C94" s="197" t="s">
        <v>244</v>
      </c>
      <c r="D94" s="196"/>
      <c r="E94" s="196"/>
      <c r="F94" s="196"/>
      <c r="G94" s="196" t="s">
        <v>157</v>
      </c>
      <c r="H94" s="196" t="s">
        <v>157</v>
      </c>
      <c r="I94" s="196" t="s">
        <v>157</v>
      </c>
      <c r="J94" s="196"/>
      <c r="K94" s="193"/>
      <c r="L94" s="92"/>
    </row>
    <row r="95" spans="1:12" ht="23.25" customHeight="1">
      <c r="A95" s="92"/>
      <c r="B95" s="264"/>
      <c r="C95" s="197" t="s">
        <v>245</v>
      </c>
      <c r="D95" s="196"/>
      <c r="E95" s="196"/>
      <c r="F95" s="196"/>
      <c r="G95" s="196"/>
      <c r="H95" s="196" t="s">
        <v>157</v>
      </c>
      <c r="I95" s="196" t="s">
        <v>157</v>
      </c>
      <c r="J95" s="196"/>
      <c r="K95" s="193"/>
      <c r="L95" s="92"/>
    </row>
    <row r="96" spans="1:12" ht="23.25" customHeight="1">
      <c r="A96" s="92"/>
      <c r="B96" s="264"/>
      <c r="C96" s="197" t="s">
        <v>246</v>
      </c>
      <c r="D96" s="196"/>
      <c r="E96" s="196"/>
      <c r="F96" s="196"/>
      <c r="G96" s="196" t="s">
        <v>157</v>
      </c>
      <c r="H96" s="196" t="s">
        <v>157</v>
      </c>
      <c r="I96" s="196"/>
      <c r="J96" s="196"/>
      <c r="K96" s="193"/>
      <c r="L96" s="92"/>
    </row>
    <row r="97" spans="1:12" ht="23.25" customHeight="1">
      <c r="A97" s="92"/>
      <c r="B97" s="265" t="s">
        <v>247</v>
      </c>
      <c r="C97" s="197" t="s">
        <v>248</v>
      </c>
      <c r="D97" s="196"/>
      <c r="E97" s="196"/>
      <c r="F97" s="196"/>
      <c r="G97" s="196" t="s">
        <v>157</v>
      </c>
      <c r="H97" s="196" t="s">
        <v>157</v>
      </c>
      <c r="I97" s="196" t="s">
        <v>157</v>
      </c>
      <c r="J97" s="196" t="s">
        <v>45</v>
      </c>
      <c r="K97" s="193"/>
      <c r="L97" s="92"/>
    </row>
    <row r="98" spans="1:12" ht="23.25" customHeight="1">
      <c r="A98" s="92"/>
      <c r="B98" s="265"/>
      <c r="C98" s="197" t="s">
        <v>249</v>
      </c>
      <c r="D98" s="196"/>
      <c r="E98" s="196"/>
      <c r="F98" s="196"/>
      <c r="G98" s="196" t="s">
        <v>157</v>
      </c>
      <c r="H98" s="196" t="s">
        <v>157</v>
      </c>
      <c r="I98" s="196" t="s">
        <v>157</v>
      </c>
      <c r="J98" s="196" t="s">
        <v>157</v>
      </c>
      <c r="K98" s="193"/>
      <c r="L98" s="92"/>
    </row>
    <row r="99" spans="1:12" ht="23.25" customHeight="1">
      <c r="A99" s="92"/>
      <c r="B99" s="265"/>
      <c r="C99" s="197" t="s">
        <v>250</v>
      </c>
      <c r="D99" s="196"/>
      <c r="E99" s="196"/>
      <c r="F99" s="196"/>
      <c r="G99" s="196" t="s">
        <v>157</v>
      </c>
      <c r="H99" s="196" t="s">
        <v>157</v>
      </c>
      <c r="I99" s="196" t="s">
        <v>157</v>
      </c>
      <c r="J99" s="196" t="s">
        <v>157</v>
      </c>
      <c r="K99" s="193" t="s">
        <v>118</v>
      </c>
      <c r="L99" s="92"/>
    </row>
    <row r="100" spans="1:12" ht="23.25" customHeight="1">
      <c r="A100" s="92"/>
      <c r="B100" s="265"/>
      <c r="C100" s="197" t="s">
        <v>251</v>
      </c>
      <c r="D100" s="196"/>
      <c r="E100" s="196"/>
      <c r="F100" s="196"/>
      <c r="G100" s="196" t="s">
        <v>157</v>
      </c>
      <c r="H100" s="196" t="s">
        <v>157</v>
      </c>
      <c r="I100" s="196" t="s">
        <v>157</v>
      </c>
      <c r="J100" s="196"/>
      <c r="K100" s="193" t="s">
        <v>118</v>
      </c>
      <c r="L100" s="92"/>
    </row>
    <row r="101" spans="1:12" ht="23.25" customHeight="1">
      <c r="A101" s="92"/>
      <c r="B101" s="265"/>
      <c r="C101" s="197" t="s">
        <v>252</v>
      </c>
      <c r="D101" s="196"/>
      <c r="E101" s="196"/>
      <c r="F101" s="196"/>
      <c r="G101" s="196" t="s">
        <v>157</v>
      </c>
      <c r="H101" s="196" t="s">
        <v>157</v>
      </c>
      <c r="I101" s="196" t="s">
        <v>157</v>
      </c>
      <c r="J101" s="196" t="s">
        <v>157</v>
      </c>
      <c r="K101" s="193" t="s">
        <v>118</v>
      </c>
      <c r="L101" s="92"/>
    </row>
    <row r="102" spans="1:12" ht="23.25" customHeight="1">
      <c r="A102" s="92"/>
      <c r="B102" s="265"/>
      <c r="C102" s="197" t="s">
        <v>253</v>
      </c>
      <c r="D102" s="196"/>
      <c r="E102" s="196"/>
      <c r="F102" s="196"/>
      <c r="G102" s="196"/>
      <c r="H102" s="196" t="s">
        <v>157</v>
      </c>
      <c r="I102" s="196" t="s">
        <v>157</v>
      </c>
      <c r="J102" s="196" t="s">
        <v>45</v>
      </c>
      <c r="K102" s="193"/>
      <c r="L102" s="92"/>
    </row>
    <row r="103" spans="1:12" ht="23.25" customHeight="1">
      <c r="A103" s="92"/>
      <c r="B103" s="265"/>
      <c r="C103" s="197" t="s">
        <v>254</v>
      </c>
      <c r="D103" s="196"/>
      <c r="E103" s="196"/>
      <c r="F103" s="196"/>
      <c r="G103" s="196"/>
      <c r="H103" s="196" t="s">
        <v>157</v>
      </c>
      <c r="I103" s="196" t="s">
        <v>157</v>
      </c>
      <c r="J103" s="196" t="s">
        <v>45</v>
      </c>
      <c r="K103" s="193"/>
      <c r="L103" s="92"/>
    </row>
    <row r="104" spans="1:12" ht="23.25" customHeight="1">
      <c r="A104" s="92"/>
      <c r="B104" s="265"/>
      <c r="C104" s="197" t="s">
        <v>255</v>
      </c>
      <c r="D104" s="196"/>
      <c r="E104" s="196"/>
      <c r="F104" s="196"/>
      <c r="G104" s="196"/>
      <c r="H104" s="196" t="s">
        <v>157</v>
      </c>
      <c r="I104" s="196" t="s">
        <v>157</v>
      </c>
      <c r="J104" s="196" t="s">
        <v>45</v>
      </c>
      <c r="K104" s="193"/>
      <c r="L104" s="92"/>
    </row>
    <row r="105" spans="1:12" ht="23.25" customHeight="1">
      <c r="A105" s="92"/>
      <c r="B105" s="265"/>
      <c r="C105" s="197" t="s">
        <v>256</v>
      </c>
      <c r="D105" s="196"/>
      <c r="E105" s="196"/>
      <c r="F105" s="196"/>
      <c r="G105" s="196"/>
      <c r="H105" s="196"/>
      <c r="I105" s="196"/>
      <c r="J105" s="196" t="s">
        <v>157</v>
      </c>
      <c r="K105" s="193" t="s">
        <v>118</v>
      </c>
      <c r="L105" s="92"/>
    </row>
    <row r="106" spans="1:12" ht="23.25" customHeight="1">
      <c r="A106" s="92"/>
      <c r="B106" s="265"/>
      <c r="C106" s="197" t="s">
        <v>257</v>
      </c>
      <c r="D106" s="196"/>
      <c r="E106" s="196"/>
      <c r="F106" s="196"/>
      <c r="G106" s="196"/>
      <c r="H106" s="196"/>
      <c r="I106" s="196"/>
      <c r="J106" s="196" t="s">
        <v>157</v>
      </c>
      <c r="K106" s="193" t="s">
        <v>118</v>
      </c>
      <c r="L106" s="92"/>
    </row>
    <row r="107" spans="1:12" ht="23.25" customHeight="1">
      <c r="A107" s="92"/>
      <c r="B107" s="265"/>
      <c r="C107" s="128" t="s">
        <v>258</v>
      </c>
      <c r="D107" s="138"/>
      <c r="E107" s="138"/>
      <c r="F107" s="138"/>
      <c r="G107" s="195" t="s">
        <v>157</v>
      </c>
      <c r="H107" s="195" t="s">
        <v>157</v>
      </c>
      <c r="I107" s="196" t="s">
        <v>157</v>
      </c>
      <c r="J107" s="196" t="s">
        <v>45</v>
      </c>
      <c r="K107" s="193"/>
      <c r="L107" s="92"/>
    </row>
    <row r="108" spans="1:12" ht="23.25" customHeight="1">
      <c r="A108" s="92"/>
      <c r="B108" s="199" t="s">
        <v>259</v>
      </c>
      <c r="C108" s="128" t="s">
        <v>260</v>
      </c>
      <c r="D108" s="138"/>
      <c r="E108" s="138"/>
      <c r="F108" s="138"/>
      <c r="G108" s="195"/>
      <c r="H108" s="195" t="s">
        <v>157</v>
      </c>
      <c r="I108" s="196"/>
      <c r="J108" s="196"/>
      <c r="K108" s="193" t="s">
        <v>118</v>
      </c>
      <c r="L108" s="92"/>
    </row>
    <row r="109" spans="1:12" ht="23.25" customHeight="1">
      <c r="A109" s="92"/>
      <c r="B109" s="200" t="s">
        <v>261</v>
      </c>
      <c r="C109" s="128" t="s">
        <v>262</v>
      </c>
      <c r="D109" s="138"/>
      <c r="E109" s="138"/>
      <c r="F109" s="138"/>
      <c r="G109" s="195"/>
      <c r="H109" s="195"/>
      <c r="I109" s="196"/>
      <c r="J109" s="196" t="s">
        <v>157</v>
      </c>
      <c r="K109" s="193" t="s">
        <v>118</v>
      </c>
      <c r="L109" s="92"/>
    </row>
    <row r="110" spans="1:12" ht="23.25" customHeight="1">
      <c r="A110" s="92"/>
      <c r="B110" s="266" t="s">
        <v>263</v>
      </c>
      <c r="C110" s="128" t="s">
        <v>264</v>
      </c>
      <c r="D110" s="138"/>
      <c r="E110" s="138"/>
      <c r="F110" s="138"/>
      <c r="G110" s="195"/>
      <c r="H110" s="195"/>
      <c r="I110" s="196"/>
      <c r="J110" s="196" t="s">
        <v>157</v>
      </c>
      <c r="K110" s="193" t="s">
        <v>118</v>
      </c>
      <c r="L110" s="92"/>
    </row>
    <row r="111" spans="1:12" ht="23.25" customHeight="1">
      <c r="A111" s="92"/>
      <c r="B111" s="266"/>
      <c r="C111" s="128" t="s">
        <v>265</v>
      </c>
      <c r="D111" s="138"/>
      <c r="E111" s="138"/>
      <c r="F111" s="138"/>
      <c r="G111" s="195"/>
      <c r="H111" s="195"/>
      <c r="I111" s="196"/>
      <c r="J111" s="196" t="s">
        <v>157</v>
      </c>
      <c r="K111" s="193" t="s">
        <v>118</v>
      </c>
      <c r="L111" s="92"/>
    </row>
    <row r="112" spans="1:12" ht="23.25" customHeight="1">
      <c r="A112" s="92"/>
      <c r="B112" s="266"/>
      <c r="C112" s="128" t="s">
        <v>266</v>
      </c>
      <c r="D112" s="138"/>
      <c r="E112" s="138"/>
      <c r="F112" s="138"/>
      <c r="G112" s="195"/>
      <c r="H112" s="195"/>
      <c r="I112" s="196"/>
      <c r="J112" s="196" t="s">
        <v>157</v>
      </c>
      <c r="K112" s="193" t="s">
        <v>118</v>
      </c>
      <c r="L112" s="92"/>
    </row>
    <row r="113" spans="1:12" ht="23.25" customHeight="1">
      <c r="A113" s="92"/>
      <c r="B113" s="266"/>
      <c r="C113" s="128" t="s">
        <v>267</v>
      </c>
      <c r="D113" s="138"/>
      <c r="E113" s="138"/>
      <c r="F113" s="138"/>
      <c r="G113" s="195"/>
      <c r="H113" s="195"/>
      <c r="I113" s="196"/>
      <c r="J113" s="196" t="s">
        <v>157</v>
      </c>
      <c r="K113" s="193" t="s">
        <v>118</v>
      </c>
      <c r="L113" s="92"/>
    </row>
    <row r="114" spans="1:12" ht="23.25" customHeight="1">
      <c r="A114" s="92"/>
      <c r="B114" s="266"/>
      <c r="C114" s="128" t="s">
        <v>244</v>
      </c>
      <c r="D114" s="138"/>
      <c r="E114" s="138"/>
      <c r="F114" s="138"/>
      <c r="G114" s="195"/>
      <c r="H114" s="195"/>
      <c r="I114" s="196"/>
      <c r="J114" s="196" t="s">
        <v>157</v>
      </c>
      <c r="K114" s="193" t="s">
        <v>118</v>
      </c>
      <c r="L114" s="92"/>
    </row>
    <row r="115" spans="1:12" ht="23.25" customHeight="1">
      <c r="A115" s="92"/>
      <c r="B115" s="266"/>
      <c r="C115" s="128" t="s">
        <v>268</v>
      </c>
      <c r="D115" s="138"/>
      <c r="E115" s="138"/>
      <c r="F115" s="138"/>
      <c r="G115" s="195"/>
      <c r="H115" s="195"/>
      <c r="I115" s="196"/>
      <c r="J115" s="196" t="s">
        <v>157</v>
      </c>
      <c r="K115" s="193" t="s">
        <v>118</v>
      </c>
      <c r="L115" s="92"/>
    </row>
    <row r="116" spans="1:12" ht="23.25" customHeight="1">
      <c r="A116" s="92"/>
      <c r="B116" s="266"/>
      <c r="C116" s="128" t="s">
        <v>269</v>
      </c>
      <c r="D116" s="138"/>
      <c r="E116" s="138"/>
      <c r="F116" s="138"/>
      <c r="G116" s="195"/>
      <c r="H116" s="195"/>
      <c r="I116" s="196"/>
      <c r="J116" s="196" t="s">
        <v>157</v>
      </c>
      <c r="K116" s="193" t="s">
        <v>118</v>
      </c>
      <c r="L116" s="92"/>
    </row>
    <row r="117" spans="1:12" ht="23.25" customHeight="1">
      <c r="A117" s="92"/>
      <c r="B117" s="266"/>
      <c r="C117" s="128" t="s">
        <v>270</v>
      </c>
      <c r="D117" s="138"/>
      <c r="E117" s="138"/>
      <c r="F117" s="138"/>
      <c r="G117" s="195"/>
      <c r="H117" s="195"/>
      <c r="I117" s="196"/>
      <c r="J117" s="196" t="s">
        <v>157</v>
      </c>
      <c r="K117" s="193" t="s">
        <v>118</v>
      </c>
      <c r="L117" s="92"/>
    </row>
    <row r="118" spans="1:12" ht="23.25" customHeight="1">
      <c r="A118" s="92"/>
      <c r="B118" s="266"/>
      <c r="C118" s="128" t="s">
        <v>271</v>
      </c>
      <c r="D118" s="138"/>
      <c r="E118" s="138"/>
      <c r="F118" s="138"/>
      <c r="G118" s="195"/>
      <c r="H118" s="195"/>
      <c r="I118" s="196"/>
      <c r="J118" s="196" t="s">
        <v>157</v>
      </c>
      <c r="K118" s="193" t="s">
        <v>118</v>
      </c>
      <c r="L118" s="92"/>
    </row>
    <row r="119" spans="1:12" ht="17.25" customHeight="1">
      <c r="A119" s="92"/>
      <c r="B119" s="201" t="s">
        <v>272</v>
      </c>
      <c r="C119" s="201" t="s">
        <v>272</v>
      </c>
      <c r="D119" s="201"/>
      <c r="E119" s="201"/>
      <c r="F119" s="202"/>
      <c r="G119" s="201"/>
      <c r="H119" s="203"/>
      <c r="I119" s="203"/>
      <c r="J119" s="203"/>
      <c r="K119" s="205" t="s">
        <v>118</v>
      </c>
      <c r="L119" s="92"/>
    </row>
    <row r="120" spans="1:12" ht="23.25" customHeight="1">
      <c r="A120" s="92"/>
      <c r="B120" s="189" t="s">
        <v>273</v>
      </c>
      <c r="C120" s="189" t="s">
        <v>274</v>
      </c>
      <c r="D120" s="201"/>
      <c r="E120" s="201"/>
      <c r="F120" s="202"/>
      <c r="G120" s="201"/>
      <c r="H120" s="203"/>
      <c r="I120" s="203"/>
      <c r="J120" s="203"/>
      <c r="K120" s="205" t="s">
        <v>118</v>
      </c>
      <c r="L120" s="92"/>
    </row>
    <row r="121" spans="1:12" ht="23.25" customHeight="1">
      <c r="A121" s="92"/>
      <c r="B121" s="201" t="s">
        <v>275</v>
      </c>
      <c r="C121" s="201" t="s">
        <v>275</v>
      </c>
      <c r="D121" s="201"/>
      <c r="E121" s="201"/>
      <c r="F121" s="202"/>
      <c r="G121" s="201"/>
      <c r="H121" s="203"/>
      <c r="I121" s="203"/>
      <c r="J121" s="203"/>
      <c r="K121" s="205" t="s">
        <v>118</v>
      </c>
      <c r="L121" s="92"/>
    </row>
    <row r="122" spans="1:12" ht="23.25" customHeight="1">
      <c r="A122" s="92"/>
      <c r="B122" s="201" t="s">
        <v>276</v>
      </c>
      <c r="C122" s="201" t="s">
        <v>276</v>
      </c>
      <c r="D122" s="201"/>
      <c r="E122" s="201"/>
      <c r="F122" s="202"/>
      <c r="G122" s="201"/>
      <c r="H122" s="203"/>
      <c r="I122" s="203"/>
      <c r="J122" s="203"/>
      <c r="K122" s="205" t="s">
        <v>118</v>
      </c>
      <c r="L122" s="92"/>
    </row>
    <row r="123" spans="1:12" ht="23.25" customHeight="1">
      <c r="A123" s="92"/>
      <c r="B123" s="201" t="s">
        <v>277</v>
      </c>
      <c r="C123" s="201" t="s">
        <v>277</v>
      </c>
      <c r="D123" s="201"/>
      <c r="E123" s="201"/>
      <c r="F123" s="202"/>
      <c r="G123" s="201"/>
      <c r="H123" s="203"/>
      <c r="I123" s="203"/>
      <c r="J123" s="203"/>
      <c r="K123" s="205" t="s">
        <v>118</v>
      </c>
      <c r="L123" s="92"/>
    </row>
    <row r="124" spans="1:12" ht="23.25" customHeight="1">
      <c r="B124" s="94"/>
      <c r="C124" s="94"/>
      <c r="D124" s="94"/>
      <c r="E124" s="94"/>
      <c r="F124" s="95"/>
      <c r="G124" s="94"/>
      <c r="H124" s="92"/>
      <c r="I124" s="92"/>
      <c r="J124" s="92"/>
      <c r="K124" s="92"/>
    </row>
    <row r="125" spans="1:12" ht="23.25" customHeight="1">
      <c r="F125" s="88"/>
    </row>
    <row r="126" spans="1:12" ht="23.25" customHeight="1">
      <c r="F126" s="88"/>
    </row>
    <row r="127" spans="1:12" ht="23.25" customHeight="1">
      <c r="F127" s="88"/>
    </row>
    <row r="128" spans="1:12" ht="23.25" customHeight="1">
      <c r="F128" s="88"/>
    </row>
    <row r="129" spans="6:6" ht="23.25" customHeight="1">
      <c r="F129" s="88"/>
    </row>
    <row r="130" spans="6:6" ht="23.25" customHeight="1">
      <c r="F130" s="88"/>
    </row>
    <row r="131" spans="6:6" ht="23.25" customHeight="1">
      <c r="F131" s="88"/>
    </row>
    <row r="132" spans="6:6" ht="23.25" customHeight="1">
      <c r="F132" s="88"/>
    </row>
    <row r="133" spans="6:6" ht="23.25" customHeight="1">
      <c r="F133" s="88"/>
    </row>
    <row r="134" spans="6:6" ht="23.25" customHeight="1">
      <c r="F134" s="88"/>
    </row>
    <row r="135" spans="6:6" ht="23.25" customHeight="1">
      <c r="F135" s="88"/>
    </row>
    <row r="136" spans="6:6" ht="23.25" customHeight="1">
      <c r="F136" s="88"/>
    </row>
    <row r="137" spans="6:6" ht="23.25" customHeight="1">
      <c r="F137" s="88"/>
    </row>
    <row r="138" spans="6:6" ht="23.25" customHeight="1">
      <c r="F138" s="88"/>
    </row>
    <row r="139" spans="6:6" ht="23.25" customHeight="1">
      <c r="F139" s="88"/>
    </row>
    <row r="140" spans="6:6" ht="23.25" customHeight="1">
      <c r="F140" s="88"/>
    </row>
    <row r="141" spans="6:6" ht="23.25" customHeight="1">
      <c r="F141" s="88"/>
    </row>
    <row r="142" spans="6:6" ht="23.25" customHeight="1">
      <c r="F142" s="88"/>
    </row>
    <row r="143" spans="6:6" ht="23.25" customHeight="1">
      <c r="F143" s="88"/>
    </row>
    <row r="144" spans="6:6" ht="23.25" customHeight="1">
      <c r="F144" s="88"/>
    </row>
    <row r="145" spans="6:6" ht="23.25" customHeight="1">
      <c r="F145" s="88"/>
    </row>
    <row r="146" spans="6:6" ht="23.25" customHeight="1">
      <c r="F146" s="88"/>
    </row>
    <row r="147" spans="6:6" ht="23.25" customHeight="1">
      <c r="F147" s="88"/>
    </row>
    <row r="148" spans="6:6" ht="23.25" customHeight="1">
      <c r="F148" s="88"/>
    </row>
    <row r="149" spans="6:6" ht="23.25" customHeight="1">
      <c r="F149" s="88"/>
    </row>
    <row r="150" spans="6:6" ht="23.25" customHeight="1">
      <c r="F150" s="88"/>
    </row>
    <row r="151" spans="6:6" ht="23.25" customHeight="1">
      <c r="F151" s="88"/>
    </row>
    <row r="152" spans="6:6" ht="23.25" customHeight="1">
      <c r="F152" s="88"/>
    </row>
    <row r="153" spans="6:6" ht="23.25" customHeight="1">
      <c r="F153" s="88"/>
    </row>
    <row r="154" spans="6:6" ht="23.25" customHeight="1">
      <c r="F154" s="88"/>
    </row>
    <row r="155" spans="6:6" ht="23.25" customHeight="1">
      <c r="F155" s="88"/>
    </row>
    <row r="156" spans="6:6" ht="23.25" customHeight="1">
      <c r="F156" s="88"/>
    </row>
    <row r="157" spans="6:6" ht="23.25" customHeight="1">
      <c r="F157" s="88"/>
    </row>
    <row r="158" spans="6:6" ht="23.25" customHeight="1">
      <c r="F158" s="88"/>
    </row>
    <row r="159" spans="6:6" ht="23.25" customHeight="1">
      <c r="F159" s="88"/>
    </row>
    <row r="160" spans="6:6" ht="23.25" customHeight="1">
      <c r="F160" s="88"/>
    </row>
    <row r="161" spans="6:6" ht="23.25" customHeight="1">
      <c r="F161" s="88"/>
    </row>
    <row r="162" spans="6:6" ht="23.25" customHeight="1">
      <c r="F162" s="88"/>
    </row>
    <row r="163" spans="6:6" ht="23.25" customHeight="1">
      <c r="F163" s="88"/>
    </row>
    <row r="164" spans="6:6" ht="23.25" customHeight="1">
      <c r="F164" s="88"/>
    </row>
    <row r="165" spans="6:6" ht="23.25" customHeight="1">
      <c r="F165" s="88"/>
    </row>
    <row r="166" spans="6:6" ht="23.25" customHeight="1">
      <c r="F166" s="88"/>
    </row>
    <row r="167" spans="6:6" ht="23.25" customHeight="1">
      <c r="F167" s="88"/>
    </row>
    <row r="168" spans="6:6" ht="23.25" customHeight="1">
      <c r="F168" s="88"/>
    </row>
    <row r="169" spans="6:6" ht="23.25" customHeight="1">
      <c r="F169" s="88"/>
    </row>
    <row r="170" spans="6:6" ht="23.25" customHeight="1">
      <c r="F170" s="88"/>
    </row>
    <row r="171" spans="6:6" ht="23.25" customHeight="1">
      <c r="F171" s="88"/>
    </row>
    <row r="172" spans="6:6" ht="23.25" customHeight="1">
      <c r="F172" s="88"/>
    </row>
    <row r="173" spans="6:6" ht="23.25" customHeight="1">
      <c r="F173" s="88"/>
    </row>
    <row r="174" spans="6:6" ht="23.25" customHeight="1">
      <c r="F174" s="88"/>
    </row>
    <row r="175" spans="6:6" ht="23.25" customHeight="1">
      <c r="F175" s="88"/>
    </row>
    <row r="176" spans="6:6" ht="23.25" customHeight="1">
      <c r="F176" s="88"/>
    </row>
    <row r="177" spans="6:6" ht="23.25" customHeight="1">
      <c r="F177" s="88"/>
    </row>
    <row r="178" spans="6:6" ht="23.25" customHeight="1">
      <c r="F178" s="88"/>
    </row>
    <row r="179" spans="6:6" ht="23.25" customHeight="1">
      <c r="F179" s="88"/>
    </row>
    <row r="180" spans="6:6" ht="23.25" customHeight="1">
      <c r="F180" s="88"/>
    </row>
    <row r="181" spans="6:6" ht="23.25" customHeight="1">
      <c r="F181" s="88"/>
    </row>
    <row r="182" spans="6:6" ht="23.25" customHeight="1">
      <c r="F182" s="88"/>
    </row>
    <row r="183" spans="6:6" ht="23.25" customHeight="1">
      <c r="F183" s="88"/>
    </row>
    <row r="184" spans="6:6" ht="23.25" customHeight="1">
      <c r="F184" s="88"/>
    </row>
    <row r="185" spans="6:6" ht="23.25" customHeight="1">
      <c r="F185" s="88"/>
    </row>
    <row r="186" spans="6:6" ht="23.25" customHeight="1">
      <c r="F186" s="88"/>
    </row>
    <row r="187" spans="6:6" ht="23.25" customHeight="1">
      <c r="F187" s="88"/>
    </row>
    <row r="188" spans="6:6" ht="23.25" customHeight="1">
      <c r="F188" s="88"/>
    </row>
    <row r="189" spans="6:6" ht="23.25" customHeight="1">
      <c r="F189" s="88"/>
    </row>
    <row r="190" spans="6:6" ht="23.25" customHeight="1">
      <c r="F190" s="88"/>
    </row>
    <row r="191" spans="6:6" ht="23.25" customHeight="1">
      <c r="F191" s="88"/>
    </row>
    <row r="192" spans="6:6" ht="23.25" customHeight="1">
      <c r="F192" s="88"/>
    </row>
    <row r="193" spans="6:6" ht="23.25" customHeight="1">
      <c r="F193" s="88"/>
    </row>
    <row r="194" spans="6:6" ht="23.25" customHeight="1">
      <c r="F194" s="88"/>
    </row>
    <row r="195" spans="6:6" ht="23.25" customHeight="1">
      <c r="F195" s="88"/>
    </row>
    <row r="196" spans="6:6" ht="23.25" customHeight="1">
      <c r="F196" s="88"/>
    </row>
    <row r="197" spans="6:6" ht="23.25" customHeight="1">
      <c r="F197" s="88"/>
    </row>
    <row r="198" spans="6:6" ht="23.25" customHeight="1">
      <c r="F198" s="88"/>
    </row>
    <row r="199" spans="6:6" ht="23.25" customHeight="1">
      <c r="F199" s="88"/>
    </row>
    <row r="200" spans="6:6" ht="23.25" customHeight="1">
      <c r="F200" s="88"/>
    </row>
    <row r="201" spans="6:6" ht="23.25" customHeight="1">
      <c r="F201" s="88"/>
    </row>
    <row r="202" spans="6:6" ht="23.25" customHeight="1">
      <c r="F202" s="88"/>
    </row>
    <row r="203" spans="6:6" ht="23.25" customHeight="1">
      <c r="F203" s="88"/>
    </row>
    <row r="204" spans="6:6" ht="23.25" customHeight="1">
      <c r="F204" s="88"/>
    </row>
    <row r="205" spans="6:6" ht="23.25" customHeight="1">
      <c r="F205" s="88"/>
    </row>
    <row r="206" spans="6:6" ht="23.25" customHeight="1">
      <c r="F206" s="88"/>
    </row>
    <row r="207" spans="6:6" ht="23.25" customHeight="1">
      <c r="F207" s="88"/>
    </row>
    <row r="208" spans="6:6" ht="23.25" customHeight="1">
      <c r="F208" s="88"/>
    </row>
    <row r="209" spans="6:6" ht="23.25" customHeight="1">
      <c r="F209" s="88"/>
    </row>
    <row r="210" spans="6:6" ht="23.25" customHeight="1">
      <c r="F210" s="88"/>
    </row>
    <row r="211" spans="6:6" ht="23.25" customHeight="1">
      <c r="F211" s="88"/>
    </row>
    <row r="212" spans="6:6" ht="23.25" customHeight="1">
      <c r="F212" s="88"/>
    </row>
    <row r="213" spans="6:6" ht="23.25" customHeight="1">
      <c r="F213" s="88"/>
    </row>
    <row r="214" spans="6:6" ht="23.25" customHeight="1">
      <c r="F214" s="88"/>
    </row>
    <row r="215" spans="6:6" ht="23.25" customHeight="1">
      <c r="F215" s="88"/>
    </row>
    <row r="216" spans="6:6" ht="23.25" customHeight="1">
      <c r="F216" s="88"/>
    </row>
    <row r="217" spans="6:6" ht="23.25" customHeight="1">
      <c r="F217" s="88"/>
    </row>
    <row r="218" spans="6:6" ht="23.25" customHeight="1">
      <c r="F218" s="88"/>
    </row>
    <row r="219" spans="6:6" ht="23.25" customHeight="1">
      <c r="F219" s="88"/>
    </row>
    <row r="220" spans="6:6" ht="23.25" customHeight="1">
      <c r="F220" s="88"/>
    </row>
    <row r="221" spans="6:6" ht="23.25" customHeight="1">
      <c r="F221" s="88"/>
    </row>
    <row r="222" spans="6:6" ht="23.25" customHeight="1">
      <c r="F222" s="88"/>
    </row>
    <row r="223" spans="6:6" ht="23.25" customHeight="1">
      <c r="F223" s="88"/>
    </row>
    <row r="224" spans="6:6" ht="23.25" customHeight="1">
      <c r="F224" s="88"/>
    </row>
    <row r="225" spans="6:6" ht="23.25" customHeight="1">
      <c r="F225" s="88"/>
    </row>
    <row r="226" spans="6:6" ht="23.25" customHeight="1">
      <c r="F226" s="88"/>
    </row>
    <row r="227" spans="6:6" ht="23.25" customHeight="1">
      <c r="F227" s="88"/>
    </row>
    <row r="228" spans="6:6" ht="23.25" customHeight="1">
      <c r="F228" s="88"/>
    </row>
    <row r="229" spans="6:6" ht="23.25" customHeight="1">
      <c r="F229" s="88"/>
    </row>
    <row r="230" spans="6:6" ht="23.25" customHeight="1">
      <c r="F230" s="88"/>
    </row>
    <row r="231" spans="6:6" ht="23.25" customHeight="1">
      <c r="F231" s="88"/>
    </row>
    <row r="232" spans="6:6" ht="23.25" customHeight="1">
      <c r="F232" s="88"/>
    </row>
    <row r="233" spans="6:6" ht="23.25" customHeight="1">
      <c r="F233" s="88"/>
    </row>
    <row r="234" spans="6:6" ht="23.25" customHeight="1">
      <c r="F234" s="88"/>
    </row>
    <row r="235" spans="6:6" ht="23.25" customHeight="1">
      <c r="F235" s="88"/>
    </row>
    <row r="236" spans="6:6" ht="23.25" customHeight="1">
      <c r="F236" s="88"/>
    </row>
    <row r="237" spans="6:6" ht="23.25" customHeight="1">
      <c r="F237" s="88"/>
    </row>
    <row r="238" spans="6:6" ht="23.25" customHeight="1">
      <c r="F238" s="88"/>
    </row>
    <row r="239" spans="6:6" ht="23.25" customHeight="1">
      <c r="F239" s="88"/>
    </row>
    <row r="240" spans="6:6" ht="23.25" customHeight="1">
      <c r="F240" s="88"/>
    </row>
    <row r="241" spans="6:6" ht="23.25" customHeight="1">
      <c r="F241" s="88"/>
    </row>
    <row r="242" spans="6:6" ht="23.25" customHeight="1">
      <c r="F242" s="88"/>
    </row>
    <row r="243" spans="6:6" ht="23.25" customHeight="1">
      <c r="F243" s="88"/>
    </row>
    <row r="244" spans="6:6" ht="23.25" customHeight="1">
      <c r="F244" s="88"/>
    </row>
    <row r="245" spans="6:6" ht="23.25" customHeight="1">
      <c r="F245" s="88"/>
    </row>
    <row r="246" spans="6:6" ht="23.25" customHeight="1">
      <c r="F246" s="88"/>
    </row>
    <row r="247" spans="6:6" ht="23.25" customHeight="1">
      <c r="F247" s="88"/>
    </row>
    <row r="248" spans="6:6" ht="23.25" customHeight="1">
      <c r="F248" s="88"/>
    </row>
    <row r="249" spans="6:6" ht="23.25" customHeight="1">
      <c r="F249" s="88"/>
    </row>
    <row r="250" spans="6:6" ht="23.25" customHeight="1">
      <c r="F250" s="88"/>
    </row>
    <row r="251" spans="6:6" ht="23.25" customHeight="1">
      <c r="F251" s="88"/>
    </row>
    <row r="252" spans="6:6" ht="23.25" customHeight="1">
      <c r="F252" s="88"/>
    </row>
    <row r="253" spans="6:6" ht="23.25" customHeight="1">
      <c r="F253" s="88"/>
    </row>
    <row r="254" spans="6:6" ht="23.25" customHeight="1">
      <c r="F254" s="88"/>
    </row>
    <row r="255" spans="6:6" ht="23.25" customHeight="1">
      <c r="F255" s="88"/>
    </row>
    <row r="256" spans="6:6" ht="23.25" customHeight="1">
      <c r="F256" s="88"/>
    </row>
    <row r="257" spans="6:6" ht="23.25" customHeight="1">
      <c r="F257" s="88"/>
    </row>
    <row r="258" spans="6:6" ht="23.25" customHeight="1">
      <c r="F258" s="88"/>
    </row>
    <row r="259" spans="6:6" ht="23.25" customHeight="1">
      <c r="F259" s="88"/>
    </row>
    <row r="260" spans="6:6" ht="23.25" customHeight="1">
      <c r="F260" s="88"/>
    </row>
    <row r="261" spans="6:6" ht="23.25" customHeight="1">
      <c r="F261" s="88"/>
    </row>
    <row r="262" spans="6:6" ht="23.25" customHeight="1">
      <c r="F262" s="88"/>
    </row>
    <row r="263" spans="6:6" ht="23.25" customHeight="1">
      <c r="F263" s="88"/>
    </row>
    <row r="264" spans="6:6" ht="23.25" customHeight="1">
      <c r="F264" s="88"/>
    </row>
    <row r="265" spans="6:6" ht="23.25" customHeight="1">
      <c r="F265" s="88"/>
    </row>
    <row r="266" spans="6:6" ht="23.25" customHeight="1">
      <c r="F266" s="88"/>
    </row>
    <row r="267" spans="6:6" ht="23.25" customHeight="1">
      <c r="F267" s="88"/>
    </row>
    <row r="268" spans="6:6" ht="23.25" customHeight="1">
      <c r="F268" s="88"/>
    </row>
    <row r="269" spans="6:6" ht="23.25" customHeight="1">
      <c r="F269" s="88"/>
    </row>
    <row r="270" spans="6:6" ht="23.25" customHeight="1">
      <c r="F270" s="88"/>
    </row>
    <row r="271" spans="6:6" ht="23.25" customHeight="1">
      <c r="F271" s="88"/>
    </row>
    <row r="272" spans="6:6" ht="23.25" customHeight="1">
      <c r="F272" s="88"/>
    </row>
    <row r="273" spans="6:6" ht="23.25" customHeight="1">
      <c r="F273" s="88"/>
    </row>
    <row r="274" spans="6:6" ht="23.25" customHeight="1">
      <c r="F274" s="88"/>
    </row>
    <row r="275" spans="6:6" ht="23.25" customHeight="1">
      <c r="F275" s="88"/>
    </row>
    <row r="276" spans="6:6" ht="23.25" customHeight="1">
      <c r="F276" s="88"/>
    </row>
    <row r="277" spans="6:6" ht="23.25" customHeight="1">
      <c r="F277" s="88"/>
    </row>
    <row r="278" spans="6:6" ht="23.25" customHeight="1">
      <c r="F278" s="88"/>
    </row>
    <row r="279" spans="6:6" ht="23.25" customHeight="1">
      <c r="F279" s="88"/>
    </row>
    <row r="280" spans="6:6" ht="23.25" customHeight="1">
      <c r="F280" s="88"/>
    </row>
    <row r="281" spans="6:6" ht="23.25" customHeight="1">
      <c r="F281" s="88"/>
    </row>
    <row r="282" spans="6:6" ht="23.25" customHeight="1">
      <c r="F282" s="88"/>
    </row>
    <row r="283" spans="6:6" ht="23.25" customHeight="1">
      <c r="F283" s="88"/>
    </row>
    <row r="284" spans="6:6" ht="23.25" customHeight="1">
      <c r="F284" s="88"/>
    </row>
    <row r="285" spans="6:6" ht="23.25" customHeight="1">
      <c r="F285" s="88"/>
    </row>
    <row r="286" spans="6:6" ht="23.25" customHeight="1">
      <c r="F286" s="88"/>
    </row>
    <row r="287" spans="6:6" ht="23.25" customHeight="1">
      <c r="F287" s="88"/>
    </row>
    <row r="288" spans="6:6" ht="23.25" customHeight="1">
      <c r="F288" s="88"/>
    </row>
    <row r="289" spans="6:6" ht="23.25" customHeight="1">
      <c r="F289" s="88"/>
    </row>
    <row r="290" spans="6:6" ht="23.25" customHeight="1">
      <c r="F290" s="88"/>
    </row>
    <row r="291" spans="6:6" ht="23.25" customHeight="1">
      <c r="F291" s="88"/>
    </row>
    <row r="292" spans="6:6" ht="23.25" customHeight="1">
      <c r="F292" s="88"/>
    </row>
    <row r="293" spans="6:6" ht="23.25" customHeight="1">
      <c r="F293" s="88"/>
    </row>
    <row r="294" spans="6:6" ht="23.25" customHeight="1">
      <c r="F294" s="88"/>
    </row>
    <row r="295" spans="6:6" ht="23.25" customHeight="1">
      <c r="F295" s="88"/>
    </row>
    <row r="296" spans="6:6" ht="23.25" customHeight="1">
      <c r="F296" s="88"/>
    </row>
    <row r="297" spans="6:6" ht="23.25" customHeight="1">
      <c r="F297" s="88"/>
    </row>
    <row r="298" spans="6:6" ht="23.25" customHeight="1">
      <c r="F298" s="88"/>
    </row>
    <row r="299" spans="6:6" ht="23.25" customHeight="1">
      <c r="F299" s="88"/>
    </row>
    <row r="300" spans="6:6" ht="23.25" customHeight="1">
      <c r="F300" s="88"/>
    </row>
    <row r="301" spans="6:6" ht="23.25" customHeight="1">
      <c r="F301" s="88"/>
    </row>
    <row r="302" spans="6:6" ht="23.25" customHeight="1">
      <c r="F302" s="88"/>
    </row>
    <row r="303" spans="6:6" ht="23.25" customHeight="1">
      <c r="F303" s="88"/>
    </row>
    <row r="304" spans="6:6" ht="23.25" customHeight="1">
      <c r="F304" s="88"/>
    </row>
    <row r="305" spans="6:6" ht="23.25" customHeight="1">
      <c r="F305" s="88"/>
    </row>
    <row r="306" spans="6:6" ht="23.25" customHeight="1">
      <c r="F306" s="88"/>
    </row>
    <row r="307" spans="6:6" ht="23.25" customHeight="1">
      <c r="F307" s="88"/>
    </row>
    <row r="308" spans="6:6" ht="23.25" customHeight="1">
      <c r="F308" s="88"/>
    </row>
    <row r="309" spans="6:6" ht="23.25" customHeight="1">
      <c r="F309" s="88"/>
    </row>
    <row r="310" spans="6:6" ht="23.25" customHeight="1">
      <c r="F310" s="88"/>
    </row>
    <row r="311" spans="6:6" ht="23.25" customHeight="1">
      <c r="F311" s="88"/>
    </row>
    <row r="312" spans="6:6" ht="23.25" customHeight="1">
      <c r="F312" s="88"/>
    </row>
    <row r="313" spans="6:6" ht="23.25" customHeight="1">
      <c r="F313" s="88"/>
    </row>
    <row r="314" spans="6:6" ht="23.25" customHeight="1">
      <c r="F314" s="88"/>
    </row>
    <row r="315" spans="6:6" ht="23.25" customHeight="1">
      <c r="F315" s="88"/>
    </row>
    <row r="316" spans="6:6" ht="23.25" customHeight="1">
      <c r="F316" s="88"/>
    </row>
    <row r="317" spans="6:6" ht="23.25" customHeight="1">
      <c r="F317" s="88"/>
    </row>
    <row r="318" spans="6:6" ht="23.25" customHeight="1">
      <c r="F318" s="88"/>
    </row>
    <row r="319" spans="6:6" ht="23.25" customHeight="1">
      <c r="F319" s="88"/>
    </row>
    <row r="320" spans="6:6" ht="23.25" customHeight="1">
      <c r="F320" s="88"/>
    </row>
    <row r="321" spans="6:6" ht="23.25" customHeight="1">
      <c r="F321" s="88"/>
    </row>
    <row r="322" spans="6:6" ht="23.25" customHeight="1">
      <c r="F322" s="88"/>
    </row>
    <row r="323" spans="6:6" ht="23.25" customHeight="1">
      <c r="F323" s="88"/>
    </row>
    <row r="324" spans="6:6" ht="23.25" customHeight="1">
      <c r="F324" s="88"/>
    </row>
    <row r="325" spans="6:6" ht="23.25" customHeight="1">
      <c r="F325" s="88"/>
    </row>
    <row r="326" spans="6:6" ht="23.25" customHeight="1">
      <c r="F326" s="88"/>
    </row>
    <row r="327" spans="6:6" ht="23.25" customHeight="1">
      <c r="F327" s="88"/>
    </row>
    <row r="328" spans="6:6" ht="23.25" customHeight="1">
      <c r="F328" s="88"/>
    </row>
    <row r="329" spans="6:6" ht="23.25" customHeight="1">
      <c r="F329" s="88"/>
    </row>
    <row r="330" spans="6:6" ht="23.25" customHeight="1">
      <c r="F330" s="88"/>
    </row>
    <row r="331" spans="6:6" ht="23.25" customHeight="1">
      <c r="F331" s="88"/>
    </row>
    <row r="332" spans="6:6" ht="23.25" customHeight="1">
      <c r="F332" s="88"/>
    </row>
    <row r="333" spans="6:6" ht="23.25" customHeight="1">
      <c r="F333" s="88"/>
    </row>
    <row r="334" spans="6:6" ht="23.25" customHeight="1">
      <c r="F334" s="88"/>
    </row>
    <row r="335" spans="6:6" ht="23.25" customHeight="1">
      <c r="F335" s="88"/>
    </row>
    <row r="336" spans="6:6" ht="23.25" customHeight="1">
      <c r="F336" s="88"/>
    </row>
    <row r="337" spans="6:6" ht="23.25" customHeight="1">
      <c r="F337" s="88"/>
    </row>
    <row r="338" spans="6:6" ht="23.25" customHeight="1">
      <c r="F338" s="88"/>
    </row>
    <row r="339" spans="6:6" ht="23.25" customHeight="1">
      <c r="F339" s="88"/>
    </row>
    <row r="340" spans="6:6" ht="23.25" customHeight="1">
      <c r="F340" s="88"/>
    </row>
    <row r="341" spans="6:6" ht="23.25" customHeight="1">
      <c r="F341" s="88"/>
    </row>
    <row r="342" spans="6:6" ht="23.25" customHeight="1">
      <c r="F342" s="88"/>
    </row>
    <row r="343" spans="6:6" ht="23.25" customHeight="1">
      <c r="F343" s="88"/>
    </row>
    <row r="344" spans="6:6" ht="23.25" customHeight="1">
      <c r="F344" s="88"/>
    </row>
    <row r="345" spans="6:6" ht="23.25" customHeight="1">
      <c r="F345" s="88"/>
    </row>
    <row r="346" spans="6:6" ht="23.25" customHeight="1">
      <c r="F346" s="88"/>
    </row>
    <row r="347" spans="6:6" ht="23.25" customHeight="1">
      <c r="F347" s="88"/>
    </row>
    <row r="348" spans="6:6" ht="23.25" customHeight="1">
      <c r="F348" s="88"/>
    </row>
    <row r="349" spans="6:6" ht="23.25" customHeight="1">
      <c r="F349" s="88"/>
    </row>
    <row r="350" spans="6:6" ht="23.25" customHeight="1">
      <c r="F350" s="88"/>
    </row>
    <row r="351" spans="6:6" ht="23.25" customHeight="1">
      <c r="F351" s="88"/>
    </row>
    <row r="352" spans="6:6" ht="23.25" customHeight="1">
      <c r="F352" s="88"/>
    </row>
    <row r="353" spans="6:6" ht="23.25" customHeight="1">
      <c r="F353" s="88"/>
    </row>
    <row r="354" spans="6:6" ht="23.25" customHeight="1">
      <c r="F354" s="88"/>
    </row>
    <row r="355" spans="6:6" ht="23.25" customHeight="1">
      <c r="F355" s="88"/>
    </row>
    <row r="356" spans="6:6" ht="23.25" customHeight="1">
      <c r="F356" s="88"/>
    </row>
    <row r="357" spans="6:6" ht="23.25" customHeight="1">
      <c r="F357" s="88"/>
    </row>
    <row r="358" spans="6:6" ht="23.25" customHeight="1">
      <c r="F358" s="88"/>
    </row>
    <row r="359" spans="6:6" ht="23.25" customHeight="1">
      <c r="F359" s="88"/>
    </row>
    <row r="360" spans="6:6" ht="23.25" customHeight="1">
      <c r="F360" s="88"/>
    </row>
    <row r="361" spans="6:6" ht="23.25" customHeight="1">
      <c r="F361" s="88"/>
    </row>
    <row r="362" spans="6:6" ht="23.25" customHeight="1">
      <c r="F362" s="88"/>
    </row>
    <row r="363" spans="6:6" ht="23.25" customHeight="1">
      <c r="F363" s="88"/>
    </row>
    <row r="364" spans="6:6" ht="23.25" customHeight="1">
      <c r="F364" s="88"/>
    </row>
    <row r="365" spans="6:6" ht="23.25" customHeight="1">
      <c r="F365" s="88"/>
    </row>
    <row r="366" spans="6:6" ht="23.25" customHeight="1">
      <c r="F366" s="88"/>
    </row>
    <row r="367" spans="6:6" ht="23.25" customHeight="1">
      <c r="F367" s="88"/>
    </row>
    <row r="368" spans="6:6" ht="23.25" customHeight="1">
      <c r="F368" s="88"/>
    </row>
    <row r="369" spans="6:6" ht="23.25" customHeight="1">
      <c r="F369" s="88"/>
    </row>
    <row r="370" spans="6:6" ht="23.25" customHeight="1">
      <c r="F370" s="88"/>
    </row>
    <row r="371" spans="6:6" ht="23.25" customHeight="1">
      <c r="F371" s="88"/>
    </row>
    <row r="372" spans="6:6" ht="23.25" customHeight="1">
      <c r="F372" s="88"/>
    </row>
    <row r="373" spans="6:6" ht="23.25" customHeight="1">
      <c r="F373" s="88"/>
    </row>
    <row r="374" spans="6:6" ht="23.25" customHeight="1">
      <c r="F374" s="88"/>
    </row>
    <row r="375" spans="6:6" ht="23.25" customHeight="1">
      <c r="F375" s="88"/>
    </row>
    <row r="376" spans="6:6" ht="23.25" customHeight="1">
      <c r="F376" s="88"/>
    </row>
    <row r="377" spans="6:6" ht="23.25" customHeight="1">
      <c r="F377" s="88"/>
    </row>
    <row r="378" spans="6:6" ht="23.25" customHeight="1">
      <c r="F378" s="88"/>
    </row>
    <row r="379" spans="6:6" ht="23.25" customHeight="1">
      <c r="F379" s="88"/>
    </row>
    <row r="380" spans="6:6" ht="23.25" customHeight="1">
      <c r="F380" s="88"/>
    </row>
    <row r="381" spans="6:6" ht="23.25" customHeight="1">
      <c r="F381" s="88"/>
    </row>
    <row r="382" spans="6:6" ht="23.25" customHeight="1">
      <c r="F382" s="88"/>
    </row>
    <row r="383" spans="6:6" ht="23.25" customHeight="1">
      <c r="F383" s="88"/>
    </row>
    <row r="384" spans="6:6" ht="23.25" customHeight="1">
      <c r="F384" s="88"/>
    </row>
    <row r="385" spans="6:6" ht="23.25" customHeight="1">
      <c r="F385" s="88"/>
    </row>
    <row r="386" spans="6:6" ht="23.25" customHeight="1">
      <c r="F386" s="88"/>
    </row>
    <row r="387" spans="6:6" ht="23.25" customHeight="1">
      <c r="F387" s="88"/>
    </row>
    <row r="388" spans="6:6" ht="23.25" customHeight="1">
      <c r="F388" s="88"/>
    </row>
    <row r="389" spans="6:6" ht="23.25" customHeight="1">
      <c r="F389" s="88"/>
    </row>
    <row r="390" spans="6:6" ht="23.25" customHeight="1">
      <c r="F390" s="88"/>
    </row>
    <row r="391" spans="6:6" ht="23.25" customHeight="1">
      <c r="F391" s="88"/>
    </row>
    <row r="392" spans="6:6" ht="23.25" customHeight="1">
      <c r="F392" s="88"/>
    </row>
    <row r="393" spans="6:6" ht="23.25" customHeight="1">
      <c r="F393" s="88"/>
    </row>
    <row r="394" spans="6:6" ht="23.25" customHeight="1">
      <c r="F394" s="88"/>
    </row>
    <row r="395" spans="6:6" ht="23.25" customHeight="1">
      <c r="F395" s="88"/>
    </row>
    <row r="396" spans="6:6" ht="23.25" customHeight="1">
      <c r="F396" s="88"/>
    </row>
    <row r="397" spans="6:6" ht="23.25" customHeight="1">
      <c r="F397" s="88"/>
    </row>
    <row r="398" spans="6:6" ht="23.25" customHeight="1">
      <c r="F398" s="88"/>
    </row>
    <row r="399" spans="6:6" ht="23.25" customHeight="1">
      <c r="F399" s="88"/>
    </row>
    <row r="400" spans="6:6" ht="23.25" customHeight="1">
      <c r="F400" s="88"/>
    </row>
    <row r="401" spans="6:6" ht="23.25" customHeight="1">
      <c r="F401" s="88"/>
    </row>
    <row r="402" spans="6:6" ht="23.25" customHeight="1">
      <c r="F402" s="88"/>
    </row>
    <row r="403" spans="6:6" ht="23.25" customHeight="1">
      <c r="F403" s="88"/>
    </row>
    <row r="404" spans="6:6" ht="23.25" customHeight="1">
      <c r="F404" s="88"/>
    </row>
    <row r="405" spans="6:6" ht="23.25" customHeight="1">
      <c r="F405" s="88"/>
    </row>
    <row r="406" spans="6:6" ht="23.25" customHeight="1">
      <c r="F406" s="88"/>
    </row>
    <row r="407" spans="6:6" ht="23.25" customHeight="1">
      <c r="F407" s="88"/>
    </row>
    <row r="408" spans="6:6" ht="23.25" customHeight="1">
      <c r="F408" s="88"/>
    </row>
    <row r="409" spans="6:6" ht="23.25" customHeight="1">
      <c r="F409" s="88"/>
    </row>
    <row r="410" spans="6:6" ht="23.25" customHeight="1">
      <c r="F410" s="88"/>
    </row>
    <row r="411" spans="6:6" ht="23.25" customHeight="1">
      <c r="F411" s="88"/>
    </row>
    <row r="412" spans="6:6" ht="23.25" customHeight="1">
      <c r="F412" s="88"/>
    </row>
    <row r="413" spans="6:6" ht="23.25" customHeight="1">
      <c r="F413" s="88"/>
    </row>
    <row r="414" spans="6:6" ht="23.25" customHeight="1">
      <c r="F414" s="88"/>
    </row>
    <row r="415" spans="6:6" ht="23.25" customHeight="1">
      <c r="F415" s="88"/>
    </row>
    <row r="416" spans="6:6" ht="23.25" customHeight="1">
      <c r="F416" s="88"/>
    </row>
    <row r="417" spans="6:6" ht="23.25" customHeight="1">
      <c r="F417" s="88"/>
    </row>
    <row r="418" spans="6:6" ht="23.25" customHeight="1">
      <c r="F418" s="88"/>
    </row>
    <row r="419" spans="6:6" ht="23.25" customHeight="1">
      <c r="F419" s="88"/>
    </row>
    <row r="420" spans="6:6" ht="23.25" customHeight="1">
      <c r="F420" s="88"/>
    </row>
    <row r="421" spans="6:6" ht="23.25" customHeight="1">
      <c r="F421" s="88"/>
    </row>
    <row r="422" spans="6:6" ht="23.25" customHeight="1">
      <c r="F422" s="88"/>
    </row>
    <row r="423" spans="6:6" ht="23.25" customHeight="1">
      <c r="F423" s="88"/>
    </row>
    <row r="424" spans="6:6" ht="23.25" customHeight="1">
      <c r="F424" s="88"/>
    </row>
    <row r="425" spans="6:6" ht="23.25" customHeight="1">
      <c r="F425" s="88"/>
    </row>
    <row r="426" spans="6:6" ht="23.25" customHeight="1">
      <c r="F426" s="88"/>
    </row>
    <row r="427" spans="6:6" ht="23.25" customHeight="1">
      <c r="F427" s="88"/>
    </row>
    <row r="428" spans="6:6" ht="23.25" customHeight="1">
      <c r="F428" s="88"/>
    </row>
    <row r="429" spans="6:6" ht="23.25" customHeight="1">
      <c r="F429" s="88"/>
    </row>
    <row r="430" spans="6:6" ht="23.25" customHeight="1">
      <c r="F430" s="88"/>
    </row>
    <row r="431" spans="6:6" ht="23.25" customHeight="1">
      <c r="F431" s="88"/>
    </row>
    <row r="432" spans="6:6" ht="23.25" customHeight="1">
      <c r="F432" s="88"/>
    </row>
    <row r="433" spans="6:6" ht="23.25" customHeight="1">
      <c r="F433" s="88"/>
    </row>
    <row r="434" spans="6:6" ht="23.25" customHeight="1">
      <c r="F434" s="88"/>
    </row>
    <row r="435" spans="6:6" ht="23.25" customHeight="1">
      <c r="F435" s="88"/>
    </row>
    <row r="436" spans="6:6" ht="23.25" customHeight="1">
      <c r="F436" s="88"/>
    </row>
    <row r="437" spans="6:6" ht="23.25" customHeight="1">
      <c r="F437" s="88"/>
    </row>
    <row r="438" spans="6:6" ht="23.25" customHeight="1">
      <c r="F438" s="88"/>
    </row>
    <row r="439" spans="6:6" ht="23.25" customHeight="1">
      <c r="F439" s="88"/>
    </row>
    <row r="440" spans="6:6" ht="23.25" customHeight="1">
      <c r="F440" s="88"/>
    </row>
    <row r="441" spans="6:6" ht="23.25" customHeight="1">
      <c r="F441" s="88"/>
    </row>
    <row r="442" spans="6:6" ht="23.25" customHeight="1">
      <c r="F442" s="88"/>
    </row>
    <row r="443" spans="6:6" ht="23.25" customHeight="1">
      <c r="F443" s="88"/>
    </row>
    <row r="444" spans="6:6" ht="23.25" customHeight="1">
      <c r="F444" s="88"/>
    </row>
    <row r="445" spans="6:6" ht="23.25" customHeight="1">
      <c r="F445" s="88"/>
    </row>
    <row r="446" spans="6:6" ht="23.25" customHeight="1">
      <c r="F446" s="88"/>
    </row>
    <row r="447" spans="6:6" ht="23.25" customHeight="1">
      <c r="F447" s="88"/>
    </row>
    <row r="448" spans="6:6" ht="23.25" customHeight="1">
      <c r="F448" s="88"/>
    </row>
    <row r="449" spans="6:6" ht="23.25" customHeight="1">
      <c r="F449" s="88"/>
    </row>
    <row r="450" spans="6:6" ht="23.25" customHeight="1">
      <c r="F450" s="88"/>
    </row>
    <row r="451" spans="6:6" ht="23.25" customHeight="1">
      <c r="F451" s="88"/>
    </row>
    <row r="452" spans="6:6" ht="23.25" customHeight="1">
      <c r="F452" s="88"/>
    </row>
    <row r="453" spans="6:6" ht="23.25" customHeight="1">
      <c r="F453" s="88"/>
    </row>
    <row r="454" spans="6:6" ht="23.25" customHeight="1">
      <c r="F454" s="88"/>
    </row>
    <row r="455" spans="6:6" ht="23.25" customHeight="1">
      <c r="F455" s="88"/>
    </row>
    <row r="456" spans="6:6" ht="23.25" customHeight="1">
      <c r="F456" s="88"/>
    </row>
    <row r="457" spans="6:6" ht="23.25" customHeight="1">
      <c r="F457" s="88"/>
    </row>
    <row r="458" spans="6:6" ht="23.25" customHeight="1">
      <c r="F458" s="88"/>
    </row>
    <row r="459" spans="6:6" ht="23.25" customHeight="1">
      <c r="F459" s="88"/>
    </row>
    <row r="460" spans="6:6" ht="23.25" customHeight="1">
      <c r="F460" s="88"/>
    </row>
    <row r="461" spans="6:6" ht="23.25" customHeight="1">
      <c r="F461" s="88"/>
    </row>
    <row r="462" spans="6:6" ht="23.25" customHeight="1">
      <c r="F462" s="88"/>
    </row>
    <row r="463" spans="6:6" ht="23.25" customHeight="1">
      <c r="F463" s="88"/>
    </row>
    <row r="464" spans="6:6" ht="23.25" customHeight="1">
      <c r="F464" s="88"/>
    </row>
    <row r="465" spans="6:6" ht="23.25" customHeight="1">
      <c r="F465" s="88"/>
    </row>
    <row r="466" spans="6:6" ht="23.25" customHeight="1">
      <c r="F466" s="88"/>
    </row>
    <row r="467" spans="6:6" ht="23.25" customHeight="1">
      <c r="F467" s="88"/>
    </row>
    <row r="468" spans="6:6" ht="23.25" customHeight="1">
      <c r="F468" s="88"/>
    </row>
    <row r="469" spans="6:6" ht="23.25" customHeight="1">
      <c r="F469" s="88"/>
    </row>
    <row r="470" spans="6:6" ht="23.25" customHeight="1">
      <c r="F470" s="88"/>
    </row>
    <row r="471" spans="6:6" ht="23.25" customHeight="1">
      <c r="F471" s="88"/>
    </row>
    <row r="472" spans="6:6" ht="23.25" customHeight="1">
      <c r="F472" s="88"/>
    </row>
    <row r="473" spans="6:6" ht="23.25" customHeight="1">
      <c r="F473" s="88"/>
    </row>
    <row r="474" spans="6:6" ht="23.25" customHeight="1">
      <c r="F474" s="88"/>
    </row>
    <row r="475" spans="6:6" ht="23.25" customHeight="1">
      <c r="F475" s="88"/>
    </row>
    <row r="476" spans="6:6" ht="23.25" customHeight="1">
      <c r="F476" s="88"/>
    </row>
    <row r="477" spans="6:6" ht="23.25" customHeight="1">
      <c r="F477" s="88"/>
    </row>
    <row r="478" spans="6:6" ht="23.25" customHeight="1">
      <c r="F478" s="88"/>
    </row>
    <row r="479" spans="6:6" ht="23.25" customHeight="1">
      <c r="F479" s="88"/>
    </row>
    <row r="480" spans="6:6" ht="23.25" customHeight="1">
      <c r="F480" s="88"/>
    </row>
    <row r="481" spans="6:6" ht="23.25" customHeight="1">
      <c r="F481" s="88"/>
    </row>
    <row r="482" spans="6:6" ht="23.25" customHeight="1">
      <c r="F482" s="88"/>
    </row>
    <row r="483" spans="6:6" ht="23.25" customHeight="1">
      <c r="F483" s="88"/>
    </row>
    <row r="484" spans="6:6" ht="23.25" customHeight="1">
      <c r="F484" s="88"/>
    </row>
    <row r="485" spans="6:6" ht="23.25" customHeight="1">
      <c r="F485" s="88"/>
    </row>
    <row r="486" spans="6:6" ht="23.25" customHeight="1">
      <c r="F486" s="88"/>
    </row>
    <row r="487" spans="6:6" ht="23.25" customHeight="1">
      <c r="F487" s="88"/>
    </row>
    <row r="488" spans="6:6" ht="23.25" customHeight="1">
      <c r="F488" s="88"/>
    </row>
    <row r="489" spans="6:6" ht="23.25" customHeight="1">
      <c r="F489" s="88"/>
    </row>
    <row r="490" spans="6:6" ht="23.25" customHeight="1">
      <c r="F490" s="88"/>
    </row>
    <row r="491" spans="6:6" ht="23.25" customHeight="1">
      <c r="F491" s="88"/>
    </row>
    <row r="492" spans="6:6" ht="23.25" customHeight="1">
      <c r="F492" s="88"/>
    </row>
    <row r="493" spans="6:6" ht="23.25" customHeight="1">
      <c r="F493" s="88"/>
    </row>
    <row r="494" spans="6:6" ht="23.25" customHeight="1">
      <c r="F494" s="88"/>
    </row>
    <row r="495" spans="6:6" ht="23.25" customHeight="1">
      <c r="F495" s="88"/>
    </row>
    <row r="496" spans="6:6" ht="23.25" customHeight="1">
      <c r="F496" s="88"/>
    </row>
    <row r="497" spans="6:6" ht="23.25" customHeight="1">
      <c r="F497" s="88"/>
    </row>
    <row r="498" spans="6:6" ht="23.25" customHeight="1">
      <c r="F498" s="88"/>
    </row>
    <row r="499" spans="6:6" ht="23.25" customHeight="1">
      <c r="F499" s="88"/>
    </row>
    <row r="500" spans="6:6" ht="23.25" customHeight="1">
      <c r="F500" s="88"/>
    </row>
    <row r="501" spans="6:6" ht="23.25" customHeight="1">
      <c r="F501" s="88"/>
    </row>
    <row r="502" spans="6:6" ht="23.25" customHeight="1">
      <c r="F502" s="88"/>
    </row>
    <row r="503" spans="6:6" ht="23.25" customHeight="1">
      <c r="F503" s="88"/>
    </row>
    <row r="504" spans="6:6" ht="23.25" customHeight="1">
      <c r="F504" s="88"/>
    </row>
    <row r="505" spans="6:6" ht="23.25" customHeight="1">
      <c r="F505" s="88"/>
    </row>
    <row r="506" spans="6:6" ht="23.25" customHeight="1">
      <c r="F506" s="88"/>
    </row>
    <row r="507" spans="6:6" ht="23.25" customHeight="1">
      <c r="F507" s="88"/>
    </row>
    <row r="508" spans="6:6" ht="23.25" customHeight="1">
      <c r="F508" s="88"/>
    </row>
    <row r="509" spans="6:6" ht="23.25" customHeight="1">
      <c r="F509" s="88"/>
    </row>
    <row r="510" spans="6:6" ht="23.25" customHeight="1">
      <c r="F510" s="88"/>
    </row>
    <row r="511" spans="6:6" ht="23.25" customHeight="1">
      <c r="F511" s="88"/>
    </row>
    <row r="512" spans="6:6" ht="23.25" customHeight="1">
      <c r="F512" s="88"/>
    </row>
    <row r="513" spans="6:6" ht="23.25" customHeight="1">
      <c r="F513" s="88"/>
    </row>
    <row r="514" spans="6:6" ht="23.25" customHeight="1">
      <c r="F514" s="88"/>
    </row>
    <row r="515" spans="6:6" ht="23.25" customHeight="1">
      <c r="F515" s="88"/>
    </row>
    <row r="516" spans="6:6" ht="23.25" customHeight="1">
      <c r="F516" s="88"/>
    </row>
    <row r="517" spans="6:6" ht="23.25" customHeight="1">
      <c r="F517" s="88"/>
    </row>
    <row r="518" spans="6:6" ht="23.25" customHeight="1">
      <c r="F518" s="88"/>
    </row>
    <row r="519" spans="6:6" ht="23.25" customHeight="1">
      <c r="F519" s="88"/>
    </row>
    <row r="520" spans="6:6" ht="23.25" customHeight="1">
      <c r="F520" s="88"/>
    </row>
    <row r="521" spans="6:6" ht="23.25" customHeight="1">
      <c r="F521" s="88"/>
    </row>
    <row r="522" spans="6:6" ht="23.25" customHeight="1">
      <c r="F522" s="88"/>
    </row>
    <row r="523" spans="6:6" ht="23.25" customHeight="1">
      <c r="F523" s="88"/>
    </row>
    <row r="524" spans="6:6" ht="23.25" customHeight="1">
      <c r="F524" s="88"/>
    </row>
    <row r="525" spans="6:6" ht="23.25" customHeight="1">
      <c r="F525" s="88"/>
    </row>
    <row r="526" spans="6:6" ht="23.25" customHeight="1">
      <c r="F526" s="88"/>
    </row>
    <row r="527" spans="6:6" ht="23.25" customHeight="1">
      <c r="F527" s="88"/>
    </row>
    <row r="528" spans="6:6" ht="23.25" customHeight="1">
      <c r="F528" s="88"/>
    </row>
    <row r="529" spans="6:6" ht="23.25" customHeight="1">
      <c r="F529" s="88"/>
    </row>
    <row r="530" spans="6:6" ht="23.25" customHeight="1">
      <c r="F530" s="88"/>
    </row>
    <row r="531" spans="6:6" ht="23.25" customHeight="1">
      <c r="F531" s="88"/>
    </row>
    <row r="532" spans="6:6" ht="23.25" customHeight="1">
      <c r="F532" s="88"/>
    </row>
    <row r="533" spans="6:6" ht="23.25" customHeight="1">
      <c r="F533" s="88"/>
    </row>
    <row r="534" spans="6:6" ht="23.25" customHeight="1">
      <c r="F534" s="88"/>
    </row>
    <row r="535" spans="6:6" ht="23.25" customHeight="1">
      <c r="F535" s="88"/>
    </row>
    <row r="536" spans="6:6" ht="23.25" customHeight="1">
      <c r="F536" s="88"/>
    </row>
    <row r="537" spans="6:6" ht="23.25" customHeight="1">
      <c r="F537" s="88"/>
    </row>
    <row r="538" spans="6:6" ht="23.25" customHeight="1">
      <c r="F538" s="88"/>
    </row>
    <row r="539" spans="6:6" ht="23.25" customHeight="1">
      <c r="F539" s="88"/>
    </row>
    <row r="540" spans="6:6" ht="23.25" customHeight="1">
      <c r="F540" s="88"/>
    </row>
    <row r="541" spans="6:6" ht="23.25" customHeight="1">
      <c r="F541" s="88"/>
    </row>
    <row r="542" spans="6:6" ht="23.25" customHeight="1">
      <c r="F542" s="88"/>
    </row>
    <row r="543" spans="6:6" ht="23.25" customHeight="1">
      <c r="F543" s="88"/>
    </row>
    <row r="544" spans="6:6" ht="23.25" customHeight="1">
      <c r="F544" s="88"/>
    </row>
    <row r="545" spans="6:6" ht="23.25" customHeight="1">
      <c r="F545" s="88"/>
    </row>
    <row r="546" spans="6:6" ht="23.25" customHeight="1">
      <c r="F546" s="88"/>
    </row>
    <row r="547" spans="6:6" ht="23.25" customHeight="1">
      <c r="F547" s="88"/>
    </row>
    <row r="548" spans="6:6" ht="23.25" customHeight="1">
      <c r="F548" s="88"/>
    </row>
    <row r="549" spans="6:6" ht="23.25" customHeight="1">
      <c r="F549" s="88"/>
    </row>
    <row r="550" spans="6:6" ht="23.25" customHeight="1">
      <c r="F550" s="88"/>
    </row>
    <row r="551" spans="6:6" ht="23.25" customHeight="1">
      <c r="F551" s="88"/>
    </row>
    <row r="552" spans="6:6" ht="23.25" customHeight="1">
      <c r="F552" s="88"/>
    </row>
    <row r="553" spans="6:6" ht="23.25" customHeight="1">
      <c r="F553" s="88"/>
    </row>
    <row r="554" spans="6:6" ht="23.25" customHeight="1">
      <c r="F554" s="88"/>
    </row>
    <row r="555" spans="6:6" ht="23.25" customHeight="1">
      <c r="F555" s="88"/>
    </row>
    <row r="556" spans="6:6" ht="23.25" customHeight="1">
      <c r="F556" s="88"/>
    </row>
    <row r="557" spans="6:6" ht="23.25" customHeight="1">
      <c r="F557" s="88"/>
    </row>
    <row r="558" spans="6:6" ht="23.25" customHeight="1">
      <c r="F558" s="88"/>
    </row>
    <row r="559" spans="6:6" ht="23.25" customHeight="1">
      <c r="F559" s="88"/>
    </row>
    <row r="560" spans="6:6" ht="23.25" customHeight="1">
      <c r="F560" s="88"/>
    </row>
    <row r="561" spans="6:6" ht="23.25" customHeight="1">
      <c r="F561" s="88"/>
    </row>
    <row r="562" spans="6:6" ht="23.25" customHeight="1">
      <c r="F562" s="88"/>
    </row>
    <row r="563" spans="6:6" ht="23.25" customHeight="1">
      <c r="F563" s="88"/>
    </row>
    <row r="564" spans="6:6" ht="23.25" customHeight="1">
      <c r="F564" s="88"/>
    </row>
    <row r="565" spans="6:6" ht="23.25" customHeight="1">
      <c r="F565" s="88"/>
    </row>
    <row r="566" spans="6:6" ht="23.25" customHeight="1">
      <c r="F566" s="88"/>
    </row>
    <row r="567" spans="6:6" ht="23.25" customHeight="1">
      <c r="F567" s="88"/>
    </row>
    <row r="568" spans="6:6" ht="23.25" customHeight="1">
      <c r="F568" s="88"/>
    </row>
    <row r="569" spans="6:6" ht="23.25" customHeight="1">
      <c r="F569" s="88"/>
    </row>
    <row r="570" spans="6:6" ht="23.25" customHeight="1">
      <c r="F570" s="88"/>
    </row>
    <row r="571" spans="6:6" ht="23.25" customHeight="1">
      <c r="F571" s="88"/>
    </row>
    <row r="572" spans="6:6" ht="23.25" customHeight="1">
      <c r="F572" s="88"/>
    </row>
    <row r="573" spans="6:6" ht="23.25" customHeight="1">
      <c r="F573" s="88"/>
    </row>
    <row r="574" spans="6:6" ht="23.25" customHeight="1">
      <c r="F574" s="88"/>
    </row>
    <row r="575" spans="6:6" ht="23.25" customHeight="1">
      <c r="F575" s="88"/>
    </row>
    <row r="576" spans="6:6" ht="23.25" customHeight="1">
      <c r="F576" s="88"/>
    </row>
    <row r="577" spans="6:6" ht="23.25" customHeight="1">
      <c r="F577" s="88"/>
    </row>
    <row r="578" spans="6:6" ht="23.25" customHeight="1">
      <c r="F578" s="88"/>
    </row>
    <row r="579" spans="6:6" ht="23.25" customHeight="1">
      <c r="F579" s="88"/>
    </row>
    <row r="580" spans="6:6" ht="23.25" customHeight="1">
      <c r="F580" s="88"/>
    </row>
    <row r="581" spans="6:6" ht="23.25" customHeight="1">
      <c r="F581" s="88"/>
    </row>
    <row r="582" spans="6:6" ht="23.25" customHeight="1">
      <c r="F582" s="88"/>
    </row>
    <row r="583" spans="6:6" ht="23.25" customHeight="1">
      <c r="F583" s="88"/>
    </row>
    <row r="584" spans="6:6" ht="23.25" customHeight="1">
      <c r="F584" s="88"/>
    </row>
    <row r="585" spans="6:6" ht="23.25" customHeight="1">
      <c r="F585" s="88"/>
    </row>
    <row r="586" spans="6:6" ht="23.25" customHeight="1">
      <c r="F586" s="88"/>
    </row>
    <row r="587" spans="6:6" ht="23.25" customHeight="1">
      <c r="F587" s="88"/>
    </row>
    <row r="588" spans="6:6" ht="23.25" customHeight="1">
      <c r="F588" s="88"/>
    </row>
    <row r="589" spans="6:6" ht="23.25" customHeight="1">
      <c r="F589" s="88"/>
    </row>
    <row r="590" spans="6:6" ht="23.25" customHeight="1">
      <c r="F590" s="88"/>
    </row>
    <row r="591" spans="6:6" ht="23.25" customHeight="1">
      <c r="F591" s="88"/>
    </row>
    <row r="592" spans="6:6" ht="23.25" customHeight="1">
      <c r="F592" s="88"/>
    </row>
    <row r="593" spans="6:6" ht="23.25" customHeight="1">
      <c r="F593" s="88"/>
    </row>
    <row r="594" spans="6:6" ht="23.25" customHeight="1">
      <c r="F594" s="88"/>
    </row>
    <row r="595" spans="6:6" ht="23.25" customHeight="1">
      <c r="F595" s="88"/>
    </row>
    <row r="596" spans="6:6" ht="23.25" customHeight="1">
      <c r="F596" s="88"/>
    </row>
    <row r="597" spans="6:6" ht="23.25" customHeight="1">
      <c r="F597" s="88"/>
    </row>
    <row r="598" spans="6:6" ht="23.25" customHeight="1">
      <c r="F598" s="88"/>
    </row>
    <row r="599" spans="6:6" ht="23.25" customHeight="1">
      <c r="F599" s="88"/>
    </row>
    <row r="600" spans="6:6" ht="23.25" customHeight="1">
      <c r="F600" s="88"/>
    </row>
    <row r="601" spans="6:6" ht="23.25" customHeight="1">
      <c r="F601" s="88"/>
    </row>
    <row r="602" spans="6:6" ht="23.25" customHeight="1">
      <c r="F602" s="88"/>
    </row>
    <row r="603" spans="6:6" ht="23.25" customHeight="1">
      <c r="F603" s="88"/>
    </row>
    <row r="604" spans="6:6" ht="23.25" customHeight="1">
      <c r="F604" s="88"/>
    </row>
    <row r="605" spans="6:6" ht="23.25" customHeight="1">
      <c r="F605" s="88"/>
    </row>
    <row r="606" spans="6:6" ht="23.25" customHeight="1">
      <c r="F606" s="88"/>
    </row>
    <row r="607" spans="6:6" ht="23.25" customHeight="1">
      <c r="F607" s="88"/>
    </row>
    <row r="608" spans="6:6" ht="23.25" customHeight="1">
      <c r="F608" s="88"/>
    </row>
    <row r="609" spans="6:6" ht="23.25" customHeight="1">
      <c r="F609" s="88"/>
    </row>
    <row r="610" spans="6:6" ht="23.25" customHeight="1">
      <c r="F610" s="88"/>
    </row>
    <row r="611" spans="6:6" ht="23.25" customHeight="1">
      <c r="F611" s="88"/>
    </row>
    <row r="612" spans="6:6" ht="23.25" customHeight="1">
      <c r="F612" s="88"/>
    </row>
    <row r="613" spans="6:6" ht="23.25" customHeight="1">
      <c r="F613" s="88"/>
    </row>
    <row r="614" spans="6:6" ht="23.25" customHeight="1">
      <c r="F614" s="88"/>
    </row>
    <row r="615" spans="6:6" ht="23.25" customHeight="1">
      <c r="F615" s="88"/>
    </row>
    <row r="616" spans="6:6" ht="23.25" customHeight="1">
      <c r="F616" s="88"/>
    </row>
    <row r="617" spans="6:6" ht="23.25" customHeight="1">
      <c r="F617" s="88"/>
    </row>
    <row r="618" spans="6:6" ht="23.25" customHeight="1">
      <c r="F618" s="88"/>
    </row>
    <row r="619" spans="6:6" ht="23.25" customHeight="1">
      <c r="F619" s="88"/>
    </row>
    <row r="620" spans="6:6" ht="23.25" customHeight="1">
      <c r="F620" s="88"/>
    </row>
    <row r="621" spans="6:6" ht="23.25" customHeight="1">
      <c r="F621" s="88"/>
    </row>
    <row r="622" spans="6:6" ht="23.25" customHeight="1">
      <c r="F622" s="88"/>
    </row>
    <row r="623" spans="6:6" ht="23.25" customHeight="1">
      <c r="F623" s="88"/>
    </row>
    <row r="624" spans="6:6" ht="23.25" customHeight="1">
      <c r="F624" s="88"/>
    </row>
    <row r="625" spans="6:6" ht="23.25" customHeight="1">
      <c r="F625" s="88"/>
    </row>
    <row r="626" spans="6:6" ht="23.25" customHeight="1">
      <c r="F626" s="88"/>
    </row>
    <row r="627" spans="6:6" ht="23.25" customHeight="1">
      <c r="F627" s="88"/>
    </row>
    <row r="628" spans="6:6" ht="23.25" customHeight="1">
      <c r="F628" s="88"/>
    </row>
    <row r="629" spans="6:6" ht="23.25" customHeight="1">
      <c r="F629" s="88"/>
    </row>
    <row r="630" spans="6:6" ht="23.25" customHeight="1">
      <c r="F630" s="88"/>
    </row>
    <row r="631" spans="6:6" ht="23.25" customHeight="1">
      <c r="F631" s="88"/>
    </row>
    <row r="632" spans="6:6" ht="23.25" customHeight="1">
      <c r="F632" s="88"/>
    </row>
    <row r="633" spans="6:6" ht="23.25" customHeight="1">
      <c r="F633" s="88"/>
    </row>
    <row r="634" spans="6:6" ht="23.25" customHeight="1">
      <c r="F634" s="88"/>
    </row>
    <row r="635" spans="6:6" ht="23.25" customHeight="1">
      <c r="F635" s="88"/>
    </row>
    <row r="636" spans="6:6" ht="23.25" customHeight="1">
      <c r="F636" s="88"/>
    </row>
    <row r="637" spans="6:6" ht="23.25" customHeight="1">
      <c r="F637" s="88"/>
    </row>
    <row r="638" spans="6:6" ht="23.25" customHeight="1">
      <c r="F638" s="88"/>
    </row>
    <row r="639" spans="6:6" ht="23.25" customHeight="1">
      <c r="F639" s="88"/>
    </row>
    <row r="640" spans="6:6" ht="23.25" customHeight="1">
      <c r="F640" s="88"/>
    </row>
    <row r="641" spans="6:6" ht="23.25" customHeight="1">
      <c r="F641" s="88"/>
    </row>
    <row r="642" spans="6:6" ht="23.25" customHeight="1">
      <c r="F642" s="88"/>
    </row>
    <row r="643" spans="6:6" ht="23.25" customHeight="1">
      <c r="F643" s="88"/>
    </row>
    <row r="644" spans="6:6" ht="23.25" customHeight="1">
      <c r="F644" s="88"/>
    </row>
    <row r="645" spans="6:6" ht="23.25" customHeight="1">
      <c r="F645" s="88"/>
    </row>
    <row r="646" spans="6:6" ht="23.25" customHeight="1">
      <c r="F646" s="88"/>
    </row>
    <row r="647" spans="6:6" ht="23.25" customHeight="1">
      <c r="F647" s="88"/>
    </row>
    <row r="648" spans="6:6" ht="23.25" customHeight="1">
      <c r="F648" s="88"/>
    </row>
    <row r="649" spans="6:6" ht="23.25" customHeight="1">
      <c r="F649" s="88"/>
    </row>
    <row r="650" spans="6:6" ht="23.25" customHeight="1">
      <c r="F650" s="88"/>
    </row>
    <row r="651" spans="6:6" ht="23.25" customHeight="1">
      <c r="F651" s="88"/>
    </row>
    <row r="652" spans="6:6" ht="23.25" customHeight="1">
      <c r="F652" s="88"/>
    </row>
    <row r="653" spans="6:6" ht="23.25" customHeight="1">
      <c r="F653" s="88"/>
    </row>
    <row r="654" spans="6:6" ht="23.25" customHeight="1">
      <c r="F654" s="88"/>
    </row>
    <row r="655" spans="6:6" ht="23.25" customHeight="1">
      <c r="F655" s="88"/>
    </row>
    <row r="656" spans="6:6" ht="23.25" customHeight="1">
      <c r="F656" s="88"/>
    </row>
    <row r="657" spans="6:6" ht="23.25" customHeight="1">
      <c r="F657" s="88"/>
    </row>
    <row r="658" spans="6:6" ht="23.25" customHeight="1">
      <c r="F658" s="88"/>
    </row>
    <row r="659" spans="6:6" ht="23.25" customHeight="1">
      <c r="F659" s="88"/>
    </row>
    <row r="660" spans="6:6" ht="23.25" customHeight="1">
      <c r="F660" s="88"/>
    </row>
    <row r="661" spans="6:6" ht="23.25" customHeight="1">
      <c r="F661" s="88"/>
    </row>
    <row r="662" spans="6:6" ht="23.25" customHeight="1">
      <c r="F662" s="88"/>
    </row>
    <row r="663" spans="6:6" ht="23.25" customHeight="1">
      <c r="F663" s="88"/>
    </row>
    <row r="664" spans="6:6" ht="23.25" customHeight="1">
      <c r="F664" s="88"/>
    </row>
    <row r="665" spans="6:6" ht="23.25" customHeight="1">
      <c r="F665" s="88"/>
    </row>
    <row r="666" spans="6:6" ht="23.25" customHeight="1">
      <c r="F666" s="88"/>
    </row>
    <row r="667" spans="6:6" ht="23.25" customHeight="1">
      <c r="F667" s="88"/>
    </row>
    <row r="668" spans="6:6" ht="23.25" customHeight="1">
      <c r="F668" s="88"/>
    </row>
    <row r="669" spans="6:6" ht="23.25" customHeight="1">
      <c r="F669" s="88"/>
    </row>
    <row r="670" spans="6:6" ht="23.25" customHeight="1">
      <c r="F670" s="88"/>
    </row>
    <row r="671" spans="6:6" ht="23.25" customHeight="1">
      <c r="F671" s="88"/>
    </row>
    <row r="672" spans="6:6" ht="23.25" customHeight="1">
      <c r="F672" s="88"/>
    </row>
    <row r="673" spans="6:6" ht="23.25" customHeight="1">
      <c r="F673" s="88"/>
    </row>
    <row r="674" spans="6:6" ht="23.25" customHeight="1">
      <c r="F674" s="88"/>
    </row>
    <row r="675" spans="6:6" ht="23.25" customHeight="1">
      <c r="F675" s="88"/>
    </row>
    <row r="676" spans="6:6" ht="23.25" customHeight="1">
      <c r="F676" s="88"/>
    </row>
    <row r="677" spans="6:6" ht="23.25" customHeight="1">
      <c r="F677" s="88"/>
    </row>
    <row r="678" spans="6:6" ht="23.25" customHeight="1">
      <c r="F678" s="88"/>
    </row>
    <row r="679" spans="6:6" ht="23.25" customHeight="1">
      <c r="F679" s="88"/>
    </row>
    <row r="680" spans="6:6" ht="23.25" customHeight="1">
      <c r="F680" s="88"/>
    </row>
    <row r="681" spans="6:6" ht="23.25" customHeight="1">
      <c r="F681" s="88"/>
    </row>
    <row r="682" spans="6:6" ht="23.25" customHeight="1">
      <c r="F682" s="88"/>
    </row>
    <row r="683" spans="6:6" ht="23.25" customHeight="1">
      <c r="F683" s="88"/>
    </row>
    <row r="684" spans="6:6" ht="23.25" customHeight="1">
      <c r="F684" s="88"/>
    </row>
    <row r="685" spans="6:6" ht="23.25" customHeight="1">
      <c r="F685" s="88"/>
    </row>
    <row r="686" spans="6:6" ht="23.25" customHeight="1">
      <c r="F686" s="88"/>
    </row>
    <row r="687" spans="6:6" ht="23.25" customHeight="1">
      <c r="F687" s="88"/>
    </row>
    <row r="688" spans="6:6" ht="23.25" customHeight="1">
      <c r="F688" s="88"/>
    </row>
    <row r="689" spans="6:6" ht="23.25" customHeight="1">
      <c r="F689" s="88"/>
    </row>
    <row r="690" spans="6:6" ht="23.25" customHeight="1">
      <c r="F690" s="88"/>
    </row>
    <row r="691" spans="6:6" ht="23.25" customHeight="1">
      <c r="F691" s="88"/>
    </row>
    <row r="692" spans="6:6" ht="23.25" customHeight="1">
      <c r="F692" s="88"/>
    </row>
    <row r="693" spans="6:6" ht="23.25" customHeight="1">
      <c r="F693" s="88"/>
    </row>
    <row r="694" spans="6:6" ht="23.25" customHeight="1">
      <c r="F694" s="88"/>
    </row>
    <row r="695" spans="6:6" ht="23.25" customHeight="1">
      <c r="F695" s="88"/>
    </row>
    <row r="696" spans="6:6" ht="23.25" customHeight="1">
      <c r="F696" s="88"/>
    </row>
    <row r="697" spans="6:6" ht="23.25" customHeight="1">
      <c r="F697" s="88"/>
    </row>
    <row r="698" spans="6:6" ht="23.25" customHeight="1">
      <c r="F698" s="88"/>
    </row>
    <row r="699" spans="6:6" ht="23.25" customHeight="1">
      <c r="F699" s="88"/>
    </row>
    <row r="700" spans="6:6" ht="23.25" customHeight="1">
      <c r="F700" s="88"/>
    </row>
    <row r="701" spans="6:6" ht="23.25" customHeight="1">
      <c r="F701" s="88"/>
    </row>
    <row r="702" spans="6:6" ht="23.25" customHeight="1">
      <c r="F702" s="88"/>
    </row>
    <row r="703" spans="6:6" ht="23.25" customHeight="1">
      <c r="F703" s="88"/>
    </row>
    <row r="704" spans="6:6" ht="23.25" customHeight="1">
      <c r="F704" s="88"/>
    </row>
    <row r="705" spans="6:6" ht="23.25" customHeight="1">
      <c r="F705" s="88"/>
    </row>
    <row r="706" spans="6:6" ht="23.25" customHeight="1">
      <c r="F706" s="88"/>
    </row>
    <row r="707" spans="6:6" ht="23.25" customHeight="1">
      <c r="F707" s="88"/>
    </row>
    <row r="708" spans="6:6" ht="23.25" customHeight="1">
      <c r="F708" s="88"/>
    </row>
    <row r="709" spans="6:6" ht="23.25" customHeight="1">
      <c r="F709" s="88"/>
    </row>
    <row r="710" spans="6:6" ht="23.25" customHeight="1">
      <c r="F710" s="88"/>
    </row>
    <row r="711" spans="6:6" ht="23.25" customHeight="1">
      <c r="F711" s="88"/>
    </row>
    <row r="712" spans="6:6" ht="23.25" customHeight="1">
      <c r="F712" s="88"/>
    </row>
    <row r="713" spans="6:6" ht="23.25" customHeight="1">
      <c r="F713" s="88"/>
    </row>
    <row r="714" spans="6:6" ht="23.25" customHeight="1">
      <c r="F714" s="88"/>
    </row>
    <row r="715" spans="6:6" ht="23.25" customHeight="1">
      <c r="F715" s="88"/>
    </row>
    <row r="716" spans="6:6" ht="23.25" customHeight="1">
      <c r="F716" s="88"/>
    </row>
    <row r="717" spans="6:6" ht="23.25" customHeight="1">
      <c r="F717" s="88"/>
    </row>
    <row r="718" spans="6:6" ht="23.25" customHeight="1">
      <c r="F718" s="88"/>
    </row>
    <row r="719" spans="6:6" ht="23.25" customHeight="1">
      <c r="F719" s="88"/>
    </row>
    <row r="720" spans="6:6" ht="23.25" customHeight="1">
      <c r="F720" s="88"/>
    </row>
    <row r="721" spans="6:6" ht="23.25" customHeight="1">
      <c r="F721" s="88"/>
    </row>
    <row r="722" spans="6:6" ht="23.25" customHeight="1">
      <c r="F722" s="88"/>
    </row>
    <row r="723" spans="6:6" ht="23.25" customHeight="1">
      <c r="F723" s="88"/>
    </row>
    <row r="724" spans="6:6" ht="23.25" customHeight="1">
      <c r="F724" s="88"/>
    </row>
    <row r="725" spans="6:6" ht="23.25" customHeight="1">
      <c r="F725" s="88"/>
    </row>
    <row r="726" spans="6:6" ht="23.25" customHeight="1">
      <c r="F726" s="88"/>
    </row>
    <row r="727" spans="6:6" ht="23.25" customHeight="1">
      <c r="F727" s="88"/>
    </row>
    <row r="728" spans="6:6" ht="23.25" customHeight="1">
      <c r="F728" s="88"/>
    </row>
    <row r="729" spans="6:6" ht="23.25" customHeight="1">
      <c r="F729" s="88"/>
    </row>
    <row r="730" spans="6:6" ht="23.25" customHeight="1">
      <c r="F730" s="88"/>
    </row>
    <row r="731" spans="6:6" ht="23.25" customHeight="1">
      <c r="F731" s="88"/>
    </row>
    <row r="732" spans="6:6" ht="23.25" customHeight="1">
      <c r="F732" s="88"/>
    </row>
    <row r="733" spans="6:6" ht="23.25" customHeight="1">
      <c r="F733" s="88"/>
    </row>
    <row r="734" spans="6:6" ht="23.25" customHeight="1">
      <c r="F734" s="88"/>
    </row>
    <row r="735" spans="6:6" ht="23.25" customHeight="1">
      <c r="F735" s="88"/>
    </row>
    <row r="736" spans="6:6" ht="23.25" customHeight="1">
      <c r="F736" s="88"/>
    </row>
    <row r="737" spans="6:6" ht="23.25" customHeight="1">
      <c r="F737" s="88"/>
    </row>
    <row r="738" spans="6:6" ht="23.25" customHeight="1">
      <c r="F738" s="88"/>
    </row>
    <row r="739" spans="6:6" ht="23.25" customHeight="1">
      <c r="F739" s="88"/>
    </row>
    <row r="740" spans="6:6" ht="23.25" customHeight="1">
      <c r="F740" s="88"/>
    </row>
    <row r="741" spans="6:6" ht="23.25" customHeight="1">
      <c r="F741" s="88"/>
    </row>
    <row r="742" spans="6:6" ht="23.25" customHeight="1">
      <c r="F742" s="88"/>
    </row>
    <row r="743" spans="6:6" ht="23.25" customHeight="1">
      <c r="F743" s="88"/>
    </row>
    <row r="744" spans="6:6" ht="23.25" customHeight="1">
      <c r="F744" s="88"/>
    </row>
    <row r="745" spans="6:6" ht="23.25" customHeight="1">
      <c r="F745" s="88"/>
    </row>
    <row r="746" spans="6:6" ht="23.25" customHeight="1">
      <c r="F746" s="88"/>
    </row>
    <row r="747" spans="6:6" ht="23.25" customHeight="1">
      <c r="F747" s="88"/>
    </row>
    <row r="748" spans="6:6" ht="23.25" customHeight="1">
      <c r="F748" s="88"/>
    </row>
    <row r="749" spans="6:6" ht="23.25" customHeight="1">
      <c r="F749" s="88"/>
    </row>
    <row r="750" spans="6:6" ht="23.25" customHeight="1">
      <c r="F750" s="88"/>
    </row>
    <row r="751" spans="6:6" ht="23.25" customHeight="1">
      <c r="F751" s="88"/>
    </row>
    <row r="752" spans="6:6" ht="23.25" customHeight="1">
      <c r="F752" s="88"/>
    </row>
    <row r="753" spans="6:6" ht="23.25" customHeight="1">
      <c r="F753" s="88"/>
    </row>
    <row r="754" spans="6:6" ht="23.25" customHeight="1">
      <c r="F754" s="88"/>
    </row>
    <row r="755" spans="6:6" ht="23.25" customHeight="1">
      <c r="F755" s="88"/>
    </row>
    <row r="756" spans="6:6" ht="23.25" customHeight="1">
      <c r="F756" s="88"/>
    </row>
    <row r="757" spans="6:6" ht="23.25" customHeight="1">
      <c r="F757" s="88"/>
    </row>
    <row r="758" spans="6:6" ht="23.25" customHeight="1">
      <c r="F758" s="88"/>
    </row>
    <row r="759" spans="6:6" ht="23.25" customHeight="1">
      <c r="F759" s="88"/>
    </row>
    <row r="760" spans="6:6" ht="23.25" customHeight="1">
      <c r="F760" s="88"/>
    </row>
    <row r="761" spans="6:6" ht="23.25" customHeight="1">
      <c r="F761" s="88"/>
    </row>
    <row r="762" spans="6:6" ht="23.25" customHeight="1">
      <c r="F762" s="88"/>
    </row>
    <row r="763" spans="6:6" ht="23.25" customHeight="1">
      <c r="F763" s="88"/>
    </row>
    <row r="764" spans="6:6" ht="23.25" customHeight="1">
      <c r="F764" s="88"/>
    </row>
    <row r="765" spans="6:6" ht="23.25" customHeight="1">
      <c r="F765" s="88"/>
    </row>
    <row r="766" spans="6:6" ht="23.25" customHeight="1">
      <c r="F766" s="88"/>
    </row>
    <row r="767" spans="6:6" ht="23.25" customHeight="1">
      <c r="F767" s="88"/>
    </row>
    <row r="768" spans="6:6" ht="23.25" customHeight="1">
      <c r="F768" s="88"/>
    </row>
    <row r="769" spans="6:6" ht="23.25" customHeight="1">
      <c r="F769" s="88"/>
    </row>
    <row r="770" spans="6:6" ht="23.25" customHeight="1">
      <c r="F770" s="88"/>
    </row>
    <row r="771" spans="6:6" ht="23.25" customHeight="1">
      <c r="F771" s="88"/>
    </row>
    <row r="772" spans="6:6" ht="23.25" customHeight="1">
      <c r="F772" s="88"/>
    </row>
    <row r="773" spans="6:6" ht="23.25" customHeight="1">
      <c r="F773" s="88"/>
    </row>
    <row r="774" spans="6:6" ht="23.25" customHeight="1">
      <c r="F774" s="88"/>
    </row>
    <row r="775" spans="6:6" ht="23.25" customHeight="1">
      <c r="F775" s="88"/>
    </row>
    <row r="776" spans="6:6" ht="23.25" customHeight="1">
      <c r="F776" s="88"/>
    </row>
    <row r="777" spans="6:6" ht="23.25" customHeight="1">
      <c r="F777" s="88"/>
    </row>
    <row r="778" spans="6:6" ht="23.25" customHeight="1">
      <c r="F778" s="88"/>
    </row>
    <row r="779" spans="6:6" ht="23.25" customHeight="1">
      <c r="F779" s="88"/>
    </row>
    <row r="780" spans="6:6" ht="23.25" customHeight="1">
      <c r="F780" s="88"/>
    </row>
    <row r="781" spans="6:6" ht="23.25" customHeight="1">
      <c r="F781" s="88"/>
    </row>
    <row r="782" spans="6:6" ht="23.25" customHeight="1">
      <c r="F782" s="88"/>
    </row>
    <row r="783" spans="6:6" ht="23.25" customHeight="1">
      <c r="F783" s="88"/>
    </row>
    <row r="784" spans="6:6" ht="23.25" customHeight="1">
      <c r="F784" s="88"/>
    </row>
    <row r="785" spans="6:6" ht="23.25" customHeight="1">
      <c r="F785" s="88"/>
    </row>
    <row r="786" spans="6:6" ht="23.25" customHeight="1">
      <c r="F786" s="88"/>
    </row>
    <row r="787" spans="6:6" ht="23.25" customHeight="1">
      <c r="F787" s="88"/>
    </row>
    <row r="788" spans="6:6" ht="23.25" customHeight="1">
      <c r="F788" s="88"/>
    </row>
    <row r="789" spans="6:6" ht="23.25" customHeight="1">
      <c r="F789" s="88"/>
    </row>
    <row r="790" spans="6:6" ht="23.25" customHeight="1">
      <c r="F790" s="88"/>
    </row>
    <row r="791" spans="6:6" ht="23.25" customHeight="1">
      <c r="F791" s="88"/>
    </row>
    <row r="792" spans="6:6" ht="23.25" customHeight="1">
      <c r="F792" s="88"/>
    </row>
    <row r="793" spans="6:6" ht="23.25" customHeight="1">
      <c r="F793" s="88"/>
    </row>
    <row r="794" spans="6:6" ht="23.25" customHeight="1">
      <c r="F794" s="88"/>
    </row>
    <row r="795" spans="6:6" ht="23.25" customHeight="1">
      <c r="F795" s="88"/>
    </row>
    <row r="796" spans="6:6" ht="23.25" customHeight="1">
      <c r="F796" s="88"/>
    </row>
    <row r="797" spans="6:6" ht="23.25" customHeight="1">
      <c r="F797" s="88"/>
    </row>
    <row r="798" spans="6:6" ht="23.25" customHeight="1">
      <c r="F798" s="88"/>
    </row>
    <row r="799" spans="6:6" ht="23.25" customHeight="1">
      <c r="F799" s="88"/>
    </row>
    <row r="800" spans="6:6" ht="23.25" customHeight="1">
      <c r="F800" s="88"/>
    </row>
    <row r="801" spans="6:6" ht="23.25" customHeight="1">
      <c r="F801" s="88"/>
    </row>
    <row r="802" spans="6:6" ht="23.25" customHeight="1">
      <c r="F802" s="88"/>
    </row>
    <row r="803" spans="6:6" ht="23.25" customHeight="1">
      <c r="F803" s="88"/>
    </row>
    <row r="804" spans="6:6" ht="23.25" customHeight="1">
      <c r="F804" s="88"/>
    </row>
    <row r="805" spans="6:6" ht="23.25" customHeight="1">
      <c r="F805" s="88"/>
    </row>
    <row r="806" spans="6:6" ht="23.25" customHeight="1">
      <c r="F806" s="88"/>
    </row>
    <row r="807" spans="6:6" ht="23.25" customHeight="1">
      <c r="F807" s="88"/>
    </row>
    <row r="808" spans="6:6" ht="23.25" customHeight="1">
      <c r="F808" s="88"/>
    </row>
    <row r="809" spans="6:6" ht="23.25" customHeight="1">
      <c r="F809" s="88"/>
    </row>
    <row r="810" spans="6:6" ht="23.25" customHeight="1">
      <c r="F810" s="88"/>
    </row>
    <row r="811" spans="6:6" ht="23.25" customHeight="1">
      <c r="F811" s="88"/>
    </row>
    <row r="812" spans="6:6" ht="23.25" customHeight="1">
      <c r="F812" s="88"/>
    </row>
    <row r="813" spans="6:6" ht="23.25" customHeight="1">
      <c r="F813" s="88"/>
    </row>
    <row r="814" spans="6:6" ht="23.25" customHeight="1">
      <c r="F814" s="88"/>
    </row>
    <row r="815" spans="6:6" ht="23.25" customHeight="1">
      <c r="F815" s="88"/>
    </row>
    <row r="816" spans="6:6" ht="23.25" customHeight="1">
      <c r="F816" s="88"/>
    </row>
    <row r="817" spans="6:6" ht="23.25" customHeight="1">
      <c r="F817" s="88"/>
    </row>
    <row r="818" spans="6:6" ht="23.25" customHeight="1">
      <c r="F818" s="88"/>
    </row>
    <row r="819" spans="6:6" ht="23.25" customHeight="1">
      <c r="F819" s="88"/>
    </row>
    <row r="820" spans="6:6" ht="23.25" customHeight="1">
      <c r="F820" s="88"/>
    </row>
    <row r="821" spans="6:6" ht="23.25" customHeight="1">
      <c r="F821" s="88"/>
    </row>
    <row r="822" spans="6:6" ht="23.25" customHeight="1">
      <c r="F822" s="88"/>
    </row>
    <row r="823" spans="6:6" ht="23.25" customHeight="1">
      <c r="F823" s="88"/>
    </row>
    <row r="824" spans="6:6" ht="23.25" customHeight="1">
      <c r="F824" s="88"/>
    </row>
    <row r="825" spans="6:6" ht="23.25" customHeight="1">
      <c r="F825" s="88"/>
    </row>
    <row r="826" spans="6:6" ht="23.25" customHeight="1">
      <c r="F826" s="88"/>
    </row>
    <row r="827" spans="6:6" ht="23.25" customHeight="1">
      <c r="F827" s="88"/>
    </row>
    <row r="828" spans="6:6" ht="23.25" customHeight="1">
      <c r="F828" s="88"/>
    </row>
    <row r="829" spans="6:6" ht="23.25" customHeight="1">
      <c r="F829" s="88"/>
    </row>
    <row r="830" spans="6:6" ht="23.25" customHeight="1">
      <c r="F830" s="88"/>
    </row>
    <row r="831" spans="6:6" ht="23.25" customHeight="1">
      <c r="F831" s="88"/>
    </row>
    <row r="832" spans="6:6" ht="23.25" customHeight="1">
      <c r="F832" s="88"/>
    </row>
    <row r="833" spans="6:6" ht="23.25" customHeight="1">
      <c r="F833" s="88"/>
    </row>
    <row r="834" spans="6:6" ht="23.25" customHeight="1">
      <c r="F834" s="88"/>
    </row>
    <row r="835" spans="6:6" ht="23.25" customHeight="1">
      <c r="F835" s="88"/>
    </row>
    <row r="836" spans="6:6" ht="23.25" customHeight="1">
      <c r="F836" s="88"/>
    </row>
    <row r="837" spans="6:6" ht="23.25" customHeight="1">
      <c r="F837" s="88"/>
    </row>
    <row r="838" spans="6:6" ht="23.25" customHeight="1">
      <c r="F838" s="88"/>
    </row>
    <row r="839" spans="6:6" ht="23.25" customHeight="1">
      <c r="F839" s="88"/>
    </row>
    <row r="840" spans="6:6" ht="23.25" customHeight="1">
      <c r="F840" s="88"/>
    </row>
    <row r="841" spans="6:6" ht="23.25" customHeight="1">
      <c r="F841" s="88"/>
    </row>
    <row r="842" spans="6:6" ht="23.25" customHeight="1">
      <c r="F842" s="88"/>
    </row>
    <row r="843" spans="6:6" ht="23.25" customHeight="1">
      <c r="F843" s="88"/>
    </row>
    <row r="844" spans="6:6" ht="23.25" customHeight="1">
      <c r="F844" s="88"/>
    </row>
    <row r="845" spans="6:6" ht="23.25" customHeight="1">
      <c r="F845" s="88"/>
    </row>
    <row r="846" spans="6:6" ht="23.25" customHeight="1">
      <c r="F846" s="88"/>
    </row>
    <row r="847" spans="6:6" ht="23.25" customHeight="1">
      <c r="F847" s="88"/>
    </row>
    <row r="848" spans="6:6" ht="23.25" customHeight="1">
      <c r="F848" s="88"/>
    </row>
    <row r="849" spans="6:6" ht="23.25" customHeight="1">
      <c r="F849" s="88"/>
    </row>
    <row r="850" spans="6:6" ht="23.25" customHeight="1">
      <c r="F850" s="88"/>
    </row>
    <row r="851" spans="6:6" ht="23.25" customHeight="1">
      <c r="F851" s="88"/>
    </row>
    <row r="852" spans="6:6" ht="23.25" customHeight="1">
      <c r="F852" s="88"/>
    </row>
    <row r="853" spans="6:6" ht="23.25" customHeight="1">
      <c r="F853" s="88"/>
    </row>
    <row r="854" spans="6:6" ht="23.25" customHeight="1">
      <c r="F854" s="88"/>
    </row>
    <row r="855" spans="6:6" ht="23.25" customHeight="1">
      <c r="F855" s="88"/>
    </row>
    <row r="856" spans="6:6" ht="23.25" customHeight="1">
      <c r="F856" s="88"/>
    </row>
    <row r="857" spans="6:6" ht="23.25" customHeight="1">
      <c r="F857" s="88"/>
    </row>
    <row r="858" spans="6:6" ht="23.25" customHeight="1">
      <c r="F858" s="88"/>
    </row>
    <row r="859" spans="6:6" ht="23.25" customHeight="1">
      <c r="F859" s="88"/>
    </row>
    <row r="860" spans="6:6" ht="23.25" customHeight="1">
      <c r="F860" s="88"/>
    </row>
    <row r="861" spans="6:6" ht="23.25" customHeight="1">
      <c r="F861" s="88"/>
    </row>
    <row r="862" spans="6:6" ht="23.25" customHeight="1">
      <c r="F862" s="88"/>
    </row>
    <row r="863" spans="6:6" ht="23.25" customHeight="1">
      <c r="F863" s="88"/>
    </row>
    <row r="864" spans="6:6" ht="23.25" customHeight="1">
      <c r="F864" s="88"/>
    </row>
    <row r="865" spans="6:6" ht="23.25" customHeight="1">
      <c r="F865" s="88"/>
    </row>
    <row r="866" spans="6:6" ht="23.25" customHeight="1">
      <c r="F866" s="88"/>
    </row>
    <row r="867" spans="6:6" ht="23.25" customHeight="1">
      <c r="F867" s="88"/>
    </row>
    <row r="868" spans="6:6" ht="23.25" customHeight="1">
      <c r="F868" s="88"/>
    </row>
    <row r="869" spans="6:6" ht="23.25" customHeight="1">
      <c r="F869" s="88"/>
    </row>
    <row r="870" spans="6:6" ht="23.25" customHeight="1">
      <c r="F870" s="88"/>
    </row>
    <row r="871" spans="6:6" ht="23.25" customHeight="1">
      <c r="F871" s="88"/>
    </row>
    <row r="872" spans="6:6" ht="23.25" customHeight="1">
      <c r="F872" s="88"/>
    </row>
    <row r="873" spans="6:6" ht="23.25" customHeight="1">
      <c r="F873" s="88"/>
    </row>
    <row r="874" spans="6:6" ht="23.25" customHeight="1">
      <c r="F874" s="88"/>
    </row>
    <row r="875" spans="6:6" ht="23.25" customHeight="1">
      <c r="F875" s="88"/>
    </row>
    <row r="876" spans="6:6" ht="23.25" customHeight="1">
      <c r="F876" s="88"/>
    </row>
    <row r="877" spans="6:6" ht="23.25" customHeight="1">
      <c r="F877" s="88"/>
    </row>
    <row r="878" spans="6:6" ht="23.25" customHeight="1">
      <c r="F878" s="88"/>
    </row>
    <row r="879" spans="6:6" ht="23.25" customHeight="1">
      <c r="F879" s="88"/>
    </row>
    <row r="880" spans="6:6" ht="23.25" customHeight="1">
      <c r="F880" s="88"/>
    </row>
    <row r="881" spans="6:6" ht="23.25" customHeight="1">
      <c r="F881" s="88"/>
    </row>
    <row r="882" spans="6:6" ht="23.25" customHeight="1">
      <c r="F882" s="88"/>
    </row>
    <row r="883" spans="6:6" ht="23.25" customHeight="1">
      <c r="F883" s="88"/>
    </row>
    <row r="884" spans="6:6" ht="23.25" customHeight="1">
      <c r="F884" s="88"/>
    </row>
    <row r="885" spans="6:6" ht="23.25" customHeight="1">
      <c r="F885" s="88"/>
    </row>
    <row r="886" spans="6:6" ht="23.25" customHeight="1">
      <c r="F886" s="88"/>
    </row>
    <row r="887" spans="6:6" ht="23.25" customHeight="1">
      <c r="F887" s="88"/>
    </row>
    <row r="888" spans="6:6" ht="23.25" customHeight="1">
      <c r="F888" s="88"/>
    </row>
    <row r="889" spans="6:6" ht="23.25" customHeight="1">
      <c r="F889" s="88"/>
    </row>
    <row r="890" spans="6:6" ht="23.25" customHeight="1">
      <c r="F890" s="88"/>
    </row>
    <row r="891" spans="6:6" ht="23.25" customHeight="1">
      <c r="F891" s="88"/>
    </row>
    <row r="892" spans="6:6" ht="23.25" customHeight="1">
      <c r="F892" s="88"/>
    </row>
    <row r="893" spans="6:6" ht="23.25" customHeight="1">
      <c r="F893" s="88"/>
    </row>
    <row r="894" spans="6:6" ht="23.25" customHeight="1">
      <c r="F894" s="88"/>
    </row>
    <row r="895" spans="6:6" ht="23.25" customHeight="1">
      <c r="F895" s="88"/>
    </row>
    <row r="896" spans="6:6" ht="23.25" customHeight="1">
      <c r="F896" s="88"/>
    </row>
    <row r="897" spans="6:6" ht="23.25" customHeight="1">
      <c r="F897" s="88"/>
    </row>
    <row r="898" spans="6:6" ht="23.25" customHeight="1">
      <c r="F898" s="88"/>
    </row>
    <row r="899" spans="6:6" ht="23.25" customHeight="1">
      <c r="F899" s="88"/>
    </row>
    <row r="900" spans="6:6" ht="23.25" customHeight="1">
      <c r="F900" s="88"/>
    </row>
    <row r="901" spans="6:6" ht="23.25" customHeight="1">
      <c r="F901" s="88"/>
    </row>
    <row r="902" spans="6:6" ht="23.25" customHeight="1">
      <c r="F902" s="88"/>
    </row>
    <row r="903" spans="6:6" ht="23.25" customHeight="1">
      <c r="F903" s="88"/>
    </row>
    <row r="904" spans="6:6" ht="23.25" customHeight="1">
      <c r="F904" s="88"/>
    </row>
    <row r="905" spans="6:6" ht="23.25" customHeight="1">
      <c r="F905" s="88"/>
    </row>
    <row r="906" spans="6:6" ht="23.25" customHeight="1">
      <c r="F906" s="88"/>
    </row>
    <row r="907" spans="6:6" ht="23.25" customHeight="1">
      <c r="F907" s="88"/>
    </row>
    <row r="908" spans="6:6" ht="23.25" customHeight="1">
      <c r="F908" s="88"/>
    </row>
    <row r="909" spans="6:6" ht="23.25" customHeight="1">
      <c r="F909" s="88"/>
    </row>
    <row r="910" spans="6:6" ht="23.25" customHeight="1">
      <c r="F910" s="88"/>
    </row>
    <row r="911" spans="6:6" ht="23.25" customHeight="1">
      <c r="F911" s="88"/>
    </row>
    <row r="912" spans="6:6" ht="23.25" customHeight="1">
      <c r="F912" s="88"/>
    </row>
    <row r="913" spans="6:6" ht="23.25" customHeight="1">
      <c r="F913" s="88"/>
    </row>
    <row r="914" spans="6:6" ht="23.25" customHeight="1">
      <c r="F914" s="88"/>
    </row>
    <row r="915" spans="6:6" ht="23.25" customHeight="1">
      <c r="F915" s="88"/>
    </row>
    <row r="916" spans="6:6" ht="23.25" customHeight="1">
      <c r="F916" s="88"/>
    </row>
    <row r="917" spans="6:6" ht="23.25" customHeight="1">
      <c r="F917" s="88"/>
    </row>
    <row r="918" spans="6:6" ht="23.25" customHeight="1">
      <c r="F918" s="88"/>
    </row>
    <row r="919" spans="6:6" ht="23.25" customHeight="1">
      <c r="F919" s="88"/>
    </row>
    <row r="920" spans="6:6" ht="23.25" customHeight="1">
      <c r="F920" s="88"/>
    </row>
    <row r="921" spans="6:6" ht="23.25" customHeight="1">
      <c r="F921" s="88"/>
    </row>
    <row r="922" spans="6:6" ht="23.25" customHeight="1">
      <c r="F922" s="88"/>
    </row>
    <row r="923" spans="6:6" ht="23.25" customHeight="1">
      <c r="F923" s="88"/>
    </row>
    <row r="924" spans="6:6" ht="23.25" customHeight="1">
      <c r="F924" s="88"/>
    </row>
    <row r="925" spans="6:6" ht="23.25" customHeight="1">
      <c r="F925" s="88"/>
    </row>
    <row r="926" spans="6:6" ht="23.25" customHeight="1">
      <c r="F926" s="88"/>
    </row>
    <row r="927" spans="6:6" ht="23.25" customHeight="1">
      <c r="F927" s="88"/>
    </row>
    <row r="928" spans="6:6" ht="23.25" customHeight="1">
      <c r="F928" s="88"/>
    </row>
    <row r="929" spans="6:6" ht="23.25" customHeight="1">
      <c r="F929" s="88"/>
    </row>
    <row r="930" spans="6:6" ht="23.25" customHeight="1">
      <c r="F930" s="88"/>
    </row>
    <row r="931" spans="6:6" ht="23.25" customHeight="1">
      <c r="F931" s="88"/>
    </row>
    <row r="932" spans="6:6" ht="23.25" customHeight="1">
      <c r="F932" s="88"/>
    </row>
    <row r="933" spans="6:6" ht="23.25" customHeight="1">
      <c r="F933" s="88"/>
    </row>
    <row r="934" spans="6:6" ht="23.25" customHeight="1">
      <c r="F934" s="88"/>
    </row>
    <row r="935" spans="6:6" ht="23.25" customHeight="1">
      <c r="F935" s="88"/>
    </row>
    <row r="936" spans="6:6" ht="23.25" customHeight="1">
      <c r="F936" s="88"/>
    </row>
    <row r="937" spans="6:6" ht="23.25" customHeight="1">
      <c r="F937" s="88"/>
    </row>
    <row r="938" spans="6:6" ht="23.25" customHeight="1">
      <c r="F938" s="88"/>
    </row>
    <row r="939" spans="6:6" ht="23.25" customHeight="1">
      <c r="F939" s="88"/>
    </row>
    <row r="940" spans="6:6" ht="23.25" customHeight="1">
      <c r="F940" s="88"/>
    </row>
    <row r="941" spans="6:6" ht="23.25" customHeight="1">
      <c r="F941" s="88"/>
    </row>
    <row r="942" spans="6:6" ht="23.25" customHeight="1">
      <c r="F942" s="88"/>
    </row>
    <row r="943" spans="6:6" ht="23.25" customHeight="1">
      <c r="F943" s="88"/>
    </row>
    <row r="944" spans="6:6" ht="23.25" customHeight="1">
      <c r="F944" s="88"/>
    </row>
    <row r="945" spans="6:6" ht="23.25" customHeight="1">
      <c r="F945" s="88"/>
    </row>
    <row r="946" spans="6:6" ht="23.25" customHeight="1">
      <c r="F946" s="88"/>
    </row>
    <row r="947" spans="6:6" ht="23.25" customHeight="1">
      <c r="F947" s="88"/>
    </row>
    <row r="948" spans="6:6" ht="23.25" customHeight="1">
      <c r="F948" s="88"/>
    </row>
    <row r="949" spans="6:6" ht="23.25" customHeight="1">
      <c r="F949" s="88"/>
    </row>
    <row r="950" spans="6:6" ht="23.25" customHeight="1">
      <c r="F950" s="88"/>
    </row>
    <row r="951" spans="6:6" ht="23.25" customHeight="1">
      <c r="F951" s="88"/>
    </row>
    <row r="952" spans="6:6" ht="23.25" customHeight="1">
      <c r="F952" s="88"/>
    </row>
    <row r="953" spans="6:6" ht="23.25" customHeight="1">
      <c r="F953" s="88"/>
    </row>
    <row r="954" spans="6:6" ht="23.25" customHeight="1">
      <c r="F954" s="88"/>
    </row>
    <row r="955" spans="6:6" ht="23.25" customHeight="1">
      <c r="F955" s="88"/>
    </row>
    <row r="956" spans="6:6" ht="23.25" customHeight="1">
      <c r="F956" s="88"/>
    </row>
    <row r="957" spans="6:6" ht="23.25" customHeight="1">
      <c r="F957" s="88"/>
    </row>
    <row r="958" spans="6:6" ht="23.25" customHeight="1">
      <c r="F958" s="88"/>
    </row>
    <row r="959" spans="6:6" ht="23.25" customHeight="1">
      <c r="F959" s="88"/>
    </row>
    <row r="960" spans="6:6" ht="23.25" customHeight="1">
      <c r="F960" s="88"/>
    </row>
    <row r="961" spans="6:6" ht="23.25" customHeight="1">
      <c r="F961" s="88"/>
    </row>
    <row r="962" spans="6:6" ht="23.25" customHeight="1">
      <c r="F962" s="88"/>
    </row>
    <row r="963" spans="6:6" ht="23.25" customHeight="1">
      <c r="F963" s="88"/>
    </row>
    <row r="964" spans="6:6" ht="23.25" customHeight="1">
      <c r="F964" s="88"/>
    </row>
    <row r="965" spans="6:6" ht="23.25" customHeight="1">
      <c r="F965" s="88"/>
    </row>
    <row r="966" spans="6:6" ht="23.25" customHeight="1">
      <c r="F966" s="88"/>
    </row>
    <row r="967" spans="6:6" ht="23.25" customHeight="1">
      <c r="F967" s="88"/>
    </row>
    <row r="968" spans="6:6" ht="23.25" customHeight="1">
      <c r="F968" s="88"/>
    </row>
    <row r="969" spans="6:6" ht="23.25" customHeight="1">
      <c r="F969" s="88"/>
    </row>
    <row r="970" spans="6:6" ht="23.25" customHeight="1">
      <c r="F970" s="88"/>
    </row>
    <row r="971" spans="6:6" ht="23.25" customHeight="1">
      <c r="F971" s="88"/>
    </row>
    <row r="972" spans="6:6" ht="23.25" customHeight="1">
      <c r="F972" s="88"/>
    </row>
    <row r="973" spans="6:6" ht="23.25" customHeight="1">
      <c r="F973" s="88"/>
    </row>
    <row r="974" spans="6:6" ht="23.25" customHeight="1">
      <c r="F974" s="88"/>
    </row>
    <row r="975" spans="6:6" ht="23.25" customHeight="1">
      <c r="F975" s="88"/>
    </row>
    <row r="976" spans="6:6" ht="23.25" customHeight="1">
      <c r="F976" s="88"/>
    </row>
    <row r="977" spans="6:6" ht="23.25" customHeight="1">
      <c r="F977" s="88"/>
    </row>
    <row r="978" spans="6:6" ht="23.25" customHeight="1">
      <c r="F978" s="88"/>
    </row>
    <row r="979" spans="6:6" ht="23.25" customHeight="1">
      <c r="F979" s="88"/>
    </row>
    <row r="980" spans="6:6" ht="23.25" customHeight="1">
      <c r="F980" s="88"/>
    </row>
    <row r="981" spans="6:6" ht="23.25" customHeight="1">
      <c r="F981" s="88"/>
    </row>
    <row r="982" spans="6:6" ht="23.25" customHeight="1">
      <c r="F982" s="88"/>
    </row>
    <row r="983" spans="6:6" ht="23.25" customHeight="1">
      <c r="F983" s="88"/>
    </row>
    <row r="984" spans="6:6" ht="23.25" customHeight="1">
      <c r="F984" s="88"/>
    </row>
    <row r="985" spans="6:6" ht="23.25" customHeight="1">
      <c r="F985" s="88"/>
    </row>
    <row r="986" spans="6:6" ht="23.25" customHeight="1">
      <c r="F986" s="88"/>
    </row>
    <row r="987" spans="6:6" ht="23.25" customHeight="1">
      <c r="F987" s="88"/>
    </row>
    <row r="988" spans="6:6" ht="23.25" customHeight="1">
      <c r="F988" s="88"/>
    </row>
    <row r="989" spans="6:6" ht="23.25" customHeight="1">
      <c r="F989" s="88"/>
    </row>
    <row r="990" spans="6:6" ht="23.25" customHeight="1">
      <c r="F990" s="88"/>
    </row>
    <row r="991" spans="6:6" ht="23.25" customHeight="1">
      <c r="F991" s="88"/>
    </row>
    <row r="992" spans="6:6" ht="23.25" customHeight="1">
      <c r="F992" s="88"/>
    </row>
    <row r="993" spans="6:6" ht="23.25" customHeight="1">
      <c r="F993" s="88"/>
    </row>
    <row r="994" spans="6:6" ht="23.25" customHeight="1">
      <c r="F994" s="88"/>
    </row>
    <row r="995" spans="6:6" ht="23.25" customHeight="1">
      <c r="F995" s="88"/>
    </row>
    <row r="996" spans="6:6" ht="23.25" customHeight="1">
      <c r="F996" s="88"/>
    </row>
    <row r="997" spans="6:6" ht="23.25" customHeight="1">
      <c r="F997" s="88"/>
    </row>
    <row r="998" spans="6:6" ht="23.25" customHeight="1">
      <c r="F998" s="88"/>
    </row>
    <row r="999" spans="6:6" ht="23.25" customHeight="1">
      <c r="F999" s="88"/>
    </row>
    <row r="1000" spans="6:6" ht="23.25" customHeight="1">
      <c r="F1000" s="88"/>
    </row>
    <row r="1001" spans="6:6" ht="23.25" customHeight="1">
      <c r="F1001" s="88"/>
    </row>
    <row r="1002" spans="6:6" ht="23.25" customHeight="1">
      <c r="F1002" s="88"/>
    </row>
    <row r="1003" spans="6:6" ht="23.25" customHeight="1">
      <c r="F1003" s="88"/>
    </row>
    <row r="1004" spans="6:6" ht="23.25" customHeight="1">
      <c r="F1004" s="88"/>
    </row>
    <row r="1005" spans="6:6" ht="23.25" customHeight="1">
      <c r="F1005" s="88"/>
    </row>
    <row r="1006" spans="6:6" ht="23.25" customHeight="1">
      <c r="F1006" s="88"/>
    </row>
    <row r="1007" spans="6:6" ht="23.25" customHeight="1">
      <c r="F1007" s="88"/>
    </row>
  </sheetData>
  <autoFilter ref="B26:K123" xr:uid="{00000000-0009-0000-0000-000003000000}"/>
  <mergeCells count="40">
    <mergeCell ref="J65:J85"/>
    <mergeCell ref="K65:K85"/>
    <mergeCell ref="B90:B96"/>
    <mergeCell ref="B97:B107"/>
    <mergeCell ref="B110:B118"/>
    <mergeCell ref="E65:E85"/>
    <mergeCell ref="F65:F85"/>
    <mergeCell ref="G65:G85"/>
    <mergeCell ref="H65:H85"/>
    <mergeCell ref="I65:I85"/>
    <mergeCell ref="B56:B57"/>
    <mergeCell ref="B58:B60"/>
    <mergeCell ref="B65:B85"/>
    <mergeCell ref="B62:B63"/>
    <mergeCell ref="D65:D85"/>
    <mergeCell ref="T11:U11"/>
    <mergeCell ref="V11:W11"/>
    <mergeCell ref="G11:G12"/>
    <mergeCell ref="F11:F12"/>
    <mergeCell ref="J11:K11"/>
    <mergeCell ref="L11:M11"/>
    <mergeCell ref="N11:O11"/>
    <mergeCell ref="P11:Q11"/>
    <mergeCell ref="R11:S11"/>
    <mergeCell ref="H11:I11"/>
    <mergeCell ref="B52:B53"/>
    <mergeCell ref="B27:B38"/>
    <mergeCell ref="B39:B41"/>
    <mergeCell ref="B42:B44"/>
    <mergeCell ref="B47:B48"/>
    <mergeCell ref="B49:B50"/>
    <mergeCell ref="D2:G2"/>
    <mergeCell ref="D3:G3"/>
    <mergeCell ref="D4:G4"/>
    <mergeCell ref="B15:B21"/>
    <mergeCell ref="B8:D8"/>
    <mergeCell ref="E11:E12"/>
    <mergeCell ref="D11:D12"/>
    <mergeCell ref="C11:C12"/>
    <mergeCell ref="B11:B12"/>
  </mergeCells>
  <hyperlinks>
    <hyperlink ref="G13" r:id="rId1" xr:uid="{00000000-0004-0000-0300-000000000000}"/>
    <hyperlink ref="E15" r:id="rId2" xr:uid="{00000000-0004-0000-0300-000001000000}"/>
    <hyperlink ref="G15" r:id="rId3" xr:uid="{00000000-0004-0000-0300-000002000000}"/>
    <hyperlink ref="G18" r:id="rId4" xr:uid="{00000000-0004-0000-0300-000003000000}"/>
    <hyperlink ref="G19" r:id="rId5" xr:uid="{00000000-0004-0000-0300-000004000000}"/>
    <hyperlink ref="G20" r:id="rId6" xr:uid="{00000000-0004-0000-0300-000005000000}"/>
    <hyperlink ref="G21" r:id="rId7" xr:uid="{00000000-0004-0000-0300-000006000000}"/>
    <hyperlink ref="C6" r:id="rId8" xr:uid="{00000000-0004-0000-0300-000007000000}"/>
    <hyperlink ref="G14" r:id="rId9" xr:uid="{00000000-0004-0000-0300-000008000000}"/>
    <hyperlink ref="G16" r:id="rId10" xr:uid="{00000000-0004-0000-0300-000009000000}"/>
  </hyperlinks>
  <pageMargins left="0.7" right="0.7" top="0.75" bottom="0.75" header="0" footer="0"/>
  <pageSetup orientation="landscape"/>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2:O17"/>
  <sheetViews>
    <sheetView showGridLines="0" workbookViewId="0">
      <selection activeCell="N12" sqref="N12"/>
    </sheetView>
  </sheetViews>
  <sheetFormatPr defaultColWidth="11.42578125" defaultRowHeight="12.75"/>
  <cols>
    <col min="1" max="1" width="11.42578125" style="1"/>
    <col min="2" max="2" width="33.42578125" style="1" customWidth="1"/>
    <col min="3" max="3" width="14.5703125" style="1" customWidth="1"/>
    <col min="4" max="4" width="28.85546875" style="1" customWidth="1"/>
    <col min="5" max="5" width="15" style="1" customWidth="1"/>
    <col min="6" max="13" width="11.42578125" style="1"/>
    <col min="14" max="14" width="39.42578125" style="1" customWidth="1"/>
    <col min="15" max="16384" width="11.42578125" style="1"/>
  </cols>
  <sheetData>
    <row r="2" spans="1:15" ht="15" customHeight="1">
      <c r="E2" s="267" t="s">
        <v>3</v>
      </c>
      <c r="F2" s="267"/>
      <c r="G2" s="267"/>
      <c r="H2" s="267"/>
      <c r="I2" s="267"/>
      <c r="J2" s="267"/>
      <c r="K2" s="267"/>
    </row>
    <row r="3" spans="1:15" ht="15" customHeight="1">
      <c r="E3" s="268" t="s">
        <v>98</v>
      </c>
      <c r="F3" s="268"/>
      <c r="G3" s="268"/>
      <c r="H3" s="268"/>
      <c r="I3" s="268"/>
      <c r="J3" s="268"/>
      <c r="K3" s="268"/>
    </row>
    <row r="4" spans="1:15">
      <c r="E4" s="269" t="s">
        <v>278</v>
      </c>
      <c r="F4" s="269"/>
      <c r="G4" s="269"/>
      <c r="H4" s="269"/>
      <c r="I4" s="269"/>
      <c r="J4" s="269"/>
      <c r="K4" s="269"/>
    </row>
    <row r="6" spans="1:15">
      <c r="B6" s="73" t="s">
        <v>11</v>
      </c>
      <c r="C6" s="72" t="s">
        <v>12</v>
      </c>
      <c r="D6" s="73"/>
      <c r="E6" s="73"/>
    </row>
    <row r="8" spans="1:15">
      <c r="A8" s="270" t="s">
        <v>279</v>
      </c>
      <c r="B8" s="270"/>
      <c r="C8" s="270"/>
      <c r="D8" s="270"/>
      <c r="E8" s="270"/>
      <c r="F8" s="270"/>
      <c r="G8" s="270"/>
      <c r="H8" s="270"/>
      <c r="I8" s="270"/>
      <c r="J8" s="270"/>
      <c r="K8" s="270"/>
      <c r="L8" s="270"/>
      <c r="M8" s="270"/>
      <c r="N8" s="170"/>
      <c r="O8" s="170"/>
    </row>
    <row r="9" spans="1:15" ht="38.25">
      <c r="A9" s="171" t="s">
        <v>14</v>
      </c>
      <c r="B9" s="171" t="s">
        <v>15</v>
      </c>
      <c r="C9" s="171" t="s">
        <v>16</v>
      </c>
      <c r="D9" s="172" t="s">
        <v>17</v>
      </c>
      <c r="E9" s="173" t="s">
        <v>18</v>
      </c>
      <c r="F9" s="171">
        <v>2018</v>
      </c>
      <c r="G9" s="171">
        <v>2019</v>
      </c>
      <c r="H9" s="171">
        <v>2020</v>
      </c>
      <c r="I9" s="171">
        <v>2021</v>
      </c>
      <c r="J9" s="171">
        <v>2022</v>
      </c>
      <c r="K9" s="171">
        <v>2023</v>
      </c>
      <c r="L9" s="171">
        <v>2024</v>
      </c>
      <c r="M9" s="171">
        <v>2025</v>
      </c>
    </row>
    <row r="10" spans="1:15" ht="68.25" customHeight="1">
      <c r="B10" s="21" t="s">
        <v>280</v>
      </c>
      <c r="C10" s="21" t="s">
        <v>36</v>
      </c>
      <c r="D10" s="21" t="s">
        <v>37</v>
      </c>
      <c r="E10" s="18" t="s">
        <v>38</v>
      </c>
      <c r="F10" s="22"/>
      <c r="G10" s="22">
        <v>11187</v>
      </c>
      <c r="H10" s="22">
        <v>1929</v>
      </c>
      <c r="I10" s="22">
        <v>2002</v>
      </c>
      <c r="J10" s="22">
        <v>2362</v>
      </c>
      <c r="K10" s="22">
        <v>2616</v>
      </c>
      <c r="L10" s="22">
        <v>3322</v>
      </c>
      <c r="M10" s="22">
        <v>3557</v>
      </c>
    </row>
    <row r="11" spans="1:15" ht="68.25" customHeight="1">
      <c r="B11" s="21" t="s">
        <v>281</v>
      </c>
      <c r="C11" s="21" t="s">
        <v>36</v>
      </c>
      <c r="D11" s="21" t="s">
        <v>37</v>
      </c>
      <c r="E11" s="18" t="s">
        <v>38</v>
      </c>
      <c r="F11" s="22"/>
      <c r="G11" s="22"/>
      <c r="H11" s="22">
        <f>13979-1929</f>
        <v>12050</v>
      </c>
      <c r="I11" s="22">
        <v>13397</v>
      </c>
      <c r="J11" s="22">
        <f>17046-3262</f>
        <v>13784</v>
      </c>
      <c r="K11" s="22">
        <v>15710</v>
      </c>
      <c r="L11" s="22">
        <v>19882</v>
      </c>
      <c r="M11" s="22">
        <v>21729</v>
      </c>
    </row>
    <row r="12" spans="1:15" ht="109.5" customHeight="1">
      <c r="B12" s="21" t="s">
        <v>55</v>
      </c>
      <c r="C12" s="21" t="s">
        <v>50</v>
      </c>
      <c r="D12" s="24" t="s">
        <v>56</v>
      </c>
      <c r="E12" s="18" t="s">
        <v>38</v>
      </c>
      <c r="F12" s="22">
        <v>0</v>
      </c>
      <c r="G12" s="22">
        <v>0</v>
      </c>
      <c r="H12" s="22">
        <v>4170</v>
      </c>
      <c r="I12" s="22">
        <v>4172</v>
      </c>
      <c r="J12" s="22">
        <v>10135</v>
      </c>
      <c r="K12" s="22">
        <v>10135</v>
      </c>
      <c r="L12" s="22">
        <v>10135</v>
      </c>
      <c r="M12" s="22">
        <v>10135</v>
      </c>
    </row>
    <row r="13" spans="1:15" ht="52.5" customHeight="1">
      <c r="B13" s="21" t="s">
        <v>282</v>
      </c>
      <c r="C13" s="21" t="s">
        <v>36</v>
      </c>
      <c r="D13" s="21" t="s">
        <v>37</v>
      </c>
      <c r="E13" s="18" t="s">
        <v>38</v>
      </c>
      <c r="F13" s="49"/>
      <c r="G13" s="22"/>
      <c r="H13" s="22"/>
      <c r="I13" s="22"/>
      <c r="J13" s="22"/>
      <c r="K13" s="22">
        <v>1119</v>
      </c>
      <c r="L13" s="22">
        <v>5777</v>
      </c>
      <c r="M13" s="22">
        <v>7912</v>
      </c>
    </row>
    <row r="14" spans="1:15" ht="63.75">
      <c r="B14" s="21" t="s">
        <v>58</v>
      </c>
      <c r="C14" s="21" t="s">
        <v>36</v>
      </c>
      <c r="D14" s="21" t="s">
        <v>37</v>
      </c>
      <c r="E14" s="18" t="s">
        <v>38</v>
      </c>
      <c r="F14" s="49"/>
      <c r="G14" s="22"/>
      <c r="H14" s="22">
        <v>5738</v>
      </c>
      <c r="I14" s="22">
        <v>6444</v>
      </c>
      <c r="J14" s="22">
        <v>6444</v>
      </c>
      <c r="K14" s="22">
        <v>6568</v>
      </c>
      <c r="L14" s="22">
        <v>6619</v>
      </c>
      <c r="M14" s="22">
        <v>6639</v>
      </c>
    </row>
    <row r="15" spans="1:15" ht="63.75">
      <c r="B15" s="160" t="s">
        <v>59</v>
      </c>
      <c r="C15" s="160" t="s">
        <v>36</v>
      </c>
      <c r="D15" s="160" t="s">
        <v>60</v>
      </c>
      <c r="E15" s="163" t="s">
        <v>38</v>
      </c>
      <c r="F15" s="161"/>
      <c r="G15" s="162"/>
      <c r="H15" s="162"/>
      <c r="I15" s="162"/>
      <c r="J15" s="162"/>
      <c r="K15" s="162"/>
      <c r="L15" s="162">
        <v>48945</v>
      </c>
      <c r="M15" s="162">
        <v>49511</v>
      </c>
    </row>
    <row r="16" spans="1:15" ht="28.5" customHeight="1">
      <c r="B16" s="50" t="s">
        <v>283</v>
      </c>
      <c r="C16" s="21" t="s">
        <v>36</v>
      </c>
      <c r="D16" s="50"/>
      <c r="E16" s="21" t="s">
        <v>38</v>
      </c>
      <c r="F16" s="50"/>
      <c r="G16" s="50"/>
      <c r="H16" s="50"/>
      <c r="I16" s="50">
        <v>1</v>
      </c>
      <c r="J16" s="50"/>
      <c r="K16" s="50">
        <v>11</v>
      </c>
      <c r="L16" s="50">
        <v>11</v>
      </c>
      <c r="M16" s="50">
        <v>105</v>
      </c>
    </row>
    <row r="17" spans="2:2">
      <c r="B17" s="1" t="s">
        <v>284</v>
      </c>
    </row>
  </sheetData>
  <mergeCells count="4">
    <mergeCell ref="E2:K2"/>
    <mergeCell ref="E3:K3"/>
    <mergeCell ref="E4:K4"/>
    <mergeCell ref="A8:M8"/>
  </mergeCells>
  <hyperlinks>
    <hyperlink ref="C6" r:id="rId1" xr:uid="{00000000-0004-0000-0400-000000000000}"/>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Props1.xml><?xml version="1.0" encoding="utf-8"?>
<ds:datastoreItem xmlns:ds="http://schemas.openxmlformats.org/officeDocument/2006/customXml" ds:itemID="{D98ACF0E-E05A-4DF4-B786-64B0EF1268B8}"/>
</file>

<file path=customXml/itemProps2.xml><?xml version="1.0" encoding="utf-8"?>
<ds:datastoreItem xmlns:ds="http://schemas.openxmlformats.org/officeDocument/2006/customXml" ds:itemID="{D743D69C-6B27-45F8-8DC7-37380A4A48F3}"/>
</file>

<file path=customXml/itemProps3.xml><?xml version="1.0" encoding="utf-8"?>
<ds:datastoreItem xmlns:ds="http://schemas.openxmlformats.org/officeDocument/2006/customXml" ds:itemID="{C8D5AC45-2A31-4D50-AC2F-FDE39845E5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dc:creator>
  <cp:keywords/>
  <dc:description/>
  <cp:lastModifiedBy>COMITE DE CURRICULO Y CALIDAD POSGRADOS</cp:lastModifiedBy>
  <cp:revision/>
  <dcterms:created xsi:type="dcterms:W3CDTF">2018-07-16T15:43:24Z</dcterms:created>
  <dcterms:modified xsi:type="dcterms:W3CDTF">2025-09-25T19:37:53Z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