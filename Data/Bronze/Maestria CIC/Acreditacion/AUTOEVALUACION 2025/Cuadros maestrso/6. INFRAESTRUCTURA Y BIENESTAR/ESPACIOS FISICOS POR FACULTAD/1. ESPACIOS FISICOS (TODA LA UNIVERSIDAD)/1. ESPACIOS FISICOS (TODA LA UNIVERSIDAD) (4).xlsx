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cuments\002. Infraestructura UNIVERSIDAD DISTRITAL\009. Informes\054. Actualizacion informacion Proy Curriculares\"/>
    </mc:Choice>
  </mc:AlternateContent>
  <xr:revisionPtr revIDLastSave="0" documentId="13_ncr:1_{6D4A088A-8DE9-41B6-9692-C44BF043C4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SPACIOS FÍSICOS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2" l="1"/>
  <c r="G34" i="2"/>
  <c r="G82" i="2" s="1"/>
  <c r="AB78" i="2"/>
  <c r="AA78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44" i="2"/>
  <c r="AA45" i="2"/>
  <c r="AA46" i="2"/>
  <c r="AA47" i="2"/>
  <c r="AA48" i="2"/>
  <c r="AA49" i="2"/>
  <c r="AB44" i="2"/>
  <c r="AB45" i="2"/>
  <c r="AB46" i="2"/>
  <c r="AB47" i="2"/>
  <c r="AB48" i="2"/>
  <c r="AB49" i="2"/>
  <c r="AB50" i="2"/>
  <c r="AA43" i="2"/>
  <c r="AB43" i="2"/>
  <c r="AA50" i="2"/>
  <c r="AB42" i="2"/>
  <c r="AA42" i="2"/>
  <c r="AB37" i="2"/>
  <c r="AB38" i="2"/>
  <c r="AB39" i="2"/>
  <c r="AA38" i="2"/>
  <c r="AA39" i="2"/>
  <c r="AA37" i="2"/>
  <c r="AB36" i="2"/>
  <c r="AA36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8" i="2"/>
  <c r="AA8" i="2"/>
  <c r="J54" i="2"/>
  <c r="J55" i="2"/>
  <c r="J56" i="2"/>
  <c r="J58" i="2"/>
  <c r="J61" i="2"/>
  <c r="J62" i="2"/>
  <c r="J64" i="2"/>
  <c r="J67" i="2"/>
  <c r="J68" i="2"/>
  <c r="J74" i="2"/>
  <c r="J77" i="2"/>
  <c r="J53" i="2"/>
  <c r="J46" i="2"/>
  <c r="J50" i="2"/>
  <c r="J43" i="2"/>
  <c r="J37" i="2"/>
  <c r="J38" i="2"/>
  <c r="J39" i="2"/>
  <c r="J36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8" i="2"/>
  <c r="H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C82" i="2"/>
  <c r="AD82" i="2"/>
  <c r="AE82" i="2"/>
  <c r="AF82" i="2"/>
  <c r="AG82" i="2"/>
  <c r="AH82" i="2"/>
  <c r="AI82" i="2"/>
  <c r="AJ82" i="2"/>
  <c r="AK82" i="2"/>
  <c r="AL82" i="2"/>
  <c r="D82" i="2"/>
  <c r="E82" i="2"/>
  <c r="F82" i="2"/>
  <c r="C82" i="2"/>
  <c r="I54" i="2"/>
  <c r="I55" i="2"/>
  <c r="I56" i="2"/>
  <c r="I58" i="2"/>
  <c r="I61" i="2"/>
  <c r="I62" i="2"/>
  <c r="I64" i="2"/>
  <c r="I68" i="2"/>
  <c r="I74" i="2"/>
  <c r="I77" i="2"/>
  <c r="I78" i="2"/>
  <c r="I53" i="2"/>
  <c r="I37" i="2"/>
  <c r="I38" i="2"/>
  <c r="I39" i="2"/>
  <c r="I40" i="2"/>
  <c r="I36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13" i="2"/>
  <c r="I9" i="2"/>
  <c r="I10" i="2"/>
  <c r="I11" i="2"/>
  <c r="I12" i="2"/>
  <c r="I8" i="2"/>
  <c r="AG39" i="2"/>
  <c r="AH37" i="2"/>
  <c r="AG37" i="2"/>
  <c r="AH21" i="2"/>
  <c r="AG21" i="2"/>
  <c r="AG56" i="2"/>
  <c r="AJ14" i="2"/>
  <c r="AI14" i="2"/>
  <c r="AG54" i="2"/>
  <c r="AG8" i="2"/>
  <c r="O54" i="2"/>
  <c r="K28" i="2"/>
  <c r="K37" i="2"/>
  <c r="E68" i="2"/>
  <c r="I34" i="2" l="1"/>
  <c r="I82" i="2" s="1"/>
  <c r="V78" i="2"/>
  <c r="U78" i="2"/>
  <c r="V51" i="2"/>
  <c r="U51" i="2"/>
  <c r="V40" i="2"/>
  <c r="U40" i="2"/>
  <c r="V34" i="2"/>
  <c r="U34" i="2"/>
  <c r="AN71" i="2"/>
  <c r="AM71" i="2"/>
  <c r="AN49" i="2"/>
  <c r="AM49" i="2"/>
  <c r="AN16" i="2"/>
  <c r="AN22" i="2"/>
  <c r="AN23" i="2"/>
  <c r="AN24" i="2"/>
  <c r="AM24" i="2"/>
  <c r="AM23" i="2"/>
  <c r="AM22" i="2"/>
  <c r="AM16" i="2"/>
  <c r="AL34" i="2"/>
  <c r="AK34" i="2"/>
  <c r="AH34" i="2"/>
  <c r="AG34" i="2"/>
  <c r="AC34" i="2"/>
  <c r="AD34" i="2"/>
  <c r="Z34" i="2"/>
  <c r="Y34" i="2"/>
  <c r="T34" i="2"/>
  <c r="S34" i="2"/>
  <c r="X8" i="2"/>
  <c r="W8" i="2"/>
  <c r="P34" i="2"/>
  <c r="O34" i="2"/>
  <c r="N34" i="2"/>
  <c r="M34" i="2"/>
  <c r="L34" i="2"/>
  <c r="K34" i="2"/>
  <c r="Q8" i="2"/>
  <c r="R8" i="2"/>
  <c r="F34" i="2"/>
  <c r="E34" i="2"/>
  <c r="D34" i="2"/>
  <c r="C34" i="2"/>
  <c r="AJ8" i="2"/>
  <c r="AI8" i="2"/>
  <c r="AM18" i="2"/>
  <c r="R20" i="2"/>
  <c r="Q20" i="2"/>
  <c r="R19" i="2"/>
  <c r="Q19" i="2"/>
  <c r="R17" i="2"/>
  <c r="Q17" i="2"/>
  <c r="R15" i="2"/>
  <c r="AN15" i="2" s="1"/>
  <c r="Q15" i="2"/>
  <c r="AM15" i="2" s="1"/>
  <c r="R14" i="2"/>
  <c r="AN14" i="2" s="1"/>
  <c r="Q14" i="2"/>
  <c r="AM14" i="2" s="1"/>
  <c r="R13" i="2"/>
  <c r="Q13" i="2"/>
  <c r="AL81" i="2"/>
  <c r="AK81" i="2"/>
  <c r="AL78" i="2"/>
  <c r="AK78" i="2"/>
  <c r="AL51" i="2"/>
  <c r="AK51" i="2"/>
  <c r="AL40" i="2"/>
  <c r="AK40" i="2"/>
  <c r="AJ78" i="2"/>
  <c r="AG78" i="2"/>
  <c r="AJ70" i="2"/>
  <c r="AI70" i="2"/>
  <c r="AJ68" i="2"/>
  <c r="AI68" i="2"/>
  <c r="AJ67" i="2"/>
  <c r="AI67" i="2"/>
  <c r="AJ66" i="2"/>
  <c r="AI66" i="2"/>
  <c r="AJ65" i="2"/>
  <c r="AI65" i="2"/>
  <c r="AJ64" i="2"/>
  <c r="AI64" i="2"/>
  <c r="AJ63" i="2"/>
  <c r="AN63" i="2" s="1"/>
  <c r="AI63" i="2"/>
  <c r="AM63" i="2" s="1"/>
  <c r="AJ62" i="2"/>
  <c r="AI62" i="2"/>
  <c r="AJ61" i="2"/>
  <c r="AI61" i="2"/>
  <c r="AJ60" i="2"/>
  <c r="AI60" i="2"/>
  <c r="AI54" i="2"/>
  <c r="AJ54" i="2"/>
  <c r="AI55" i="2"/>
  <c r="AJ55" i="2"/>
  <c r="AI56" i="2"/>
  <c r="AJ56" i="2"/>
  <c r="AI57" i="2"/>
  <c r="AJ57" i="2"/>
  <c r="AI58" i="2"/>
  <c r="AJ58" i="2"/>
  <c r="AJ53" i="2"/>
  <c r="AI53" i="2"/>
  <c r="AH51" i="2"/>
  <c r="AG51" i="2"/>
  <c r="AI51" i="2" s="1"/>
  <c r="AJ43" i="2"/>
  <c r="AJ44" i="2"/>
  <c r="AN44" i="2" s="1"/>
  <c r="AJ45" i="2"/>
  <c r="AI44" i="2"/>
  <c r="AM44" i="2" s="1"/>
  <c r="AI45" i="2"/>
  <c r="AM45" i="2" s="1"/>
  <c r="AI43" i="2"/>
  <c r="AH40" i="2"/>
  <c r="AJ40" i="2" s="1"/>
  <c r="AG40" i="2"/>
  <c r="AI40" i="2" s="1"/>
  <c r="AJ39" i="2"/>
  <c r="AI39" i="2"/>
  <c r="AJ37" i="2"/>
  <c r="AI37" i="2"/>
  <c r="AJ36" i="2"/>
  <c r="AI36" i="2"/>
  <c r="AJ30" i="2"/>
  <c r="AI30" i="2"/>
  <c r="AJ27" i="2"/>
  <c r="AI27" i="2"/>
  <c r="AJ20" i="2"/>
  <c r="AI20" i="2"/>
  <c r="AJ11" i="2"/>
  <c r="AI11" i="2"/>
  <c r="AJ10" i="2"/>
  <c r="AI10" i="2"/>
  <c r="AJ9" i="2"/>
  <c r="AI9" i="2"/>
  <c r="AJ31" i="2"/>
  <c r="AI31" i="2"/>
  <c r="AJ21" i="2"/>
  <c r="AJ26" i="2"/>
  <c r="AI26" i="2"/>
  <c r="AJ25" i="2"/>
  <c r="AI25" i="2"/>
  <c r="AI21" i="2"/>
  <c r="AJ12" i="2"/>
  <c r="AI12" i="2"/>
  <c r="AJ13" i="2"/>
  <c r="AI13" i="2"/>
  <c r="AE78" i="2"/>
  <c r="AF78" i="2"/>
  <c r="AF51" i="2"/>
  <c r="AE40" i="2"/>
  <c r="AF40" i="2"/>
  <c r="AC78" i="2"/>
  <c r="AD78" i="2"/>
  <c r="AC51" i="2"/>
  <c r="AD51" i="2"/>
  <c r="AC40" i="2"/>
  <c r="AD40" i="2"/>
  <c r="Z78" i="2"/>
  <c r="Y78" i="2"/>
  <c r="AB53" i="2"/>
  <c r="AA53" i="2"/>
  <c r="Z51" i="2"/>
  <c r="Y51" i="2"/>
  <c r="Z40" i="2"/>
  <c r="Y40" i="2"/>
  <c r="AN33" i="2"/>
  <c r="AM33" i="2"/>
  <c r="AN32" i="2"/>
  <c r="AM32" i="2"/>
  <c r="AN18" i="2"/>
  <c r="T78" i="2"/>
  <c r="S78" i="2"/>
  <c r="X77" i="2"/>
  <c r="W77" i="2"/>
  <c r="X76" i="2"/>
  <c r="AN76" i="2" s="1"/>
  <c r="W76" i="2"/>
  <c r="AM76" i="2" s="1"/>
  <c r="X75" i="2"/>
  <c r="AN75" i="2" s="1"/>
  <c r="W75" i="2"/>
  <c r="AM75" i="2" s="1"/>
  <c r="X74" i="2"/>
  <c r="AN74" i="2" s="1"/>
  <c r="W74" i="2"/>
  <c r="AM74" i="2" s="1"/>
  <c r="X73" i="2"/>
  <c r="W73" i="2"/>
  <c r="X72" i="2"/>
  <c r="W72" i="2"/>
  <c r="X70" i="2"/>
  <c r="W70" i="2"/>
  <c r="X68" i="2"/>
  <c r="W68" i="2"/>
  <c r="X67" i="2"/>
  <c r="W67" i="2"/>
  <c r="X65" i="2"/>
  <c r="W65" i="2"/>
  <c r="X64" i="2"/>
  <c r="W64" i="2"/>
  <c r="X62" i="2"/>
  <c r="W62" i="2"/>
  <c r="X60" i="2"/>
  <c r="W60" i="2"/>
  <c r="X53" i="2"/>
  <c r="X54" i="2"/>
  <c r="X55" i="2"/>
  <c r="X56" i="2"/>
  <c r="X57" i="2"/>
  <c r="X58" i="2"/>
  <c r="W54" i="2"/>
  <c r="W55" i="2"/>
  <c r="W56" i="2"/>
  <c r="W57" i="2"/>
  <c r="W58" i="2"/>
  <c r="W53" i="2"/>
  <c r="X50" i="2"/>
  <c r="X48" i="2"/>
  <c r="X47" i="2"/>
  <c r="AN47" i="2" s="1"/>
  <c r="W50" i="2"/>
  <c r="W48" i="2"/>
  <c r="W47" i="2"/>
  <c r="AM47" i="2" s="1"/>
  <c r="X43" i="2"/>
  <c r="W43" i="2"/>
  <c r="T40" i="2"/>
  <c r="S40" i="2"/>
  <c r="W37" i="2"/>
  <c r="X37" i="2"/>
  <c r="W38" i="2"/>
  <c r="AM38" i="2" s="1"/>
  <c r="X38" i="2"/>
  <c r="AN38" i="2" s="1"/>
  <c r="W39" i="2"/>
  <c r="X39" i="2"/>
  <c r="X36" i="2"/>
  <c r="W36" i="2"/>
  <c r="X29" i="2"/>
  <c r="AN29" i="2" s="1"/>
  <c r="X28" i="2"/>
  <c r="AN28" i="2" s="1"/>
  <c r="X27" i="2"/>
  <c r="X26" i="2"/>
  <c r="X25" i="2"/>
  <c r="X21" i="2"/>
  <c r="X20" i="2"/>
  <c r="X17" i="2"/>
  <c r="X10" i="2"/>
  <c r="X11" i="2"/>
  <c r="X12" i="2"/>
  <c r="X13" i="2"/>
  <c r="X9" i="2"/>
  <c r="W29" i="2"/>
  <c r="AM29" i="2" s="1"/>
  <c r="W28" i="2"/>
  <c r="AM28" i="2" s="1"/>
  <c r="W27" i="2"/>
  <c r="W26" i="2"/>
  <c r="W25" i="2"/>
  <c r="W21" i="2"/>
  <c r="W20" i="2"/>
  <c r="W17" i="2"/>
  <c r="W11" i="2"/>
  <c r="W12" i="2"/>
  <c r="W13" i="2"/>
  <c r="W10" i="2"/>
  <c r="W9" i="2"/>
  <c r="P78" i="2"/>
  <c r="O78" i="2"/>
  <c r="N78" i="2"/>
  <c r="M78" i="2"/>
  <c r="L78" i="2"/>
  <c r="K78" i="2"/>
  <c r="Q81" i="2"/>
  <c r="R81" i="2"/>
  <c r="R80" i="2"/>
  <c r="AN80" i="2" s="1"/>
  <c r="Q80" i="2"/>
  <c r="AM80" i="2" s="1"/>
  <c r="R77" i="2"/>
  <c r="Q77" i="2"/>
  <c r="R73" i="2"/>
  <c r="Q73" i="2"/>
  <c r="R72" i="2"/>
  <c r="Q72" i="2"/>
  <c r="R70" i="2"/>
  <c r="Q70" i="2"/>
  <c r="R69" i="2"/>
  <c r="AN69" i="2" s="1"/>
  <c r="Q69" i="2"/>
  <c r="AM69" i="2" s="1"/>
  <c r="R68" i="2"/>
  <c r="Q68" i="2"/>
  <c r="R67" i="2"/>
  <c r="Q67" i="2"/>
  <c r="R66" i="2"/>
  <c r="Q66" i="2"/>
  <c r="R65" i="2"/>
  <c r="Q65" i="2"/>
  <c r="R64" i="2"/>
  <c r="Q64" i="2"/>
  <c r="R60" i="2"/>
  <c r="Q60" i="2"/>
  <c r="R59" i="2"/>
  <c r="AN59" i="2" s="1"/>
  <c r="Q59" i="2"/>
  <c r="AM59" i="2" s="1"/>
  <c r="R58" i="2"/>
  <c r="Q58" i="2"/>
  <c r="R57" i="2"/>
  <c r="Q57" i="2"/>
  <c r="R56" i="2"/>
  <c r="Q56" i="2"/>
  <c r="R55" i="2"/>
  <c r="Q55" i="2"/>
  <c r="R54" i="2"/>
  <c r="Q54" i="2"/>
  <c r="R53" i="2"/>
  <c r="Q53" i="2"/>
  <c r="P51" i="2"/>
  <c r="O51" i="2"/>
  <c r="N51" i="2"/>
  <c r="M51" i="2"/>
  <c r="L51" i="2"/>
  <c r="K51" i="2"/>
  <c r="R50" i="2"/>
  <c r="Q50" i="2"/>
  <c r="R48" i="2"/>
  <c r="Q48" i="2"/>
  <c r="R46" i="2"/>
  <c r="Q46" i="2"/>
  <c r="R43" i="2"/>
  <c r="Q43" i="2"/>
  <c r="R40" i="2"/>
  <c r="Q40" i="2"/>
  <c r="P40" i="2"/>
  <c r="O40" i="2"/>
  <c r="N40" i="2"/>
  <c r="M40" i="2"/>
  <c r="L40" i="2"/>
  <c r="K40" i="2"/>
  <c r="J81" i="2"/>
  <c r="I81" i="2"/>
  <c r="F78" i="2"/>
  <c r="D78" i="2"/>
  <c r="H78" i="2"/>
  <c r="G78" i="2"/>
  <c r="E78" i="2"/>
  <c r="C78" i="2"/>
  <c r="H51" i="2"/>
  <c r="G51" i="2"/>
  <c r="F51" i="2"/>
  <c r="E51" i="2"/>
  <c r="D51" i="2"/>
  <c r="C51" i="2"/>
  <c r="I46" i="2"/>
  <c r="I43" i="2"/>
  <c r="F40" i="2"/>
  <c r="E40" i="2"/>
  <c r="D40" i="2"/>
  <c r="C40" i="2"/>
  <c r="J40" i="2"/>
  <c r="R25" i="2"/>
  <c r="Q25" i="2"/>
  <c r="R26" i="2"/>
  <c r="Q26" i="2"/>
  <c r="R21" i="2"/>
  <c r="Q21" i="2"/>
  <c r="R12" i="2"/>
  <c r="Q12" i="2"/>
  <c r="AN19" i="2" l="1"/>
  <c r="R78" i="2"/>
  <c r="R51" i="2"/>
  <c r="AN8" i="2"/>
  <c r="AM17" i="2"/>
  <c r="AM46" i="2"/>
  <c r="AN27" i="2"/>
  <c r="Q51" i="2"/>
  <c r="AB40" i="2"/>
  <c r="AM19" i="2"/>
  <c r="J78" i="2"/>
  <c r="W34" i="2"/>
  <c r="AN13" i="2"/>
  <c r="AN62" i="2"/>
  <c r="Q78" i="2"/>
  <c r="AN12" i="2"/>
  <c r="AN37" i="2"/>
  <c r="AN68" i="2"/>
  <c r="AM61" i="2"/>
  <c r="I51" i="2"/>
  <c r="AN10" i="2"/>
  <c r="AN65" i="2"/>
  <c r="J51" i="2"/>
  <c r="AM13" i="2"/>
  <c r="AN21" i="2"/>
  <c r="AM54" i="2"/>
  <c r="AN46" i="2"/>
  <c r="X34" i="2"/>
  <c r="AN72" i="2"/>
  <c r="AN17" i="2"/>
  <c r="AA51" i="2"/>
  <c r="AM50" i="2"/>
  <c r="AM21" i="2"/>
  <c r="AM31" i="2"/>
  <c r="AM11" i="2"/>
  <c r="AM30" i="2"/>
  <c r="AM39" i="2"/>
  <c r="AM53" i="2"/>
  <c r="AN56" i="2"/>
  <c r="AM60" i="2"/>
  <c r="AM66" i="2"/>
  <c r="AM70" i="2"/>
  <c r="AN48" i="2"/>
  <c r="AM73" i="2"/>
  <c r="AB51" i="2"/>
  <c r="AN50" i="2"/>
  <c r="AM25" i="2"/>
  <c r="AN31" i="2"/>
  <c r="AN11" i="2"/>
  <c r="AN30" i="2"/>
  <c r="AN39" i="2"/>
  <c r="AN45" i="2"/>
  <c r="AN53" i="2"/>
  <c r="AM56" i="2"/>
  <c r="AN60" i="2"/>
  <c r="AN66" i="2"/>
  <c r="AN70" i="2"/>
  <c r="AM8" i="2"/>
  <c r="AM72" i="2"/>
  <c r="AM57" i="2"/>
  <c r="AN73" i="2"/>
  <c r="AA40" i="2"/>
  <c r="AM9" i="2"/>
  <c r="AM36" i="2"/>
  <c r="AN58" i="2"/>
  <c r="AM64" i="2"/>
  <c r="AM77" i="2"/>
  <c r="AM26" i="2"/>
  <c r="AN20" i="2"/>
  <c r="AN36" i="2"/>
  <c r="AN43" i="2"/>
  <c r="AM58" i="2"/>
  <c r="AM55" i="2"/>
  <c r="AN61" i="2"/>
  <c r="AN64" i="2"/>
  <c r="AN67" i="2"/>
  <c r="AN25" i="2"/>
  <c r="AM20" i="2"/>
  <c r="AN55" i="2"/>
  <c r="AM67" i="2"/>
  <c r="W40" i="2"/>
  <c r="AN9" i="2"/>
  <c r="X40" i="2"/>
  <c r="AM48" i="2"/>
  <c r="AN77" i="2"/>
  <c r="AM12" i="2"/>
  <c r="AN26" i="2"/>
  <c r="AM10" i="2"/>
  <c r="AM27" i="2"/>
  <c r="AM37" i="2"/>
  <c r="AM43" i="2"/>
  <c r="AN57" i="2"/>
  <c r="AN54" i="2"/>
  <c r="AM62" i="2"/>
  <c r="AM65" i="2"/>
  <c r="AM68" i="2"/>
  <c r="J34" i="2"/>
  <c r="Q34" i="2"/>
  <c r="R34" i="2"/>
  <c r="AM81" i="2"/>
  <c r="AN81" i="2"/>
  <c r="AM42" i="2"/>
  <c r="AN42" i="2"/>
  <c r="AA34" i="2"/>
  <c r="AB34" i="2"/>
  <c r="AI34" i="2"/>
  <c r="AJ34" i="2"/>
  <c r="W78" i="2"/>
  <c r="X78" i="2"/>
  <c r="AJ51" i="2"/>
  <c r="AI78" i="2"/>
  <c r="AB82" i="2" l="1"/>
  <c r="AA82" i="2"/>
  <c r="AN40" i="2"/>
  <c r="J82" i="2"/>
  <c r="AM78" i="2"/>
  <c r="AM51" i="2"/>
  <c r="AM40" i="2"/>
  <c r="AN34" i="2"/>
  <c r="AN51" i="2"/>
  <c r="AM34" i="2"/>
  <c r="AN78" i="2"/>
  <c r="AM82" i="2" l="1"/>
  <c r="AN82" i="2"/>
</calcChain>
</file>

<file path=xl/sharedStrings.xml><?xml version="1.0" encoding="utf-8"?>
<sst xmlns="http://schemas.openxmlformats.org/spreadsheetml/2006/main" count="166" uniqueCount="111">
  <si>
    <t>AGREMIACIONES ESTUDIANTILES</t>
  </si>
  <si>
    <t>ALMACENES / DEPÓSITOS</t>
  </si>
  <si>
    <t>AUDIOVISUALES</t>
  </si>
  <si>
    <t>AULAS DE CLASE</t>
  </si>
  <si>
    <t>BIBLIOTECA</t>
  </si>
  <si>
    <t>BIBLIOTECA ESPECIALIZADA</t>
  </si>
  <si>
    <t>CENTROS DE DOCUMENTACIÓN</t>
  </si>
  <si>
    <t>ESTUDIO DE GRABACIÓN</t>
  </si>
  <si>
    <t>HEMEROTECA</t>
  </si>
  <si>
    <t>HERBARIO FORESTAL</t>
  </si>
  <si>
    <t>INVERNADERO</t>
  </si>
  <si>
    <t>INVESTIGACIÓN</t>
  </si>
  <si>
    <t>MUSEO</t>
  </si>
  <si>
    <t>OBSERVATORIO</t>
  </si>
  <si>
    <t>SALAS DE EXPOSICIONES</t>
  </si>
  <si>
    <t>SALAS DE PROFESORES</t>
  </si>
  <si>
    <t>SALAS DE SISTEMAS</t>
  </si>
  <si>
    <t>SALAS DE TRABAJO AUTONOMO</t>
  </si>
  <si>
    <t>SALAS DE TRABAJO GRUPAL</t>
  </si>
  <si>
    <t>SALAS DE TUTORÍAS</t>
  </si>
  <si>
    <t>SOPORTE LABORATORIOS</t>
  </si>
  <si>
    <t>TALLERES</t>
  </si>
  <si>
    <t>VIVERO</t>
  </si>
  <si>
    <t>XILOTECA</t>
  </si>
  <si>
    <t>TOTAL ACADÉMICO</t>
  </si>
  <si>
    <t>ADMINISTRATIVO</t>
  </si>
  <si>
    <t>ARCHIVO</t>
  </si>
  <si>
    <t>OFICINAS</t>
  </si>
  <si>
    <t>SALA DE AUDIENCIAS</t>
  </si>
  <si>
    <t>SALAS DE JUNTAS</t>
  </si>
  <si>
    <t>TOTAL ADMINISTRATIVO</t>
  </si>
  <si>
    <t>COMUN</t>
  </si>
  <si>
    <t>BALCONES</t>
  </si>
  <si>
    <t>CIRCULACIONES</t>
  </si>
  <si>
    <t>GRADERÍAS</t>
  </si>
  <si>
    <t>JARDINES</t>
  </si>
  <si>
    <t>PATIOS INTERIORES</t>
  </si>
  <si>
    <t>PLAZOLETAS</t>
  </si>
  <si>
    <t>SALAS DE ESPERA</t>
  </si>
  <si>
    <t>SALAS DE ESTAR</t>
  </si>
  <si>
    <t>TERRAZAS</t>
  </si>
  <si>
    <t>TOTAL COMUN</t>
  </si>
  <si>
    <t>SERVICIOS</t>
  </si>
  <si>
    <t>ARRENDAMIENTOS</t>
  </si>
  <si>
    <t>BAÑOS GENERALES</t>
  </si>
  <si>
    <t>BAÑOS PRIVADOS</t>
  </si>
  <si>
    <t>BIENESTAR UNIVERSITARIO</t>
  </si>
  <si>
    <t>BODEGA DE INSUMOS</t>
  </si>
  <si>
    <t>BODEGAJE Y ALMACENAMIENTO</t>
  </si>
  <si>
    <t>CAFETERIA</t>
  </si>
  <si>
    <t>CAFETERÍA UNIVERSITARIA</t>
  </si>
  <si>
    <t>CAMERINOS</t>
  </si>
  <si>
    <t>CENTRO DE ACOPIO</t>
  </si>
  <si>
    <t>CENTRO DE COPIADO</t>
  </si>
  <si>
    <t>COCINETAS</t>
  </si>
  <si>
    <t>CUARTOS DE ASEO</t>
  </si>
  <si>
    <t>CUARTOS DE PERSONAL</t>
  </si>
  <si>
    <t>CUARTOS DE RESIDUOS</t>
  </si>
  <si>
    <t>CUARTOS TÉCNICOS</t>
  </si>
  <si>
    <t>DUCHAS DE EMERGENCIA</t>
  </si>
  <si>
    <t>INSTALACIONES DEPORTIVAS</t>
  </si>
  <si>
    <t>LOCKERS</t>
  </si>
  <si>
    <t>PARQUEADEROS</t>
  </si>
  <si>
    <t>PORTERÍA - VIGILANCIA</t>
  </si>
  <si>
    <t>RECEPCIONES</t>
  </si>
  <si>
    <t>SHUT</t>
  </si>
  <si>
    <t>VESTIERES</t>
  </si>
  <si>
    <t>TOTAL SERVICIOS</t>
  </si>
  <si>
    <t>SIN USO</t>
  </si>
  <si>
    <t>TOTAL SIN USO</t>
  </si>
  <si>
    <t>LABORATORIOS Y ESPACIOS DE APOYO</t>
  </si>
  <si>
    <r>
      <rPr>
        <b/>
        <sz val="10"/>
        <color rgb="FFFFFFFF"/>
        <rFont val="Arial Narrow"/>
        <family val="2"/>
      </rPr>
      <t>ARTES ASAB</t>
    </r>
  </si>
  <si>
    <r>
      <rPr>
        <b/>
        <sz val="10"/>
        <color rgb="FFFFFFFF"/>
        <rFont val="Arial Narrow"/>
        <family val="2"/>
      </rPr>
      <t>TOTAL ÁREA 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 FACULTAD DE ARTES ASAB</t>
    </r>
  </si>
  <si>
    <r>
      <rPr>
        <b/>
        <sz val="10"/>
        <color rgb="FFFFFFFF"/>
        <rFont val="Arial Narrow"/>
        <family val="2"/>
      </rPr>
      <t>TOTAL CANTIDAD FACULTAD DE ARTES ASAB</t>
    </r>
  </si>
  <si>
    <r>
      <rPr>
        <b/>
        <sz val="10"/>
        <color rgb="FFFFFFFF"/>
        <rFont val="Arial Narrow"/>
        <family val="2"/>
      </rPr>
      <t>CIENCIAS Y EDUCACIÓN</t>
    </r>
  </si>
  <si>
    <r>
      <rPr>
        <b/>
        <sz val="10"/>
        <color rgb="FFFFFFFF"/>
        <rFont val="Arial Narrow"/>
        <family val="2"/>
      </rPr>
      <t>TOTAL ÁREA 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 FACULTAD DE CIENCIAS Y EDUCACIÓN</t>
    </r>
  </si>
  <si>
    <r>
      <rPr>
        <b/>
        <sz val="10"/>
        <color rgb="FFFFFFFF"/>
        <rFont val="Arial Narrow"/>
        <family val="2"/>
      </rPr>
      <t>TOTAL CANTIDAD FACULTAD DE CIENCIAS Y EDUCACIÓN</t>
    </r>
  </si>
  <si>
    <r>
      <rPr>
        <b/>
        <sz val="10"/>
        <color rgb="FFFFFFFF"/>
        <rFont val="Arial Narrow"/>
        <family val="2"/>
      </rPr>
      <t>INGENIERÍA</t>
    </r>
  </si>
  <si>
    <r>
      <rPr>
        <b/>
        <sz val="10"/>
        <color rgb="FFFFFFFF"/>
        <rFont val="Arial Narrow"/>
        <family val="2"/>
      </rPr>
      <t>TOTAL ÁREA 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 FACULTAD DE INGENIERÍA</t>
    </r>
  </si>
  <si>
    <r>
      <rPr>
        <b/>
        <sz val="10"/>
        <color rgb="FFFFFFFF"/>
        <rFont val="Arial Narrow"/>
        <family val="2"/>
      </rPr>
      <t>TOTAL CANTIDAD FACULTAD DE INGENIERÍA</t>
    </r>
  </si>
  <si>
    <r>
      <rPr>
        <b/>
        <sz val="10"/>
        <color rgb="FFFFFFFF"/>
        <rFont val="Arial Narrow"/>
        <family val="2"/>
      </rPr>
      <t>MEDIO AMBIENTE Y RECURSOS NATURALES</t>
    </r>
  </si>
  <si>
    <r>
      <rPr>
        <b/>
        <sz val="10"/>
        <color rgb="FFFFFFFF"/>
        <rFont val="Arial Narrow"/>
        <family val="2"/>
      </rPr>
      <t>N/A</t>
    </r>
  </si>
  <si>
    <r>
      <rPr>
        <b/>
        <sz val="10"/>
        <color rgb="FFFFFFFF"/>
        <rFont val="Arial Narrow"/>
        <family val="2"/>
      </rPr>
      <t>TECNOLOGICA</t>
    </r>
  </si>
  <si>
    <r>
      <rPr>
        <b/>
        <sz val="10"/>
        <color rgb="FFFFFFFF"/>
        <rFont val="Arial Narrow"/>
        <family val="2"/>
      </rPr>
      <t>TOTAL ÁREA 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 FACULTAD TECNOLÓGICA</t>
    </r>
  </si>
  <si>
    <r>
      <rPr>
        <b/>
        <sz val="10"/>
        <color rgb="FFFFFFFF"/>
        <rFont val="Arial Narrow"/>
        <family val="2"/>
      </rPr>
      <t>TOTAL CANTIDAD FACULTAD TECNOLÓGICA</t>
    </r>
  </si>
  <si>
    <r>
      <rPr>
        <b/>
        <sz val="10"/>
        <color rgb="FFFFFFFF"/>
        <rFont val="Arial Narrow"/>
        <family val="2"/>
      </rPr>
      <t>LUIS A. CALVO</t>
    </r>
  </si>
  <si>
    <r>
      <rPr>
        <b/>
        <sz val="10"/>
        <color rgb="FFFFFFFF"/>
        <rFont val="Arial Narrow"/>
        <family val="2"/>
      </rPr>
      <t>SOTANOS</t>
    </r>
  </si>
  <si>
    <r>
      <rPr>
        <b/>
        <sz val="10"/>
        <color rgb="FFFFFFFF"/>
        <rFont val="Arial Narrow"/>
        <family val="2"/>
      </rPr>
      <t>MACARENA A</t>
    </r>
  </si>
  <si>
    <r>
      <rPr>
        <b/>
        <sz val="10"/>
        <color rgb="FFFFFFFF"/>
        <rFont val="Arial Narrow"/>
        <family val="2"/>
      </rPr>
      <t>MACARENA B</t>
    </r>
  </si>
  <si>
    <r>
      <rPr>
        <b/>
        <sz val="10"/>
        <color rgb="FFFFFFFF"/>
        <rFont val="Arial Narrow"/>
        <family val="2"/>
      </rPr>
      <t>POSGRADOS</t>
    </r>
  </si>
  <si>
    <r>
      <rPr>
        <b/>
        <sz val="10"/>
        <color rgb="FFFFFFFF"/>
        <rFont val="Arial Narrow"/>
        <family val="2"/>
      </rPr>
      <t>CALLE 40</t>
    </r>
  </si>
  <si>
    <r>
      <rPr>
        <b/>
        <sz val="10"/>
        <color rgb="FFFFFFFF"/>
        <rFont val="Arial Narrow"/>
        <family val="2"/>
      </rPr>
      <t>CALLE 34</t>
    </r>
  </si>
  <si>
    <r>
      <rPr>
        <b/>
        <sz val="10"/>
        <color rgb="FFFFFFFF"/>
        <rFont val="Arial Narrow"/>
        <family val="2"/>
      </rPr>
      <t>VIVERO</t>
    </r>
  </si>
  <si>
    <r>
      <rPr>
        <b/>
        <sz val="10"/>
        <color rgb="FFFFFFFF"/>
        <rFont val="Arial Narrow"/>
        <family val="2"/>
      </rPr>
      <t>ADUANILLA DE PAIBA</t>
    </r>
  </si>
  <si>
    <r>
      <rPr>
        <b/>
        <sz val="10"/>
        <color rgb="FFFFFFFF"/>
        <rFont val="Arial Narrow"/>
        <family val="2"/>
      </rPr>
      <t>EMISORA</t>
    </r>
  </si>
  <si>
    <r>
      <rPr>
        <b/>
        <sz val="10"/>
        <color rgb="FFFFFFFF"/>
        <rFont val="Arial Narrow"/>
        <family val="2"/>
      </rPr>
      <t>PORVENIR</t>
    </r>
  </si>
  <si>
    <r>
      <rPr>
        <b/>
        <sz val="10"/>
        <color rgb="FFFFFFFF"/>
        <rFont val="Arial Narrow"/>
        <family val="2"/>
      </rPr>
      <t>ÁREA
ÚTIL(M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</t>
    </r>
  </si>
  <si>
    <r>
      <rPr>
        <b/>
        <sz val="10"/>
        <color rgb="FFFFFFFF"/>
        <rFont val="Arial Narrow"/>
        <family val="2"/>
      </rPr>
      <t>CANTIDAD</t>
    </r>
  </si>
  <si>
    <r>
      <rPr>
        <b/>
        <sz val="10"/>
        <color rgb="FFFFFFFF"/>
        <rFont val="Arial Narrow"/>
        <family val="2"/>
      </rPr>
      <t>ÁREA ÚTIL(M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</t>
    </r>
  </si>
  <si>
    <r>
      <rPr>
        <b/>
        <sz val="10"/>
        <color rgb="FFFFFFFF"/>
        <rFont val="Arial Narrow"/>
        <family val="2"/>
      </rPr>
      <t>TOTAL GENERAL</t>
    </r>
  </si>
  <si>
    <t>ACADÉMICO</t>
  </si>
  <si>
    <t>FACULTAD</t>
  </si>
  <si>
    <t>SEDE</t>
  </si>
  <si>
    <t>USO GENERAL / TIPO DE ESPACIO</t>
  </si>
  <si>
    <r>
      <rPr>
        <b/>
        <sz val="10"/>
        <color rgb="FF0070C0"/>
        <rFont val="Arial Narrow"/>
        <family val="2"/>
      </rPr>
      <t>TOTAL ÁREA ÚTIL (M</t>
    </r>
    <r>
      <rPr>
        <b/>
        <vertAlign val="superscript"/>
        <sz val="10"/>
        <color rgb="FF0070C0"/>
        <rFont val="Arial Narrow"/>
        <family val="2"/>
      </rPr>
      <t>2</t>
    </r>
    <r>
      <rPr>
        <b/>
        <sz val="10"/>
        <color rgb="FF0070C0"/>
        <rFont val="Arial Narrow"/>
        <family val="2"/>
      </rPr>
      <t>)</t>
    </r>
  </si>
  <si>
    <t>TOTAL CANTIDAD</t>
  </si>
  <si>
    <t>AUDITORIOS</t>
  </si>
  <si>
    <t>PALACIO LA MERCED</t>
  </si>
  <si>
    <r>
      <rPr>
        <b/>
        <sz val="10"/>
        <color rgb="FFFFFFFF"/>
        <rFont val="Arial Narrow"/>
        <family val="2"/>
      </rPr>
      <t>TOTAL ÁREA (M</t>
    </r>
    <r>
      <rPr>
        <b/>
        <vertAlign val="superscript"/>
        <sz val="10"/>
        <color rgb="FFFFFFFF"/>
        <rFont val="Arial Narrow"/>
        <family val="2"/>
      </rPr>
      <t>2</t>
    </r>
    <r>
      <rPr>
        <b/>
        <sz val="10"/>
        <color rgb="FFFFFFFF"/>
        <rFont val="Arial Narrow"/>
        <family val="2"/>
      </rPr>
      <t>) SEDE VIVERO</t>
    </r>
  </si>
  <si>
    <t>TOTAL CANTIDAD SEDE VIVERO</t>
  </si>
  <si>
    <t>" CUADRO DE ÁREAS ÚTILES Y CANTIDADES DE ESPACIOS FÍSICOS POR USO Y TIPO DE ESPACIO POR FACULTAD Y SEDE " REPORTE DE INFORMACIÓN ESCALA ARQUITECTÓNICA ETAPA I - CONFORMACIÓN BASE GEOGRÁFICA - SISTEMA DE INFORMACIÓN GEOGRÁFICA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</si>
</sst>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0.0000"/>
  </numFmts>
  <fonts count="19" x14ac:knownFonts="1">
    <font>
      <sz val="10"/>
      <color rgb="FF000000"/>
      <name val="Times New Roman"/>
      <charset val="204"/>
    </font>
    <font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color rgb="FFFFFFFF"/>
      <name val="Arial Narrow"/>
      <family val="2"/>
    </font>
    <font>
      <b/>
      <vertAlign val="superscript"/>
      <sz val="10"/>
      <color rgb="FFFFFFFF"/>
      <name val="Arial Narrow"/>
      <family val="2"/>
    </font>
    <font>
      <sz val="10"/>
      <name val="Arial Narrow"/>
      <family val="2"/>
    </font>
    <font>
      <b/>
      <sz val="10"/>
      <color rgb="FF00000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b/>
      <sz val="10"/>
      <color rgb="FF0070C0"/>
      <name val="Arial Narrow"/>
      <family val="2"/>
    </font>
    <font>
      <b/>
      <sz val="10"/>
      <color rgb="FF00B050"/>
      <name val="Arial Narrow"/>
      <family val="2"/>
    </font>
    <font>
      <b/>
      <sz val="10"/>
      <color theme="9" tint="-0.249977111117893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8" tint="-0.499984740745262"/>
      <name val="Arial Narrow"/>
      <family val="2"/>
    </font>
    <font>
      <sz val="10"/>
      <color rgb="FF0070C0"/>
      <name val="Arial Narrow"/>
      <family val="2"/>
    </font>
    <font>
      <b/>
      <vertAlign val="superscript"/>
      <sz val="10"/>
      <color rgb="FF0070C0"/>
      <name val="Arial Narrow"/>
      <family val="2"/>
    </font>
    <font>
      <sz val="10"/>
      <color rgb="FF000000"/>
      <name val="Times New Roman"/>
      <charset val="204"/>
    </font>
    <font>
      <sz val="24"/>
      <color theme="1"/>
      <name val="Arial Narrow"/>
      <family val="2"/>
    </font>
    <font>
      <b/>
      <sz val="24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88">
    <xf numFmtId="0" fontId="0" fillId="0" borderId="0" xfId="0" applyFill="1" applyBorder="1" applyAlignment="1">
      <alignment horizontal="left" vertical="top"/>
    </xf>
    <xf numFmtId="2" fontId="1" fillId="0" borderId="1" xfId="0" applyNumberFormat="1" applyFont="1" applyFill="1" applyBorder="1" applyAlignment="1">
      <alignment horizontal="center" vertical="center" shrinkToFit="1"/>
    </xf>
    <xf numFmtId="1" fontId="1" fillId="0" borderId="1" xfId="0" applyNumberFormat="1" applyFont="1" applyFill="1" applyBorder="1" applyAlignment="1">
      <alignment horizontal="center" vertical="center" shrinkToFit="1"/>
    </xf>
    <xf numFmtId="2" fontId="6" fillId="0" borderId="1" xfId="0" applyNumberFormat="1" applyFont="1" applyFill="1" applyBorder="1" applyAlignment="1">
      <alignment horizontal="center" vertical="center" shrinkToFit="1"/>
    </xf>
    <xf numFmtId="1" fontId="6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shrinkToFit="1"/>
    </xf>
    <xf numFmtId="2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shrinkToFit="1"/>
    </xf>
    <xf numFmtId="2" fontId="1" fillId="0" borderId="0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shrinkToFit="1"/>
    </xf>
    <xf numFmtId="165" fontId="1" fillId="0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shrinkToFit="1"/>
    </xf>
    <xf numFmtId="1" fontId="7" fillId="3" borderId="1" xfId="0" applyNumberFormat="1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shrinkToFit="1"/>
    </xf>
    <xf numFmtId="1" fontId="7" fillId="2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shrinkToFit="1"/>
    </xf>
    <xf numFmtId="3" fontId="7" fillId="2" borderId="1" xfId="0" applyNumberFormat="1" applyFont="1" applyFill="1" applyBorder="1" applyAlignment="1">
      <alignment horizontal="center" vertical="center" shrinkToFit="1"/>
    </xf>
    <xf numFmtId="0" fontId="7" fillId="6" borderId="1" xfId="0" applyFont="1" applyFill="1" applyBorder="1" applyAlignment="1">
      <alignment horizontal="center" vertical="center" wrapText="1"/>
    </xf>
    <xf numFmtId="2" fontId="7" fillId="6" borderId="1" xfId="0" applyNumberFormat="1" applyFont="1" applyFill="1" applyBorder="1" applyAlignment="1">
      <alignment horizontal="center" vertical="center" shrinkToFit="1"/>
    </xf>
    <xf numFmtId="1" fontId="7" fillId="6" borderId="1" xfId="0" applyNumberFormat="1" applyFont="1" applyFill="1" applyBorder="1" applyAlignment="1">
      <alignment horizontal="center" vertical="center" shrinkToFit="1"/>
    </xf>
    <xf numFmtId="4" fontId="7" fillId="6" borderId="1" xfId="0" applyNumberFormat="1" applyFont="1" applyFill="1" applyBorder="1" applyAlignment="1">
      <alignment horizontal="center" vertical="center" shrinkToFit="1"/>
    </xf>
    <xf numFmtId="3" fontId="7" fillId="6" borderId="1" xfId="0" applyNumberFormat="1" applyFont="1" applyFill="1" applyBorder="1" applyAlignment="1">
      <alignment horizontal="center" vertical="center" shrinkToFit="1"/>
    </xf>
    <xf numFmtId="0" fontId="7" fillId="10" borderId="1" xfId="0" applyFont="1" applyFill="1" applyBorder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 vertical="center" shrinkToFit="1"/>
    </xf>
    <xf numFmtId="2" fontId="7" fillId="10" borderId="1" xfId="0" applyNumberFormat="1" applyFont="1" applyFill="1" applyBorder="1" applyAlignment="1">
      <alignment horizontal="center" vertical="center" shrinkToFit="1"/>
    </xf>
    <xf numFmtId="4" fontId="7" fillId="10" borderId="1" xfId="0" applyNumberFormat="1" applyFont="1" applyFill="1" applyBorder="1" applyAlignment="1">
      <alignment horizontal="center" vertical="center" shrinkToFit="1"/>
    </xf>
    <xf numFmtId="3" fontId="7" fillId="10" borderId="1" xfId="0" applyNumberFormat="1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shrinkToFit="1"/>
    </xf>
    <xf numFmtId="1" fontId="7" fillId="5" borderId="1" xfId="0" applyNumberFormat="1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" fontId="1" fillId="0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17" fillId="13" borderId="12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O85"/>
  <sheetViews>
    <sheetView tabSelected="1" zoomScale="70" zoomScaleNormal="70" workbookViewId="0">
      <selection activeCell="H30" sqref="H30"/>
    </sheetView>
  </sheetViews>
  <sheetFormatPr baseColWidth="10" defaultColWidth="12" defaultRowHeight="18" customHeight="1" x14ac:dyDescent="0.25"/>
  <cols>
    <col min="1" max="1" width="12" style="10" customWidth="1"/>
    <col min="2" max="2" width="56.6640625" style="10" customWidth="1"/>
    <col min="3" max="3" width="12.44140625" style="10" customWidth="1"/>
    <col min="4" max="4" width="14.44140625" style="10" customWidth="1"/>
    <col min="5" max="5" width="12.6640625" style="10" customWidth="1"/>
    <col min="6" max="6" width="15.109375" style="10" customWidth="1"/>
    <col min="7" max="7" width="12" style="10" customWidth="1"/>
    <col min="8" max="8" width="15.44140625" style="10" customWidth="1"/>
    <col min="9" max="9" width="16.109375" style="10" customWidth="1"/>
    <col min="10" max="10" width="16.77734375" style="10" customWidth="1"/>
    <col min="11" max="11" width="13.77734375" style="10" customWidth="1"/>
    <col min="12" max="12" width="16.109375" style="10" customWidth="1"/>
    <col min="13" max="13" width="16" style="10" customWidth="1"/>
    <col min="14" max="14" width="16.44140625" style="10" customWidth="1"/>
    <col min="15" max="15" width="14.6640625" style="10" customWidth="1"/>
    <col min="16" max="16" width="16.109375" style="10" customWidth="1"/>
    <col min="17" max="17" width="22.77734375" style="10" customWidth="1"/>
    <col min="18" max="18" width="22" style="10" customWidth="1"/>
    <col min="19" max="19" width="14" style="10" customWidth="1"/>
    <col min="20" max="20" width="20.109375" style="10" customWidth="1"/>
    <col min="21" max="21" width="17.44140625" style="10" customWidth="1"/>
    <col min="22" max="22" width="14.109375" style="10" customWidth="1"/>
    <col min="23" max="23" width="23.44140625" style="10" customWidth="1"/>
    <col min="24" max="24" width="24.33203125" style="10" customWidth="1"/>
    <col min="25" max="25" width="12.6640625" style="10" customWidth="1"/>
    <col min="26" max="26" width="18" style="10" customWidth="1"/>
    <col min="27" max="27" width="24.33203125" style="10" customWidth="1"/>
    <col min="28" max="28" width="22.44140625" style="10" customWidth="1"/>
    <col min="29" max="30" width="14.77734375" style="10" customWidth="1"/>
    <col min="31" max="33" width="18.44140625" style="10" customWidth="1"/>
    <col min="34" max="34" width="23.109375" style="10" customWidth="1"/>
    <col min="35" max="35" width="23" style="10" customWidth="1"/>
    <col min="36" max="36" width="23.109375" style="10" customWidth="1"/>
    <col min="37" max="37" width="18.33203125" style="10" customWidth="1"/>
    <col min="38" max="38" width="17.33203125" style="10" customWidth="1"/>
    <col min="39" max="39" width="19.77734375" style="10" customWidth="1"/>
    <col min="40" max="40" width="22.6640625" style="10" customWidth="1"/>
    <col min="41" max="41" width="24.44140625" style="10" customWidth="1"/>
    <col min="42" max="16384" width="12" style="10"/>
  </cols>
  <sheetData>
    <row r="2" spans="2:40" ht="33" customHeight="1" x14ac:dyDescent="0.25">
      <c r="B2" s="86" t="s">
        <v>110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</row>
    <row r="3" spans="2:40" ht="15" customHeight="1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2:40" ht="39.75" customHeight="1" x14ac:dyDescent="0.25">
      <c r="B4" s="46" t="s">
        <v>101</v>
      </c>
      <c r="C4" s="58" t="s">
        <v>71</v>
      </c>
      <c r="D4" s="59"/>
      <c r="E4" s="59"/>
      <c r="F4" s="59"/>
      <c r="G4" s="59"/>
      <c r="H4" s="59"/>
      <c r="I4" s="60" t="s">
        <v>72</v>
      </c>
      <c r="J4" s="61" t="s">
        <v>73</v>
      </c>
      <c r="K4" s="62" t="s">
        <v>74</v>
      </c>
      <c r="L4" s="62"/>
      <c r="M4" s="62"/>
      <c r="N4" s="62"/>
      <c r="O4" s="62"/>
      <c r="P4" s="62"/>
      <c r="Q4" s="60" t="s">
        <v>75</v>
      </c>
      <c r="R4" s="61" t="s">
        <v>76</v>
      </c>
      <c r="S4" s="62" t="s">
        <v>77</v>
      </c>
      <c r="T4" s="62"/>
      <c r="V4" s="82"/>
      <c r="W4" s="60" t="s">
        <v>78</v>
      </c>
      <c r="X4" s="61" t="s">
        <v>79</v>
      </c>
      <c r="Y4" s="82" t="s">
        <v>80</v>
      </c>
      <c r="Z4" s="82"/>
      <c r="AA4" s="85" t="s">
        <v>108</v>
      </c>
      <c r="AB4" s="85" t="s">
        <v>109</v>
      </c>
      <c r="AC4" s="63" t="s">
        <v>81</v>
      </c>
      <c r="AD4" s="63"/>
      <c r="AE4" s="64" t="s">
        <v>81</v>
      </c>
      <c r="AF4" s="64"/>
      <c r="AG4" s="62" t="s">
        <v>82</v>
      </c>
      <c r="AH4" s="62"/>
      <c r="AI4" s="60" t="s">
        <v>83</v>
      </c>
      <c r="AJ4" s="61" t="s">
        <v>84</v>
      </c>
      <c r="AK4" s="64" t="s">
        <v>81</v>
      </c>
      <c r="AL4" s="64"/>
      <c r="AM4" s="71" t="s">
        <v>104</v>
      </c>
      <c r="AN4" s="72" t="s">
        <v>105</v>
      </c>
    </row>
    <row r="5" spans="2:40" ht="42.75" customHeight="1" x14ac:dyDescent="0.25">
      <c r="B5" s="46" t="s">
        <v>102</v>
      </c>
      <c r="C5" s="70" t="s">
        <v>107</v>
      </c>
      <c r="D5" s="69"/>
      <c r="E5" s="73" t="s">
        <v>85</v>
      </c>
      <c r="F5" s="74"/>
      <c r="G5" s="68" t="s">
        <v>86</v>
      </c>
      <c r="H5" s="69"/>
      <c r="I5" s="60"/>
      <c r="J5" s="61"/>
      <c r="K5" s="62" t="s">
        <v>87</v>
      </c>
      <c r="L5" s="62"/>
      <c r="M5" s="62" t="s">
        <v>88</v>
      </c>
      <c r="N5" s="62"/>
      <c r="O5" s="62" t="s">
        <v>89</v>
      </c>
      <c r="P5" s="62"/>
      <c r="Q5" s="60"/>
      <c r="R5" s="61"/>
      <c r="S5" s="62" t="s">
        <v>90</v>
      </c>
      <c r="T5" s="62"/>
      <c r="U5" s="62" t="s">
        <v>91</v>
      </c>
      <c r="V5" s="62"/>
      <c r="W5" s="60"/>
      <c r="X5" s="61"/>
      <c r="Y5" s="62" t="s">
        <v>92</v>
      </c>
      <c r="Z5" s="62"/>
      <c r="AA5" s="60"/>
      <c r="AB5" s="61"/>
      <c r="AC5" s="63" t="s">
        <v>93</v>
      </c>
      <c r="AD5" s="63"/>
      <c r="AE5" s="64" t="s">
        <v>94</v>
      </c>
      <c r="AF5" s="64"/>
      <c r="AG5" s="62" t="s">
        <v>82</v>
      </c>
      <c r="AH5" s="62"/>
      <c r="AI5" s="60"/>
      <c r="AJ5" s="61"/>
      <c r="AK5" s="64" t="s">
        <v>95</v>
      </c>
      <c r="AL5" s="64"/>
      <c r="AM5" s="71"/>
      <c r="AN5" s="72"/>
    </row>
    <row r="6" spans="2:40" ht="42" customHeight="1" x14ac:dyDescent="0.25">
      <c r="B6" s="46" t="s">
        <v>103</v>
      </c>
      <c r="C6" s="47" t="s">
        <v>96</v>
      </c>
      <c r="D6" s="48" t="s">
        <v>97</v>
      </c>
      <c r="E6" s="49" t="s">
        <v>98</v>
      </c>
      <c r="F6" s="48" t="s">
        <v>97</v>
      </c>
      <c r="G6" s="50" t="s">
        <v>98</v>
      </c>
      <c r="H6" s="48" t="s">
        <v>97</v>
      </c>
      <c r="I6" s="60"/>
      <c r="J6" s="61"/>
      <c r="K6" s="51" t="s">
        <v>98</v>
      </c>
      <c r="L6" s="48" t="s">
        <v>97</v>
      </c>
      <c r="M6" s="51" t="s">
        <v>98</v>
      </c>
      <c r="N6" s="48" t="s">
        <v>97</v>
      </c>
      <c r="O6" s="51" t="s">
        <v>98</v>
      </c>
      <c r="P6" s="48" t="s">
        <v>97</v>
      </c>
      <c r="Q6" s="60"/>
      <c r="R6" s="61"/>
      <c r="S6" s="51" t="s">
        <v>98</v>
      </c>
      <c r="T6" s="48" t="s">
        <v>97</v>
      </c>
      <c r="U6" s="51" t="s">
        <v>96</v>
      </c>
      <c r="V6" s="56" t="s">
        <v>97</v>
      </c>
      <c r="W6" s="60"/>
      <c r="X6" s="61"/>
      <c r="Y6" s="51" t="s">
        <v>98</v>
      </c>
      <c r="Z6" s="48" t="s">
        <v>97</v>
      </c>
      <c r="AA6" s="60"/>
      <c r="AB6" s="61"/>
      <c r="AC6" s="7" t="s">
        <v>96</v>
      </c>
      <c r="AD6" s="7" t="s">
        <v>97</v>
      </c>
      <c r="AE6" s="7" t="s">
        <v>96</v>
      </c>
      <c r="AF6" s="17" t="s">
        <v>97</v>
      </c>
      <c r="AG6" s="51" t="s">
        <v>98</v>
      </c>
      <c r="AH6" s="48" t="s">
        <v>97</v>
      </c>
      <c r="AI6" s="60"/>
      <c r="AJ6" s="61"/>
      <c r="AK6" s="52" t="s">
        <v>98</v>
      </c>
      <c r="AL6" s="53" t="s">
        <v>97</v>
      </c>
      <c r="AM6" s="71"/>
      <c r="AN6" s="72"/>
    </row>
    <row r="7" spans="2:40" ht="21.75" customHeight="1" x14ac:dyDescent="0.25">
      <c r="B7" s="75" t="s">
        <v>100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</row>
    <row r="8" spans="2:40" ht="21.75" customHeight="1" x14ac:dyDescent="0.25">
      <c r="B8" s="12" t="s">
        <v>106</v>
      </c>
      <c r="C8" s="5">
        <v>163.9</v>
      </c>
      <c r="D8" s="5">
        <v>1</v>
      </c>
      <c r="E8" s="10">
        <v>91.69</v>
      </c>
      <c r="F8" s="10">
        <v>1</v>
      </c>
      <c r="G8" s="5"/>
      <c r="H8" s="5"/>
      <c r="I8" s="54">
        <f>+C8+E8+G8</f>
        <v>255.59</v>
      </c>
      <c r="J8" s="54">
        <f>+D8+F8+H8</f>
        <v>2</v>
      </c>
      <c r="K8" s="5"/>
      <c r="L8" s="5"/>
      <c r="M8" s="5">
        <v>61.93</v>
      </c>
      <c r="N8" s="5">
        <v>1</v>
      </c>
      <c r="O8" s="5">
        <v>105.91</v>
      </c>
      <c r="P8" s="5">
        <v>2</v>
      </c>
      <c r="Q8" s="54">
        <f>K8+M8+O8</f>
        <v>167.84</v>
      </c>
      <c r="R8" s="54">
        <f>L8+N8+P8</f>
        <v>3</v>
      </c>
      <c r="S8" s="1">
        <v>177.54</v>
      </c>
      <c r="T8" s="2">
        <v>1</v>
      </c>
      <c r="U8" s="5">
        <v>74.010000000000005</v>
      </c>
      <c r="V8" s="5">
        <v>1</v>
      </c>
      <c r="W8" s="3">
        <f>S8</f>
        <v>177.54</v>
      </c>
      <c r="X8" s="4">
        <f>T8</f>
        <v>1</v>
      </c>
      <c r="Y8" s="1">
        <v>178.71</v>
      </c>
      <c r="Z8" s="2">
        <v>2</v>
      </c>
      <c r="AA8" s="3">
        <f t="shared" ref="AA8:AB23" si="0">Y8</f>
        <v>178.71</v>
      </c>
      <c r="AB8" s="3">
        <f t="shared" si="0"/>
        <v>2</v>
      </c>
      <c r="AC8" s="5">
        <v>267.39</v>
      </c>
      <c r="AD8" s="5">
        <v>2</v>
      </c>
      <c r="AE8" s="5"/>
      <c r="AF8" s="5"/>
      <c r="AG8" s="1">
        <f>374.19+141.03</f>
        <v>515.22</v>
      </c>
      <c r="AH8" s="2">
        <v>2</v>
      </c>
      <c r="AI8" s="3">
        <f t="shared" ref="AI8" si="1">AG8</f>
        <v>515.22</v>
      </c>
      <c r="AJ8" s="4">
        <f t="shared" ref="AJ8" si="2">AH8</f>
        <v>2</v>
      </c>
      <c r="AK8" s="5">
        <v>715.4</v>
      </c>
      <c r="AL8" s="5">
        <v>5</v>
      </c>
      <c r="AM8" s="9">
        <f>AK8+AI8+AE8+AC8+AA8+W8+Q8+I8</f>
        <v>2277.6899999999996</v>
      </c>
      <c r="AN8" s="6">
        <f>AL8+AJ8+AF8+AD8+AB8+X8+R8+J8</f>
        <v>17</v>
      </c>
    </row>
    <row r="9" spans="2:40" ht="32.25" customHeight="1" x14ac:dyDescent="0.25">
      <c r="B9" s="12" t="s">
        <v>0</v>
      </c>
      <c r="C9" s="5"/>
      <c r="D9" s="5"/>
      <c r="G9" s="5"/>
      <c r="H9" s="5"/>
      <c r="I9" s="54">
        <f t="shared" ref="I9:I12" si="3">+C9+E9+G9</f>
        <v>0</v>
      </c>
      <c r="J9" s="54">
        <f t="shared" ref="J9:J33" si="4">+D9+F9+H9</f>
        <v>0</v>
      </c>
      <c r="K9" s="5">
        <v>39.42</v>
      </c>
      <c r="L9" s="5">
        <v>1</v>
      </c>
      <c r="M9" s="5"/>
      <c r="N9" s="5"/>
      <c r="O9" s="5"/>
      <c r="P9" s="5"/>
      <c r="Q9" s="5"/>
      <c r="R9" s="5"/>
      <c r="S9" s="1">
        <v>275.61</v>
      </c>
      <c r="T9" s="2">
        <v>8</v>
      </c>
      <c r="U9" s="5"/>
      <c r="V9" s="5"/>
      <c r="W9" s="3">
        <f>S9</f>
        <v>275.61</v>
      </c>
      <c r="X9" s="4">
        <f>T9</f>
        <v>8</v>
      </c>
      <c r="Y9" s="1">
        <v>35.159999999999997</v>
      </c>
      <c r="Z9" s="2">
        <v>1</v>
      </c>
      <c r="AA9" s="3">
        <f t="shared" si="0"/>
        <v>35.159999999999997</v>
      </c>
      <c r="AB9" s="3">
        <f t="shared" si="0"/>
        <v>1</v>
      </c>
      <c r="AC9" s="5"/>
      <c r="AD9" s="5"/>
      <c r="AE9" s="5"/>
      <c r="AF9" s="5"/>
      <c r="AG9" s="1">
        <v>14.92</v>
      </c>
      <c r="AH9" s="2">
        <v>2</v>
      </c>
      <c r="AI9" s="3">
        <f t="shared" ref="AI9:AJ14" si="5">AG9</f>
        <v>14.92</v>
      </c>
      <c r="AJ9" s="4">
        <f t="shared" si="5"/>
        <v>2</v>
      </c>
      <c r="AK9" s="5"/>
      <c r="AL9" s="5"/>
      <c r="AM9" s="9">
        <f>AK9+AI9+AE9+AC9+AA9+W9+Q9+I9</f>
        <v>325.69</v>
      </c>
      <c r="AN9" s="6">
        <f>AL9+AJ9+AF9+AD9+AB9+X9+R9+J9</f>
        <v>11</v>
      </c>
    </row>
    <row r="10" spans="2:40" ht="18" customHeight="1" x14ac:dyDescent="0.25">
      <c r="B10" s="12" t="s">
        <v>1</v>
      </c>
      <c r="C10" s="1">
        <v>352.01</v>
      </c>
      <c r="D10" s="2">
        <v>12</v>
      </c>
      <c r="G10" s="1">
        <v>126.6</v>
      </c>
      <c r="H10" s="2">
        <v>6</v>
      </c>
      <c r="I10" s="54">
        <f t="shared" si="3"/>
        <v>478.61</v>
      </c>
      <c r="J10" s="54">
        <f t="shared" si="4"/>
        <v>18</v>
      </c>
      <c r="K10" s="1"/>
      <c r="L10" s="2"/>
      <c r="M10" s="1">
        <v>95.15</v>
      </c>
      <c r="N10" s="2">
        <v>5</v>
      </c>
      <c r="O10" s="5"/>
      <c r="P10" s="5"/>
      <c r="Q10" s="3">
        <v>263.32</v>
      </c>
      <c r="R10" s="4">
        <v>10</v>
      </c>
      <c r="S10" s="1">
        <v>280.33</v>
      </c>
      <c r="T10" s="2">
        <v>4</v>
      </c>
      <c r="U10" s="5"/>
      <c r="V10" s="5"/>
      <c r="W10" s="3">
        <f>S10</f>
        <v>280.33</v>
      </c>
      <c r="X10" s="4">
        <f t="shared" ref="X10:X13" si="6">T10</f>
        <v>4</v>
      </c>
      <c r="Y10" s="1">
        <v>155.82</v>
      </c>
      <c r="Z10" s="2">
        <v>5</v>
      </c>
      <c r="AA10" s="3">
        <f t="shared" si="0"/>
        <v>155.82</v>
      </c>
      <c r="AB10" s="3">
        <f t="shared" si="0"/>
        <v>5</v>
      </c>
      <c r="AC10" s="5"/>
      <c r="AD10" s="5"/>
      <c r="AE10" s="5"/>
      <c r="AF10" s="5"/>
      <c r="AG10" s="1">
        <v>127.16</v>
      </c>
      <c r="AH10" s="2">
        <v>10</v>
      </c>
      <c r="AI10" s="3">
        <f t="shared" si="5"/>
        <v>127.16</v>
      </c>
      <c r="AJ10" s="4">
        <f t="shared" si="5"/>
        <v>10</v>
      </c>
      <c r="AK10" s="1">
        <v>107.39</v>
      </c>
      <c r="AL10" s="2">
        <v>3</v>
      </c>
      <c r="AM10" s="9">
        <f>AK10+AI10+AE10+AC10+AA10+W10+Q10+I10</f>
        <v>1412.63</v>
      </c>
      <c r="AN10" s="6">
        <f>AL10+AJ10+AF10+AD10+AB10+X10+R10+J10</f>
        <v>50</v>
      </c>
    </row>
    <row r="11" spans="2:40" ht="18" customHeight="1" x14ac:dyDescent="0.25">
      <c r="B11" s="12" t="s">
        <v>2</v>
      </c>
      <c r="C11" s="1"/>
      <c r="D11" s="2"/>
      <c r="E11" s="10">
        <v>91.69</v>
      </c>
      <c r="F11" s="10">
        <v>1</v>
      </c>
      <c r="G11" s="1">
        <v>280.5</v>
      </c>
      <c r="H11" s="2">
        <v>2</v>
      </c>
      <c r="I11" s="54">
        <f t="shared" si="3"/>
        <v>372.19</v>
      </c>
      <c r="J11" s="54">
        <f t="shared" si="4"/>
        <v>3</v>
      </c>
      <c r="K11" s="1"/>
      <c r="L11" s="2"/>
      <c r="M11" s="1">
        <v>53.21</v>
      </c>
      <c r="N11" s="2">
        <v>1</v>
      </c>
      <c r="O11" s="5">
        <v>105.91</v>
      </c>
      <c r="P11" s="5">
        <v>2</v>
      </c>
      <c r="Q11" s="3">
        <v>610.86</v>
      </c>
      <c r="R11" s="4">
        <v>5</v>
      </c>
      <c r="S11" s="1"/>
      <c r="T11" s="2"/>
      <c r="U11" s="1">
        <v>73.540000000000006</v>
      </c>
      <c r="V11" s="2">
        <v>1</v>
      </c>
      <c r="W11" s="3">
        <f t="shared" ref="W11:W13" si="7">S11</f>
        <v>0</v>
      </c>
      <c r="X11" s="4">
        <f t="shared" si="6"/>
        <v>0</v>
      </c>
      <c r="Y11" s="1">
        <v>119.16</v>
      </c>
      <c r="Z11" s="2">
        <v>1</v>
      </c>
      <c r="AA11" s="3">
        <f t="shared" si="0"/>
        <v>119.16</v>
      </c>
      <c r="AB11" s="3">
        <f t="shared" si="0"/>
        <v>1</v>
      </c>
      <c r="AC11" s="3">
        <v>267.39</v>
      </c>
      <c r="AD11" s="4">
        <v>2</v>
      </c>
      <c r="AE11" s="5"/>
      <c r="AF11" s="5"/>
      <c r="AG11" s="1">
        <v>290.56</v>
      </c>
      <c r="AH11" s="2">
        <v>4</v>
      </c>
      <c r="AI11" s="3">
        <f t="shared" si="5"/>
        <v>290.56</v>
      </c>
      <c r="AJ11" s="4">
        <f t="shared" si="5"/>
        <v>4</v>
      </c>
      <c r="AK11" s="1">
        <v>715.4</v>
      </c>
      <c r="AL11" s="2">
        <v>5</v>
      </c>
      <c r="AM11" s="9">
        <f>AK11+AI11+AE11+AC11+AA11+W11+Q11+I11</f>
        <v>2375.56</v>
      </c>
      <c r="AN11" s="6">
        <f>AL11+AJ11+AF11+AD11+AB11+X11+R11+J11</f>
        <v>20</v>
      </c>
    </row>
    <row r="12" spans="2:40" ht="18" customHeight="1" x14ac:dyDescent="0.25">
      <c r="B12" s="12" t="s">
        <v>3</v>
      </c>
      <c r="C12" s="1">
        <v>2105.36</v>
      </c>
      <c r="D12" s="2">
        <v>45</v>
      </c>
      <c r="E12" s="10">
        <v>191.39</v>
      </c>
      <c r="F12" s="10">
        <v>11</v>
      </c>
      <c r="G12" s="1">
        <v>391.46</v>
      </c>
      <c r="H12" s="2">
        <v>9</v>
      </c>
      <c r="I12" s="54">
        <f t="shared" si="3"/>
        <v>2688.21</v>
      </c>
      <c r="J12" s="54">
        <f t="shared" si="4"/>
        <v>65</v>
      </c>
      <c r="K12" s="1">
        <v>1899.43</v>
      </c>
      <c r="L12" s="2">
        <v>34</v>
      </c>
      <c r="M12" s="15">
        <v>350.13</v>
      </c>
      <c r="N12" s="2">
        <v>10</v>
      </c>
      <c r="O12" s="2">
        <v>564.30999999999995</v>
      </c>
      <c r="P12" s="2">
        <v>14</v>
      </c>
      <c r="Q12" s="3">
        <f>O12+M12+K12</f>
        <v>2813.87</v>
      </c>
      <c r="R12" s="4">
        <f>L12+N12+P12</f>
        <v>58</v>
      </c>
      <c r="S12" s="1">
        <v>1490.22</v>
      </c>
      <c r="T12" s="2">
        <v>29</v>
      </c>
      <c r="U12" s="1">
        <v>233.16</v>
      </c>
      <c r="V12" s="2">
        <v>6</v>
      </c>
      <c r="W12" s="3">
        <f t="shared" si="7"/>
        <v>1490.22</v>
      </c>
      <c r="X12" s="4">
        <f t="shared" si="6"/>
        <v>29</v>
      </c>
      <c r="Y12" s="1">
        <v>1150.32</v>
      </c>
      <c r="Z12" s="2">
        <v>27</v>
      </c>
      <c r="AA12" s="3">
        <f t="shared" si="0"/>
        <v>1150.32</v>
      </c>
      <c r="AB12" s="3">
        <f t="shared" si="0"/>
        <v>27</v>
      </c>
      <c r="AC12" s="3">
        <v>113.86</v>
      </c>
      <c r="AD12" s="4">
        <v>3</v>
      </c>
      <c r="AE12" s="5"/>
      <c r="AF12" s="5"/>
      <c r="AG12" s="1">
        <v>2385.6999999999998</v>
      </c>
      <c r="AH12" s="2">
        <v>52</v>
      </c>
      <c r="AI12" s="3">
        <f t="shared" si="5"/>
        <v>2385.6999999999998</v>
      </c>
      <c r="AJ12" s="4">
        <f t="shared" si="5"/>
        <v>52</v>
      </c>
      <c r="AK12" s="1">
        <v>2525.9699999999998</v>
      </c>
      <c r="AL12" s="2">
        <v>52</v>
      </c>
      <c r="AM12" s="9">
        <f>AK12+AI12+AE12+AC12+AA12+W12+Q12+I12</f>
        <v>13168.149999999998</v>
      </c>
      <c r="AN12" s="6">
        <f>AL12+AJ12+AF12+AD12+AB12+X12+R12+J12</f>
        <v>286</v>
      </c>
    </row>
    <row r="13" spans="2:40" ht="18" customHeight="1" x14ac:dyDescent="0.25">
      <c r="B13" s="12" t="s">
        <v>4</v>
      </c>
      <c r="C13" s="1">
        <v>143.76</v>
      </c>
      <c r="D13" s="2">
        <v>1</v>
      </c>
      <c r="G13" s="5"/>
      <c r="H13" s="5"/>
      <c r="I13" s="54">
        <f>+C13+E13+G13</f>
        <v>143.76</v>
      </c>
      <c r="J13" s="54">
        <f t="shared" si="4"/>
        <v>1</v>
      </c>
      <c r="K13" s="1">
        <v>23.8</v>
      </c>
      <c r="L13" s="2">
        <v>1</v>
      </c>
      <c r="M13" s="5">
        <v>39.6</v>
      </c>
      <c r="N13" s="5">
        <v>1</v>
      </c>
      <c r="O13" s="1"/>
      <c r="P13" s="2"/>
      <c r="Q13" s="3">
        <f>K13+O13</f>
        <v>23.8</v>
      </c>
      <c r="R13" s="3">
        <f>L13+P13</f>
        <v>1</v>
      </c>
      <c r="S13" s="1">
        <v>73.78</v>
      </c>
      <c r="T13" s="2">
        <v>2</v>
      </c>
      <c r="U13" s="1">
        <v>97.26</v>
      </c>
      <c r="V13" s="2">
        <v>1</v>
      </c>
      <c r="W13" s="3">
        <f t="shared" si="7"/>
        <v>73.78</v>
      </c>
      <c r="X13" s="4">
        <f t="shared" si="6"/>
        <v>2</v>
      </c>
      <c r="Y13" s="1">
        <v>380</v>
      </c>
      <c r="Z13" s="2">
        <v>1</v>
      </c>
      <c r="AA13" s="3">
        <f t="shared" si="0"/>
        <v>380</v>
      </c>
      <c r="AB13" s="3">
        <f t="shared" si="0"/>
        <v>1</v>
      </c>
      <c r="AC13" s="3">
        <v>7006</v>
      </c>
      <c r="AD13" s="4">
        <v>1</v>
      </c>
      <c r="AE13" s="5"/>
      <c r="AF13" s="5"/>
      <c r="AG13" s="1">
        <v>541.22</v>
      </c>
      <c r="AH13" s="2">
        <v>1</v>
      </c>
      <c r="AI13" s="3">
        <f t="shared" si="5"/>
        <v>541.22</v>
      </c>
      <c r="AJ13" s="4">
        <f t="shared" si="5"/>
        <v>1</v>
      </c>
      <c r="AK13" s="1">
        <v>1945.7</v>
      </c>
      <c r="AL13" s="2">
        <v>1</v>
      </c>
      <c r="AM13" s="9">
        <f>AK13+AI13+AE13+AC13+AA13+W13+Q13+I13</f>
        <v>10114.26</v>
      </c>
      <c r="AN13" s="6">
        <f>AL13+AJ13+AF13+AD13+AB13+X13+R13+J13</f>
        <v>8</v>
      </c>
    </row>
    <row r="14" spans="2:40" ht="18" customHeight="1" x14ac:dyDescent="0.25">
      <c r="B14" s="12" t="s">
        <v>5</v>
      </c>
      <c r="C14" s="5"/>
      <c r="D14" s="5"/>
      <c r="G14" s="5"/>
      <c r="H14" s="5"/>
      <c r="I14" s="54">
        <f t="shared" ref="I14:I34" si="8">+C14+E14+G14</f>
        <v>0</v>
      </c>
      <c r="J14" s="54">
        <f t="shared" si="4"/>
        <v>0</v>
      </c>
      <c r="K14" s="5"/>
      <c r="L14" s="5"/>
      <c r="M14" s="1">
        <v>109.7</v>
      </c>
      <c r="N14" s="2">
        <v>1</v>
      </c>
      <c r="O14" s="5"/>
      <c r="P14" s="5"/>
      <c r="Q14" s="3">
        <f>M14</f>
        <v>109.7</v>
      </c>
      <c r="R14" s="3">
        <f>N14</f>
        <v>1</v>
      </c>
      <c r="S14" s="5"/>
      <c r="T14" s="5"/>
      <c r="U14" s="5"/>
      <c r="V14" s="5"/>
      <c r="W14" s="5"/>
      <c r="X14" s="5"/>
      <c r="Y14" s="5"/>
      <c r="Z14" s="5"/>
      <c r="AA14" s="3">
        <f t="shared" si="0"/>
        <v>0</v>
      </c>
      <c r="AB14" s="3">
        <f t="shared" si="0"/>
        <v>0</v>
      </c>
      <c r="AC14" s="5"/>
      <c r="AD14" s="5"/>
      <c r="AE14" s="5"/>
      <c r="AF14" s="5"/>
      <c r="AG14" s="5">
        <v>801.24</v>
      </c>
      <c r="AH14" s="5">
        <v>1</v>
      </c>
      <c r="AI14" s="5">
        <f t="shared" si="5"/>
        <v>801.24</v>
      </c>
      <c r="AJ14" s="5">
        <f t="shared" si="5"/>
        <v>1</v>
      </c>
      <c r="AK14" s="5"/>
      <c r="AL14" s="5"/>
      <c r="AM14" s="9">
        <f>AK14+AI14+AE14+AC14+AA14+W14+Q14+I14</f>
        <v>910.94</v>
      </c>
      <c r="AN14" s="6">
        <f>AL14+AJ14+AF14+AD14+AB14+X14+R14+J14</f>
        <v>2</v>
      </c>
    </row>
    <row r="15" spans="2:40" ht="27.75" customHeight="1" x14ac:dyDescent="0.25">
      <c r="B15" s="12" t="s">
        <v>6</v>
      </c>
      <c r="C15" s="1"/>
      <c r="D15" s="2"/>
      <c r="G15" s="5"/>
      <c r="H15" s="5"/>
      <c r="I15" s="54">
        <f t="shared" si="8"/>
        <v>0</v>
      </c>
      <c r="J15" s="54">
        <f t="shared" si="4"/>
        <v>0</v>
      </c>
      <c r="K15" s="1">
        <v>71.92</v>
      </c>
      <c r="L15" s="2">
        <v>1</v>
      </c>
      <c r="M15" s="5"/>
      <c r="N15" s="5"/>
      <c r="O15" s="5"/>
      <c r="P15" s="5"/>
      <c r="Q15" s="3">
        <f>K15</f>
        <v>71.92</v>
      </c>
      <c r="R15" s="3">
        <f>L15</f>
        <v>1</v>
      </c>
      <c r="S15" s="5"/>
      <c r="T15" s="5"/>
      <c r="U15" s="5"/>
      <c r="V15" s="5"/>
      <c r="W15" s="5"/>
      <c r="X15" s="5"/>
      <c r="Y15" s="5"/>
      <c r="Z15" s="5"/>
      <c r="AA15" s="3">
        <f t="shared" si="0"/>
        <v>0</v>
      </c>
      <c r="AB15" s="3">
        <f t="shared" si="0"/>
        <v>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9">
        <f>AK15+AI15+AE15+AC15+AA15+W15+Q15+I15</f>
        <v>71.92</v>
      </c>
      <c r="AN15" s="6">
        <f>AL15+AJ15+AF15+AD15+AB15+X15+R15+J15</f>
        <v>1</v>
      </c>
    </row>
    <row r="16" spans="2:40" ht="18" customHeight="1" x14ac:dyDescent="0.25">
      <c r="B16" s="12" t="s">
        <v>7</v>
      </c>
      <c r="C16" s="5"/>
      <c r="D16" s="5"/>
      <c r="G16" s="1">
        <v>19.13</v>
      </c>
      <c r="H16" s="2">
        <v>1</v>
      </c>
      <c r="I16" s="54">
        <f t="shared" si="8"/>
        <v>19.13</v>
      </c>
      <c r="J16" s="54">
        <f t="shared" si="4"/>
        <v>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3">
        <f t="shared" si="0"/>
        <v>0</v>
      </c>
      <c r="AB16" s="3">
        <f t="shared" si="0"/>
        <v>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9">
        <f>AK16+AI16+AE16+AC16+AA16+W16+Q16+I16</f>
        <v>19.13</v>
      </c>
      <c r="AN16" s="6">
        <f>AL16+AJ16+AF16+AD16+AB16+X16+R16+J16</f>
        <v>1</v>
      </c>
    </row>
    <row r="17" spans="2:40" ht="18" customHeight="1" x14ac:dyDescent="0.25">
      <c r="B17" s="12" t="s">
        <v>8</v>
      </c>
      <c r="C17" s="5"/>
      <c r="D17" s="5"/>
      <c r="G17" s="5"/>
      <c r="H17" s="5"/>
      <c r="I17" s="54">
        <f t="shared" si="8"/>
        <v>0</v>
      </c>
      <c r="J17" s="54">
        <f t="shared" si="4"/>
        <v>0</v>
      </c>
      <c r="K17" s="1">
        <v>140.51</v>
      </c>
      <c r="L17" s="2">
        <v>1</v>
      </c>
      <c r="M17" s="5"/>
      <c r="N17" s="5"/>
      <c r="O17" s="5"/>
      <c r="P17" s="5"/>
      <c r="Q17" s="3">
        <f>K17</f>
        <v>140.51</v>
      </c>
      <c r="R17" s="3">
        <f>L17</f>
        <v>1</v>
      </c>
      <c r="S17" s="1">
        <v>24.57</v>
      </c>
      <c r="T17" s="2">
        <v>1</v>
      </c>
      <c r="U17" s="5"/>
      <c r="V17" s="5"/>
      <c r="W17" s="3">
        <f>S17</f>
        <v>24.57</v>
      </c>
      <c r="X17" s="4">
        <f>T17</f>
        <v>1</v>
      </c>
      <c r="Y17" s="1">
        <v>25.43</v>
      </c>
      <c r="Z17" s="2">
        <v>1</v>
      </c>
      <c r="AA17" s="3">
        <f t="shared" si="0"/>
        <v>25.43</v>
      </c>
      <c r="AB17" s="3">
        <f t="shared" si="0"/>
        <v>1</v>
      </c>
      <c r="AC17" s="3">
        <v>355.25</v>
      </c>
      <c r="AD17" s="4">
        <v>5</v>
      </c>
      <c r="AE17" s="5"/>
      <c r="AF17" s="5"/>
      <c r="AG17" s="5"/>
      <c r="AH17" s="5"/>
      <c r="AI17" s="5"/>
      <c r="AJ17" s="5"/>
      <c r="AK17" s="1">
        <v>372.44</v>
      </c>
      <c r="AL17" s="2">
        <v>1</v>
      </c>
      <c r="AM17" s="9">
        <f>AK17+AI17+AE17+AC17+AA17+W17+Q17+I17</f>
        <v>918.2</v>
      </c>
      <c r="AN17" s="6">
        <f>AL17+AJ17+AF17+AD17+AB17+X17+R17+J17</f>
        <v>9</v>
      </c>
    </row>
    <row r="18" spans="2:40" ht="18" customHeight="1" x14ac:dyDescent="0.25">
      <c r="B18" s="12" t="s">
        <v>9</v>
      </c>
      <c r="C18" s="5"/>
      <c r="D18" s="5"/>
      <c r="G18" s="5"/>
      <c r="H18" s="5"/>
      <c r="I18" s="54">
        <f t="shared" si="8"/>
        <v>0</v>
      </c>
      <c r="J18" s="54">
        <f t="shared" si="4"/>
        <v>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">
        <v>112.22</v>
      </c>
      <c r="Z18" s="2">
        <v>1</v>
      </c>
      <c r="AA18" s="3">
        <f t="shared" si="0"/>
        <v>112.22</v>
      </c>
      <c r="AB18" s="3">
        <f t="shared" si="0"/>
        <v>1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9">
        <f>AK18+AI18+AE18+AC18+AA18+W18+Q18+I18</f>
        <v>112.22</v>
      </c>
      <c r="AN18" s="6">
        <f>AL18+AJ18+AF18+AD18+AB18+X18+R18+J18</f>
        <v>1</v>
      </c>
    </row>
    <row r="19" spans="2:40" ht="18" customHeight="1" x14ac:dyDescent="0.25">
      <c r="B19" s="12" t="s">
        <v>10</v>
      </c>
      <c r="C19" s="5"/>
      <c r="D19" s="5"/>
      <c r="G19" s="5"/>
      <c r="H19" s="5"/>
      <c r="I19" s="54">
        <f t="shared" si="8"/>
        <v>0</v>
      </c>
      <c r="J19" s="54">
        <f t="shared" si="4"/>
        <v>0</v>
      </c>
      <c r="K19" s="5"/>
      <c r="L19" s="5"/>
      <c r="M19" s="1"/>
      <c r="N19" s="2"/>
      <c r="O19" s="5"/>
      <c r="P19" s="5"/>
      <c r="Q19" s="3">
        <f>M19</f>
        <v>0</v>
      </c>
      <c r="R19" s="3">
        <f>N19</f>
        <v>0</v>
      </c>
      <c r="S19" s="5"/>
      <c r="T19" s="5"/>
      <c r="U19" s="5"/>
      <c r="V19" s="5"/>
      <c r="W19" s="5"/>
      <c r="X19" s="5"/>
      <c r="Y19" s="1">
        <v>100.12</v>
      </c>
      <c r="Z19" s="2">
        <v>1</v>
      </c>
      <c r="AA19" s="3">
        <f t="shared" si="0"/>
        <v>100.12</v>
      </c>
      <c r="AB19" s="3">
        <f t="shared" si="0"/>
        <v>1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9">
        <f>AK19+AI19+AE19+AC19+AA19+W19+Q19+I19</f>
        <v>100.12</v>
      </c>
      <c r="AN19" s="6">
        <f>AL19+AJ19+AF19+AD19+AB19+X19+R19+J19</f>
        <v>1</v>
      </c>
    </row>
    <row r="20" spans="2:40" ht="18" customHeight="1" x14ac:dyDescent="0.25">
      <c r="B20" s="12" t="s">
        <v>11</v>
      </c>
      <c r="C20" s="5"/>
      <c r="D20" s="5"/>
      <c r="G20" s="5"/>
      <c r="H20" s="5"/>
      <c r="I20" s="54">
        <f t="shared" si="8"/>
        <v>0</v>
      </c>
      <c r="J20" s="54">
        <f t="shared" si="4"/>
        <v>0</v>
      </c>
      <c r="K20" s="5"/>
      <c r="L20" s="5"/>
      <c r="M20" s="1">
        <v>344.45</v>
      </c>
      <c r="N20" s="2">
        <v>14</v>
      </c>
      <c r="O20" s="1"/>
      <c r="P20" s="2"/>
      <c r="Q20" s="3">
        <f>M20+O20</f>
        <v>344.45</v>
      </c>
      <c r="R20" s="3">
        <f>N20+P20</f>
        <v>14</v>
      </c>
      <c r="S20" s="1">
        <v>194.87</v>
      </c>
      <c r="T20" s="2">
        <v>8</v>
      </c>
      <c r="U20" s="5"/>
      <c r="V20" s="5"/>
      <c r="W20" s="3">
        <f>S20</f>
        <v>194.87</v>
      </c>
      <c r="X20" s="4">
        <f>T20</f>
        <v>8</v>
      </c>
      <c r="Y20" s="1">
        <v>10.7</v>
      </c>
      <c r="Z20" s="2">
        <v>1</v>
      </c>
      <c r="AA20" s="3">
        <f t="shared" si="0"/>
        <v>10.7</v>
      </c>
      <c r="AB20" s="3">
        <f t="shared" si="0"/>
        <v>1</v>
      </c>
      <c r="AC20" s="3">
        <v>105.18</v>
      </c>
      <c r="AD20" s="4">
        <v>4</v>
      </c>
      <c r="AE20" s="5"/>
      <c r="AF20" s="5"/>
      <c r="AG20" s="1">
        <v>231.76</v>
      </c>
      <c r="AH20" s="2">
        <v>13</v>
      </c>
      <c r="AI20" s="3">
        <f>AG20</f>
        <v>231.76</v>
      </c>
      <c r="AJ20" s="4">
        <f>AH20</f>
        <v>13</v>
      </c>
      <c r="AK20" s="5"/>
      <c r="AL20" s="5"/>
      <c r="AM20" s="9">
        <f>AK20+AI20+AE20+AC20+AA20+W20+Q20+I20</f>
        <v>886.96</v>
      </c>
      <c r="AN20" s="6">
        <f>AL20+AJ20+AF20+AD20+AB20+X20+R20+J20</f>
        <v>40</v>
      </c>
    </row>
    <row r="21" spans="2:40" ht="27" customHeight="1" x14ac:dyDescent="0.25">
      <c r="B21" s="12" t="s">
        <v>70</v>
      </c>
      <c r="C21" s="1">
        <v>38</v>
      </c>
      <c r="D21" s="2">
        <v>1</v>
      </c>
      <c r="E21" s="10">
        <v>19.63</v>
      </c>
      <c r="F21" s="10">
        <v>3</v>
      </c>
      <c r="G21" s="5">
        <v>38.43</v>
      </c>
      <c r="H21" s="5">
        <v>1</v>
      </c>
      <c r="I21" s="54">
        <f t="shared" si="8"/>
        <v>96.06</v>
      </c>
      <c r="J21" s="54">
        <f t="shared" si="4"/>
        <v>5</v>
      </c>
      <c r="K21" s="1">
        <v>172.73</v>
      </c>
      <c r="L21" s="2">
        <v>4</v>
      </c>
      <c r="M21" s="1">
        <v>1433.51</v>
      </c>
      <c r="N21" s="2">
        <v>45</v>
      </c>
      <c r="O21" s="1"/>
      <c r="P21" s="2"/>
      <c r="Q21" s="3">
        <f>O21+M21+K21</f>
        <v>1606.24</v>
      </c>
      <c r="R21" s="4">
        <f>P21+N21+L21</f>
        <v>49</v>
      </c>
      <c r="S21" s="1">
        <v>716.4</v>
      </c>
      <c r="T21" s="2">
        <v>18</v>
      </c>
      <c r="U21" s="5"/>
      <c r="V21" s="5"/>
      <c r="W21" s="3">
        <f>S21</f>
        <v>716.4</v>
      </c>
      <c r="X21" s="4">
        <f>T21</f>
        <v>18</v>
      </c>
      <c r="Y21" s="1">
        <v>632.22</v>
      </c>
      <c r="Z21" s="2">
        <v>15</v>
      </c>
      <c r="AA21" s="3">
        <f t="shared" si="0"/>
        <v>632.22</v>
      </c>
      <c r="AB21" s="3">
        <f t="shared" si="0"/>
        <v>15</v>
      </c>
      <c r="AC21" s="5"/>
      <c r="AD21" s="5"/>
      <c r="AE21" s="5"/>
      <c r="AF21" s="5"/>
      <c r="AG21" s="1">
        <f>2943.26+1468.39</f>
        <v>4411.6500000000005</v>
      </c>
      <c r="AH21" s="2">
        <f>33+45</f>
        <v>78</v>
      </c>
      <c r="AI21" s="3">
        <f>AG21</f>
        <v>4411.6500000000005</v>
      </c>
      <c r="AJ21" s="4">
        <f>AH21</f>
        <v>78</v>
      </c>
      <c r="AK21" s="1">
        <v>1449.47</v>
      </c>
      <c r="AL21" s="2">
        <v>14</v>
      </c>
      <c r="AM21" s="9">
        <f>AK21+AI21+AE21+AC21+AA21+W21+Q21+I21</f>
        <v>8912.0400000000009</v>
      </c>
      <c r="AN21" s="6">
        <f>AL21+AJ21+AF21+AD21+AB21+X21+R21+J21</f>
        <v>179</v>
      </c>
    </row>
    <row r="22" spans="2:40" ht="18" customHeight="1" x14ac:dyDescent="0.25">
      <c r="B22" s="12" t="s">
        <v>12</v>
      </c>
      <c r="C22" s="5"/>
      <c r="D22" s="5"/>
      <c r="G22" s="5"/>
      <c r="H22" s="5"/>
      <c r="I22" s="54">
        <f t="shared" si="8"/>
        <v>0</v>
      </c>
      <c r="J22" s="54">
        <f t="shared" si="4"/>
        <v>0</v>
      </c>
      <c r="K22" s="5">
        <v>14.82</v>
      </c>
      <c r="L22" s="5">
        <v>1</v>
      </c>
      <c r="M22" s="15">
        <v>31.14</v>
      </c>
      <c r="N22" s="2">
        <v>1</v>
      </c>
      <c r="O22" s="5"/>
      <c r="P22" s="5"/>
      <c r="Q22" s="3">
        <v>54.9</v>
      </c>
      <c r="R22" s="4">
        <v>1</v>
      </c>
      <c r="S22" s="5"/>
      <c r="T22" s="5"/>
      <c r="U22" s="5"/>
      <c r="V22" s="5"/>
      <c r="W22" s="5"/>
      <c r="X22" s="5"/>
      <c r="Y22" s="5"/>
      <c r="Z22" s="5"/>
      <c r="AA22" s="3">
        <f t="shared" si="0"/>
        <v>0</v>
      </c>
      <c r="AB22" s="3">
        <f t="shared" si="0"/>
        <v>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9">
        <f>AK22+AI22+AE22+AC22+AA22+W22+Q22+I22</f>
        <v>54.9</v>
      </c>
      <c r="AN22" s="6">
        <f>AL22+AJ22+AF22+AD22+AB22+X22+R22+J22</f>
        <v>1</v>
      </c>
    </row>
    <row r="23" spans="2:40" ht="18" customHeight="1" x14ac:dyDescent="0.25">
      <c r="B23" s="12" t="s">
        <v>13</v>
      </c>
      <c r="C23" s="5"/>
      <c r="D23" s="5"/>
      <c r="G23" s="5"/>
      <c r="H23" s="5"/>
      <c r="I23" s="54">
        <f t="shared" si="8"/>
        <v>0</v>
      </c>
      <c r="J23" s="54">
        <f t="shared" si="4"/>
        <v>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3">
        <f t="shared" si="0"/>
        <v>0</v>
      </c>
      <c r="AB23" s="3">
        <f t="shared" si="0"/>
        <v>0</v>
      </c>
      <c r="AC23" s="3">
        <v>121.67</v>
      </c>
      <c r="AD23" s="4">
        <v>3</v>
      </c>
      <c r="AE23" s="5"/>
      <c r="AF23" s="5"/>
      <c r="AG23" s="5"/>
      <c r="AH23" s="5"/>
      <c r="AI23" s="5"/>
      <c r="AJ23" s="5"/>
      <c r="AK23" s="5"/>
      <c r="AL23" s="5"/>
      <c r="AM23" s="9">
        <f>AK23+AI23+AE23+AC23+AA23+W23+Q23+I23</f>
        <v>121.67</v>
      </c>
      <c r="AN23" s="6">
        <f>AL23+AJ23+AF23+AD23+AB23+X23+R23+J23</f>
        <v>3</v>
      </c>
    </row>
    <row r="24" spans="2:40" ht="18" customHeight="1" x14ac:dyDescent="0.25">
      <c r="B24" s="12" t="s">
        <v>14</v>
      </c>
      <c r="C24" s="1">
        <v>157.58000000000001</v>
      </c>
      <c r="D24" s="2">
        <v>2</v>
      </c>
      <c r="G24" s="5"/>
      <c r="H24" s="5"/>
      <c r="I24" s="54">
        <f t="shared" si="8"/>
        <v>157.58000000000001</v>
      </c>
      <c r="J24" s="54">
        <f t="shared" si="4"/>
        <v>2</v>
      </c>
      <c r="K24" s="5"/>
      <c r="L24" s="5"/>
      <c r="M24" s="5"/>
      <c r="N24" s="5"/>
      <c r="O24" s="5"/>
      <c r="P24" s="5"/>
      <c r="Q24" s="5"/>
      <c r="R24" s="5"/>
      <c r="S24" s="5">
        <v>22.71</v>
      </c>
      <c r="T24" s="5">
        <v>1</v>
      </c>
      <c r="U24" s="5"/>
      <c r="V24" s="5"/>
      <c r="W24" s="5"/>
      <c r="X24" s="5"/>
      <c r="Y24" s="5"/>
      <c r="Z24" s="5"/>
      <c r="AA24" s="3">
        <f t="shared" ref="AA24:AA33" si="9">Y24</f>
        <v>0</v>
      </c>
      <c r="AB24" s="3">
        <f t="shared" ref="AB24:AB33" si="10">Z24</f>
        <v>0</v>
      </c>
      <c r="AC24" s="3">
        <v>154.55000000000001</v>
      </c>
      <c r="AD24" s="4">
        <v>2</v>
      </c>
      <c r="AE24" s="5"/>
      <c r="AF24" s="5"/>
      <c r="AG24" s="5">
        <v>670.35</v>
      </c>
      <c r="AH24" s="5">
        <v>9</v>
      </c>
      <c r="AI24" s="5"/>
      <c r="AJ24" s="5"/>
      <c r="AK24" s="1">
        <v>36.93</v>
      </c>
      <c r="AL24" s="2">
        <v>2</v>
      </c>
      <c r="AM24" s="9">
        <f>AK24+AI24+AE24+AC24+AA24+W24+Q24+I24</f>
        <v>349.06000000000006</v>
      </c>
      <c r="AN24" s="6">
        <f>AL24+AJ24+AF24+AD24+AB24+X24+R24+J24</f>
        <v>6</v>
      </c>
    </row>
    <row r="25" spans="2:40" ht="18" customHeight="1" x14ac:dyDescent="0.25">
      <c r="B25" s="12" t="s">
        <v>15</v>
      </c>
      <c r="C25" s="1">
        <v>55.83</v>
      </c>
      <c r="D25" s="2">
        <v>1</v>
      </c>
      <c r="G25" s="1"/>
      <c r="H25" s="2"/>
      <c r="I25" s="54">
        <f t="shared" si="8"/>
        <v>55.83</v>
      </c>
      <c r="J25" s="54">
        <f t="shared" si="4"/>
        <v>1</v>
      </c>
      <c r="K25" s="1">
        <v>255.47</v>
      </c>
      <c r="L25" s="2">
        <v>1</v>
      </c>
      <c r="M25" s="5"/>
      <c r="N25" s="5"/>
      <c r="O25" s="5"/>
      <c r="P25" s="5"/>
      <c r="Q25" s="3">
        <f>K25</f>
        <v>255.47</v>
      </c>
      <c r="R25" s="4">
        <f>L25</f>
        <v>1</v>
      </c>
      <c r="S25" s="1">
        <v>222.64</v>
      </c>
      <c r="T25" s="2">
        <v>9</v>
      </c>
      <c r="U25" s="1">
        <v>38.25</v>
      </c>
      <c r="V25" s="2">
        <v>1</v>
      </c>
      <c r="W25" s="3">
        <f>S25</f>
        <v>222.64</v>
      </c>
      <c r="X25" s="4">
        <f>T25</f>
        <v>9</v>
      </c>
      <c r="Y25" s="1">
        <v>301.33999999999997</v>
      </c>
      <c r="Z25" s="2">
        <v>6</v>
      </c>
      <c r="AA25" s="3">
        <f t="shared" si="9"/>
        <v>301.33999999999997</v>
      </c>
      <c r="AB25" s="3">
        <f t="shared" si="10"/>
        <v>6</v>
      </c>
      <c r="AC25" s="5"/>
      <c r="AD25" s="5"/>
      <c r="AE25" s="5"/>
      <c r="AF25" s="5"/>
      <c r="AG25" s="1">
        <v>529.48</v>
      </c>
      <c r="AH25" s="2">
        <v>30</v>
      </c>
      <c r="AI25" s="3">
        <f t="shared" ref="AI25:AJ27" si="11">AG25</f>
        <v>529.48</v>
      </c>
      <c r="AJ25" s="4">
        <f t="shared" si="11"/>
        <v>30</v>
      </c>
      <c r="AK25" s="1">
        <v>347.55</v>
      </c>
      <c r="AL25" s="2">
        <v>27</v>
      </c>
      <c r="AM25" s="9">
        <f>AK25+AI25+AE25+AC25+AA25+W25+Q25+I25</f>
        <v>1712.3099999999997</v>
      </c>
      <c r="AN25" s="6">
        <f>AL25+AJ25+AF25+AD25+AB25+X25+R25+J25</f>
        <v>74</v>
      </c>
    </row>
    <row r="26" spans="2:40" ht="18" customHeight="1" x14ac:dyDescent="0.25">
      <c r="B26" s="12" t="s">
        <v>16</v>
      </c>
      <c r="C26" s="1"/>
      <c r="D26" s="2"/>
      <c r="E26" s="10">
        <v>17.89</v>
      </c>
      <c r="F26" s="10">
        <v>1</v>
      </c>
      <c r="G26" s="1"/>
      <c r="H26" s="2"/>
      <c r="I26" s="54">
        <f t="shared" si="8"/>
        <v>17.89</v>
      </c>
      <c r="J26" s="54">
        <f t="shared" si="4"/>
        <v>1</v>
      </c>
      <c r="K26" s="1">
        <v>216.2</v>
      </c>
      <c r="L26" s="2">
        <v>7</v>
      </c>
      <c r="M26" s="1">
        <v>101.85</v>
      </c>
      <c r="N26" s="2">
        <v>2</v>
      </c>
      <c r="O26" s="1">
        <v>117.06</v>
      </c>
      <c r="P26" s="2">
        <v>3</v>
      </c>
      <c r="Q26" s="3">
        <f>K26+M26+O26</f>
        <v>435.10999999999996</v>
      </c>
      <c r="R26" s="4">
        <f>P26+N26+L26</f>
        <v>12</v>
      </c>
      <c r="S26" s="1">
        <v>983.37</v>
      </c>
      <c r="T26" s="2">
        <v>21</v>
      </c>
      <c r="U26" s="1">
        <v>49.99</v>
      </c>
      <c r="V26" s="2">
        <v>1</v>
      </c>
      <c r="W26" s="3">
        <f>S26</f>
        <v>983.37</v>
      </c>
      <c r="X26" s="4">
        <f>T26</f>
        <v>21</v>
      </c>
      <c r="Y26" s="1">
        <v>254.36</v>
      </c>
      <c r="Z26" s="2">
        <v>5</v>
      </c>
      <c r="AA26" s="3">
        <f t="shared" si="9"/>
        <v>254.36</v>
      </c>
      <c r="AB26" s="3">
        <f t="shared" si="10"/>
        <v>5</v>
      </c>
      <c r="AC26" s="3">
        <v>198.81</v>
      </c>
      <c r="AD26" s="4">
        <v>5</v>
      </c>
      <c r="AE26" s="5"/>
      <c r="AF26" s="5"/>
      <c r="AG26" s="1">
        <v>542.26</v>
      </c>
      <c r="AH26" s="2">
        <v>12</v>
      </c>
      <c r="AI26" s="3">
        <f t="shared" si="11"/>
        <v>542.26</v>
      </c>
      <c r="AJ26" s="4">
        <f t="shared" si="11"/>
        <v>12</v>
      </c>
      <c r="AK26" s="1">
        <v>476.12</v>
      </c>
      <c r="AL26" s="2">
        <v>9</v>
      </c>
      <c r="AM26" s="9">
        <f>AK26+AI26+AE26+AC26+AA26+W26+Q26+I26</f>
        <v>2907.92</v>
      </c>
      <c r="AN26" s="6">
        <f>AL26+AJ26+AF26+AD26+AB26+X26+R26+J26</f>
        <v>65</v>
      </c>
    </row>
    <row r="27" spans="2:40" ht="33" customHeight="1" x14ac:dyDescent="0.25">
      <c r="B27" s="12" t="s">
        <v>17</v>
      </c>
      <c r="C27" s="5">
        <v>82.9</v>
      </c>
      <c r="D27" s="5">
        <v>5</v>
      </c>
      <c r="G27" s="5">
        <v>15.47</v>
      </c>
      <c r="H27" s="5">
        <v>3</v>
      </c>
      <c r="I27" s="54">
        <f t="shared" si="8"/>
        <v>98.37</v>
      </c>
      <c r="J27" s="54">
        <f t="shared" si="4"/>
        <v>8</v>
      </c>
      <c r="K27" s="1">
        <v>33.43</v>
      </c>
      <c r="L27" s="2">
        <v>1</v>
      </c>
      <c r="M27" s="5"/>
      <c r="N27" s="5"/>
      <c r="O27" s="5"/>
      <c r="P27" s="5"/>
      <c r="Q27" s="3">
        <v>58.47</v>
      </c>
      <c r="R27" s="4">
        <v>3</v>
      </c>
      <c r="S27" s="1">
        <v>112.35</v>
      </c>
      <c r="T27" s="2">
        <v>1</v>
      </c>
      <c r="U27" s="1">
        <v>22</v>
      </c>
      <c r="V27" s="2">
        <v>2</v>
      </c>
      <c r="W27" s="3">
        <f>S27</f>
        <v>112.35</v>
      </c>
      <c r="X27" s="4">
        <f>T27</f>
        <v>1</v>
      </c>
      <c r="Y27" s="1">
        <v>45.02</v>
      </c>
      <c r="Z27" s="2">
        <v>1</v>
      </c>
      <c r="AA27" s="3">
        <f t="shared" si="9"/>
        <v>45.02</v>
      </c>
      <c r="AB27" s="3">
        <f t="shared" si="10"/>
        <v>1</v>
      </c>
      <c r="AC27" s="5"/>
      <c r="AD27" s="5"/>
      <c r="AE27" s="5"/>
      <c r="AF27" s="5"/>
      <c r="AG27" s="1">
        <v>30.05</v>
      </c>
      <c r="AH27" s="2">
        <v>1</v>
      </c>
      <c r="AI27" s="3">
        <f t="shared" si="11"/>
        <v>30.05</v>
      </c>
      <c r="AJ27" s="4">
        <f t="shared" si="11"/>
        <v>1</v>
      </c>
      <c r="AK27" s="5"/>
      <c r="AL27" s="5"/>
      <c r="AM27" s="9">
        <f>AK27+AI27+AE27+AC27+AA27+W27+Q27+I27</f>
        <v>344.26</v>
      </c>
      <c r="AN27" s="6">
        <f>AL27+AJ27+AF27+AD27+AB27+X27+R27+J27</f>
        <v>14</v>
      </c>
    </row>
    <row r="28" spans="2:40" ht="18" customHeight="1" x14ac:dyDescent="0.25">
      <c r="B28" s="12" t="s">
        <v>18</v>
      </c>
      <c r="C28" s="5">
        <v>179.3</v>
      </c>
      <c r="D28" s="5">
        <v>1</v>
      </c>
      <c r="G28" s="5"/>
      <c r="H28" s="5"/>
      <c r="I28" s="54">
        <f t="shared" si="8"/>
        <v>179.3</v>
      </c>
      <c r="J28" s="54">
        <f t="shared" si="4"/>
        <v>1</v>
      </c>
      <c r="K28" s="5">
        <f>48.8*2</f>
        <v>97.6</v>
      </c>
      <c r="L28" s="5">
        <v>2</v>
      </c>
      <c r="M28" s="1">
        <v>48.49</v>
      </c>
      <c r="N28" s="2">
        <v>1</v>
      </c>
      <c r="O28" s="5"/>
      <c r="P28" s="5"/>
      <c r="Q28" s="3">
        <v>29.52</v>
      </c>
      <c r="R28" s="4">
        <v>2</v>
      </c>
      <c r="S28" s="1"/>
      <c r="T28" s="2"/>
      <c r="U28" s="5"/>
      <c r="V28" s="5"/>
      <c r="W28" s="3">
        <f>S28</f>
        <v>0</v>
      </c>
      <c r="X28" s="4">
        <f>T28</f>
        <v>0</v>
      </c>
      <c r="Y28" s="5"/>
      <c r="Z28" s="5"/>
      <c r="AA28" s="3">
        <f t="shared" si="9"/>
        <v>0</v>
      </c>
      <c r="AB28" s="3">
        <f t="shared" si="10"/>
        <v>0</v>
      </c>
      <c r="AC28" s="3">
        <v>59.37</v>
      </c>
      <c r="AD28" s="4">
        <v>4</v>
      </c>
      <c r="AE28" s="5"/>
      <c r="AF28" s="5"/>
      <c r="AG28" s="5"/>
      <c r="AH28" s="5"/>
      <c r="AI28" s="5"/>
      <c r="AJ28" s="5"/>
      <c r="AK28" s="5"/>
      <c r="AL28" s="5"/>
      <c r="AM28" s="9">
        <f>AK28+AI28+AE28+AC28+AA28+W28+Q28+I28</f>
        <v>268.19</v>
      </c>
      <c r="AN28" s="6">
        <f>AL28+AJ28+AF28+AD28+AB28+X28+R28+J28</f>
        <v>7</v>
      </c>
    </row>
    <row r="29" spans="2:40" ht="18" customHeight="1" x14ac:dyDescent="0.25">
      <c r="B29" s="12" t="s">
        <v>19</v>
      </c>
      <c r="C29" s="1"/>
      <c r="D29" s="2"/>
      <c r="G29" s="5"/>
      <c r="H29" s="5"/>
      <c r="I29" s="54">
        <f t="shared" si="8"/>
        <v>0</v>
      </c>
      <c r="J29" s="54">
        <f t="shared" si="4"/>
        <v>0</v>
      </c>
      <c r="K29" s="1">
        <v>136.53</v>
      </c>
      <c r="L29" s="2">
        <v>8</v>
      </c>
      <c r="M29" s="5"/>
      <c r="N29" s="5"/>
      <c r="O29" s="16"/>
      <c r="P29" s="2"/>
      <c r="Q29" s="3">
        <v>448.29</v>
      </c>
      <c r="R29" s="4">
        <v>29</v>
      </c>
      <c r="S29" s="1"/>
      <c r="T29" s="2"/>
      <c r="U29" s="5"/>
      <c r="V29" s="5"/>
      <c r="W29" s="3">
        <f>S29</f>
        <v>0</v>
      </c>
      <c r="X29" s="4">
        <f>T29</f>
        <v>0</v>
      </c>
      <c r="Y29" s="5"/>
      <c r="Z29" s="5"/>
      <c r="AA29" s="3">
        <f t="shared" si="9"/>
        <v>0</v>
      </c>
      <c r="AB29" s="3">
        <f t="shared" si="10"/>
        <v>0</v>
      </c>
      <c r="AC29" s="5"/>
      <c r="AD29" s="5"/>
      <c r="AE29" s="5"/>
      <c r="AF29" s="5"/>
      <c r="AG29" s="5"/>
      <c r="AH29" s="5"/>
      <c r="AI29" s="5"/>
      <c r="AJ29" s="5"/>
      <c r="AK29" s="1">
        <v>145.35</v>
      </c>
      <c r="AL29" s="2">
        <v>11</v>
      </c>
      <c r="AM29" s="9">
        <f>AK29+AI29+AE29+AC29+AA29+W29+Q29+I29</f>
        <v>593.64</v>
      </c>
      <c r="AN29" s="6">
        <f>AL29+AJ29+AF29+AD29+AB29+X29+R29+J29</f>
        <v>40</v>
      </c>
    </row>
    <row r="30" spans="2:40" ht="18" customHeight="1" x14ac:dyDescent="0.25">
      <c r="B30" s="12" t="s">
        <v>20</v>
      </c>
      <c r="C30" s="5"/>
      <c r="D30" s="5"/>
      <c r="G30" s="5"/>
      <c r="H30" s="5"/>
      <c r="I30" s="54">
        <f t="shared" si="8"/>
        <v>0</v>
      </c>
      <c r="J30" s="54">
        <f t="shared" si="4"/>
        <v>0</v>
      </c>
      <c r="K30" s="1"/>
      <c r="L30" s="2"/>
      <c r="M30" s="1">
        <v>57.39</v>
      </c>
      <c r="N30" s="2">
        <v>7</v>
      </c>
      <c r="O30" s="5"/>
      <c r="P30" s="5"/>
      <c r="Q30" s="3">
        <v>74.19</v>
      </c>
      <c r="R30" s="4">
        <v>8</v>
      </c>
      <c r="S30" s="5"/>
      <c r="T30" s="5"/>
      <c r="U30" s="5"/>
      <c r="V30" s="5"/>
      <c r="W30" s="5"/>
      <c r="X30" s="5"/>
      <c r="Y30" s="1">
        <v>114.02</v>
      </c>
      <c r="Z30" s="2">
        <v>12</v>
      </c>
      <c r="AA30" s="3">
        <f t="shared" si="9"/>
        <v>114.02</v>
      </c>
      <c r="AB30" s="3">
        <f t="shared" si="10"/>
        <v>12</v>
      </c>
      <c r="AC30" s="5"/>
      <c r="AD30" s="5"/>
      <c r="AE30" s="5"/>
      <c r="AF30" s="5"/>
      <c r="AG30" s="1">
        <v>48.25</v>
      </c>
      <c r="AH30" s="2">
        <v>4</v>
      </c>
      <c r="AI30" s="3">
        <f>AG30</f>
        <v>48.25</v>
      </c>
      <c r="AJ30" s="4">
        <f>AH30</f>
        <v>4</v>
      </c>
      <c r="AK30" s="1">
        <v>44.71</v>
      </c>
      <c r="AL30" s="2">
        <v>3</v>
      </c>
      <c r="AM30" s="9">
        <f>AK30+AI30+AE30+AC30+AA30+W30+Q30+I30</f>
        <v>281.17</v>
      </c>
      <c r="AN30" s="6">
        <f>AL30+AJ30+AF30+AD30+AB30+X30+R30+J30</f>
        <v>27</v>
      </c>
    </row>
    <row r="31" spans="2:40" ht="18" customHeight="1" x14ac:dyDescent="0.25">
      <c r="B31" s="12" t="s">
        <v>21</v>
      </c>
      <c r="C31" s="1">
        <v>682.77</v>
      </c>
      <c r="D31" s="2">
        <v>11</v>
      </c>
      <c r="G31" s="5">
        <v>33</v>
      </c>
      <c r="H31" s="5">
        <v>1</v>
      </c>
      <c r="I31" s="54">
        <f t="shared" si="8"/>
        <v>715.77</v>
      </c>
      <c r="J31" s="54">
        <f t="shared" si="4"/>
        <v>12</v>
      </c>
      <c r="K31" s="1"/>
      <c r="L31" s="2"/>
      <c r="M31" s="5"/>
      <c r="N31" s="5"/>
      <c r="O31" s="5"/>
      <c r="P31" s="5"/>
      <c r="Q31" s="3"/>
      <c r="R31" s="4"/>
      <c r="S31" s="5">
        <v>70.319999999999993</v>
      </c>
      <c r="T31" s="5">
        <v>2</v>
      </c>
      <c r="U31" s="5"/>
      <c r="V31" s="5"/>
      <c r="W31" s="5"/>
      <c r="X31" s="5"/>
      <c r="Y31" s="1"/>
      <c r="Z31" s="2"/>
      <c r="AA31" s="3">
        <f t="shared" si="9"/>
        <v>0</v>
      </c>
      <c r="AB31" s="3">
        <f t="shared" si="10"/>
        <v>0</v>
      </c>
      <c r="AC31" s="5"/>
      <c r="AD31" s="5"/>
      <c r="AE31" s="5"/>
      <c r="AF31" s="5"/>
      <c r="AG31" s="1">
        <v>79.27</v>
      </c>
      <c r="AH31" s="2">
        <v>3</v>
      </c>
      <c r="AI31" s="3">
        <f>AG31</f>
        <v>79.27</v>
      </c>
      <c r="AJ31" s="4">
        <f>AH31</f>
        <v>3</v>
      </c>
      <c r="AK31" s="5"/>
      <c r="AL31" s="5"/>
      <c r="AM31" s="9">
        <f>AK31+AI31+AE31+AC31+AA31+W31+Q31+I31</f>
        <v>795.04</v>
      </c>
      <c r="AN31" s="6">
        <f>AL31+AJ31+AF31+AD31+AB31+X31+R31+J31</f>
        <v>15</v>
      </c>
    </row>
    <row r="32" spans="2:40" ht="18" customHeight="1" x14ac:dyDescent="0.25">
      <c r="B32" s="12" t="s">
        <v>22</v>
      </c>
      <c r="C32" s="5"/>
      <c r="D32" s="5"/>
      <c r="G32" s="5"/>
      <c r="H32" s="5"/>
      <c r="I32" s="54">
        <f t="shared" si="8"/>
        <v>0</v>
      </c>
      <c r="J32" s="54">
        <f t="shared" si="4"/>
        <v>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1">
        <v>253.84</v>
      </c>
      <c r="Z32" s="2">
        <v>1</v>
      </c>
      <c r="AA32" s="3">
        <f t="shared" si="9"/>
        <v>253.84</v>
      </c>
      <c r="AB32" s="3">
        <f t="shared" si="10"/>
        <v>1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9">
        <f>AK32+AI32+AE32+AC32+AA32+W32+Q32+I32</f>
        <v>253.84</v>
      </c>
      <c r="AN32" s="6">
        <f>AL32+AJ32+AF32+AD32+AB32+X32+R32+J32</f>
        <v>1</v>
      </c>
    </row>
    <row r="33" spans="2:41" ht="18" customHeight="1" x14ac:dyDescent="0.25">
      <c r="B33" s="12" t="s">
        <v>23</v>
      </c>
      <c r="C33" s="5"/>
      <c r="D33" s="5"/>
      <c r="G33" s="5"/>
      <c r="H33" s="5"/>
      <c r="I33" s="54">
        <f t="shared" si="8"/>
        <v>0</v>
      </c>
      <c r="J33" s="54">
        <f t="shared" si="4"/>
        <v>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1">
        <v>33.81</v>
      </c>
      <c r="Z33" s="2">
        <v>1</v>
      </c>
      <c r="AA33" s="3">
        <f t="shared" si="9"/>
        <v>33.81</v>
      </c>
      <c r="AB33" s="3">
        <f t="shared" si="10"/>
        <v>1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9">
        <f>AK33+AI33+AE33+AC33+AA33+W33+Q33+I33</f>
        <v>33.81</v>
      </c>
      <c r="AN33" s="6">
        <f>AL33+AJ33+AF33+AD33+AB33+X33+R33+J33</f>
        <v>1</v>
      </c>
      <c r="AO33" s="14"/>
    </row>
    <row r="34" spans="2:41" ht="18" customHeight="1" x14ac:dyDescent="0.25">
      <c r="B34" s="21" t="s">
        <v>24</v>
      </c>
      <c r="C34" s="22">
        <f>C10+C11+C12+C13+C15+C21+C24+C25+C26+C29+C31+C8</f>
        <v>3699.21</v>
      </c>
      <c r="D34" s="23">
        <f>D10+D11+D12+D13+D15+D21+D24+D25+D26+D29+D31+D8</f>
        <v>74</v>
      </c>
      <c r="E34" s="22">
        <f>G26+G25+G21+G16+G12+G11+G10+G8</f>
        <v>856.12</v>
      </c>
      <c r="F34" s="23">
        <f>H26+H25+H21+H16+H12+H11+H10+H8</f>
        <v>19</v>
      </c>
      <c r="G34" s="22">
        <f>+SUM(G8:G33)</f>
        <v>904.58999999999992</v>
      </c>
      <c r="H34" s="22">
        <f>+SUM(H8:H33)</f>
        <v>23</v>
      </c>
      <c r="I34" s="54">
        <f t="shared" si="8"/>
        <v>5459.92</v>
      </c>
      <c r="J34" s="23">
        <f>J31+J29+J26+J25+J24+J21+J16+J15+J13+J12+J11+J10+J8</f>
        <v>111</v>
      </c>
      <c r="K34" s="22">
        <f>K30+K29+K27+K26+K25+K21+K17+K15+K13+K12+K11+K10+K8</f>
        <v>2950.02</v>
      </c>
      <c r="L34" s="22">
        <f>L30+L29+L27+L26+L25+L21+L17+L15+L13+L12+L11+L10+L8</f>
        <v>58</v>
      </c>
      <c r="M34" s="22">
        <f>M30+M28+M26+M22+M21+M20+M19+M14+M12+M11+M10+M8</f>
        <v>2686.9500000000003</v>
      </c>
      <c r="N34" s="23">
        <f>N30+N28+N26+N22+N21+N20+N19+N14+N12+N11+N10+N8</f>
        <v>88</v>
      </c>
      <c r="O34" s="22">
        <f>O29+O26+O21+O20+O13+O12+O11+O8</f>
        <v>893.18999999999983</v>
      </c>
      <c r="P34" s="23">
        <f>P29+P26+P21+P20+P13+P12+P11+P8</f>
        <v>21</v>
      </c>
      <c r="Q34" s="23">
        <f>Q30+Q29+Q28+Q27+Q26+Q25+Q21+Q22+Q20+Q19+Q17+Q15+Q14+Q13+Q12+Q11+Q10+Q8</f>
        <v>7508.4599999999991</v>
      </c>
      <c r="R34" s="23">
        <f>R30+R29+R28+R27+R26+R25+R21+R22+R20+R19+R17+R15+R14+R13+R12+R11+R10+R8</f>
        <v>199</v>
      </c>
      <c r="S34" s="22">
        <f>S9+S10+S11+S12+S13+S17+S20+S21+S25+S26+S27+S28+S29+S8</f>
        <v>4551.68</v>
      </c>
      <c r="T34" s="22">
        <f>T9+T10+T11+T12+T13+T17+T20+T21+T25+T26+T27+T28+T29+T8</f>
        <v>102</v>
      </c>
      <c r="U34" s="22">
        <f>U27+U26+U25+U13+U12+U11+U8</f>
        <v>588.20999999999992</v>
      </c>
      <c r="V34" s="23">
        <f>V27+V26+V25+V13+V12+V11+V8</f>
        <v>13</v>
      </c>
      <c r="W34" s="23">
        <f>W9+W10+W11+W12+W13+W17+W20+W21+W25+W26+W27+W28+W29+W8</f>
        <v>4551.68</v>
      </c>
      <c r="X34" s="23">
        <f>X9+X10+X11+X12+X13+X17+X20+X21+X25+X26+X27+X28+X29+X8</f>
        <v>102</v>
      </c>
      <c r="Y34" s="23">
        <f>Y33+Y32+Y30+Y27+Y26+Y25+Y21+Y20+Y19+Y18+Y17+Y13+Y12+Y11+Y10+Y9+Y8</f>
        <v>3902.2499999999995</v>
      </c>
      <c r="Z34" s="23">
        <f>Z33+Z32+Z30+Z27+Z26+Z25+Z21+Z20+Z19+Z18+Z17+Z13+Z12+Z11+Z10+Z9+Z8</f>
        <v>82</v>
      </c>
      <c r="AA34" s="22">
        <f>AA33+AA32+AA30+AA27+AA25+AA26+AA21+AA20+AA19+AA18+AA17+AA13+AA12+AA11+AA10+AA9+AA8</f>
        <v>3902.2500000000005</v>
      </c>
      <c r="AB34" s="23">
        <f>AB33+AB32+AB30+AB27+AB25+AB26+AB21+AB20+AB19+AB18+AB17+AB13+AB12+AB11+AB10+AB9+AB8</f>
        <v>82</v>
      </c>
      <c r="AC34" s="22">
        <f>AC28+AC26+AC24+AC23+AC20+AC17+AC13+AC12+AC11+AC8</f>
        <v>8649.4699999999993</v>
      </c>
      <c r="AD34" s="23">
        <f>AD28+AD26+AD24+AD23+AD20+AD17+AD13+AD12+AD11+AD8</f>
        <v>31</v>
      </c>
      <c r="AE34" s="24"/>
      <c r="AF34" s="24"/>
      <c r="AG34" s="22">
        <f>AG31+AG30+AG27+AG26+AG25+AG21+AG20+AG13+AG12+AG11+AG10+AG9+AG8</f>
        <v>9747.5</v>
      </c>
      <c r="AH34" s="23">
        <f>AH31+AH30+AH27+AH26+AH25+AH21+AH20+AH13+AH12+AH11+AH10+AH9+AH8</f>
        <v>212</v>
      </c>
      <c r="AI34" s="22">
        <f>AI31+AI30+AI27+AI26+AI25+AI21+AI20+AI13+AI12+AI11+AI10+AI9+AI8</f>
        <v>9747.5</v>
      </c>
      <c r="AJ34" s="23">
        <f>AJ31+AJ30+AJ27+AJ26+AJ25+AJ21+AJ20+AJ13+AJ12+AJ11+AJ10+AJ9+AJ8</f>
        <v>212</v>
      </c>
      <c r="AK34" s="22">
        <f>AK30+AK29+AK26+AK25+AK24+AK21+AK17+AK13+AK12+AK11+AK10+AK8</f>
        <v>8882.43</v>
      </c>
      <c r="AL34" s="23">
        <f>AL30+AL29+AL26+AL25+AL24+AL21+AL17+AL13+AL12+AL11+AL10+AL8</f>
        <v>133</v>
      </c>
      <c r="AM34" s="23">
        <f>AK34+AI34+AE34+AC34+AA34+W34+Q34+I34</f>
        <v>48701.71</v>
      </c>
      <c r="AN34" s="23">
        <f>AL34+AJ34+AF34+AD34+AB34+X34+R34+J34</f>
        <v>870</v>
      </c>
      <c r="AO34" s="20"/>
    </row>
    <row r="35" spans="2:41" ht="18" customHeight="1" x14ac:dyDescent="0.25">
      <c r="B35" s="77" t="s">
        <v>25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</row>
    <row r="36" spans="2:41" ht="18" customHeight="1" x14ac:dyDescent="0.25">
      <c r="B36" s="12" t="s">
        <v>26</v>
      </c>
      <c r="C36" s="1">
        <v>37.96</v>
      </c>
      <c r="D36" s="2">
        <v>4</v>
      </c>
      <c r="E36" s="1">
        <v>5.09</v>
      </c>
      <c r="F36" s="2">
        <v>1</v>
      </c>
      <c r="G36" s="5"/>
      <c r="H36" s="5"/>
      <c r="I36" s="3">
        <f>+C36+E36+G36</f>
        <v>43.05</v>
      </c>
      <c r="J36" s="3">
        <f>+D36+F36+H36</f>
        <v>5</v>
      </c>
      <c r="K36" s="1">
        <v>46.42</v>
      </c>
      <c r="L36" s="2">
        <v>2</v>
      </c>
      <c r="M36" s="1">
        <v>19.73</v>
      </c>
      <c r="N36" s="2">
        <v>4</v>
      </c>
      <c r="O36" s="1"/>
      <c r="P36" s="2"/>
      <c r="Q36" s="3">
        <v>119.98</v>
      </c>
      <c r="R36" s="4">
        <v>10</v>
      </c>
      <c r="S36" s="1">
        <v>153</v>
      </c>
      <c r="T36" s="2">
        <v>10</v>
      </c>
      <c r="U36" s="1">
        <v>25.43</v>
      </c>
      <c r="V36" s="2">
        <v>2</v>
      </c>
      <c r="W36" s="3">
        <f>S36</f>
        <v>153</v>
      </c>
      <c r="X36" s="4">
        <f>T36</f>
        <v>10</v>
      </c>
      <c r="Y36" s="1">
        <v>1.53</v>
      </c>
      <c r="Z36" s="2">
        <v>1</v>
      </c>
      <c r="AA36" s="3">
        <f>+Y36</f>
        <v>1.53</v>
      </c>
      <c r="AB36" s="4">
        <f>+Z36</f>
        <v>1</v>
      </c>
      <c r="AC36" s="3">
        <v>12.27</v>
      </c>
      <c r="AD36" s="4">
        <v>1</v>
      </c>
      <c r="AE36" s="3">
        <v>1.61</v>
      </c>
      <c r="AF36" s="4">
        <v>1</v>
      </c>
      <c r="AG36" s="1">
        <v>245.31</v>
      </c>
      <c r="AH36" s="2">
        <v>8</v>
      </c>
      <c r="AI36" s="3">
        <f>AG36</f>
        <v>245.31</v>
      </c>
      <c r="AJ36" s="4">
        <f>AH36</f>
        <v>8</v>
      </c>
      <c r="AK36" s="1">
        <v>20.55</v>
      </c>
      <c r="AL36" s="2">
        <v>2</v>
      </c>
      <c r="AM36" s="9">
        <f>AK36+AI36+AE36+AC36+AA36+W36+Q36+I36</f>
        <v>597.29999999999995</v>
      </c>
      <c r="AN36" s="6">
        <f>AL36+AJ36+AF36+AD36+AB36+X36+R36+J36</f>
        <v>38</v>
      </c>
    </row>
    <row r="37" spans="2:41" ht="18" customHeight="1" x14ac:dyDescent="0.25">
      <c r="B37" s="12" t="s">
        <v>27</v>
      </c>
      <c r="C37" s="1">
        <v>317.01</v>
      </c>
      <c r="D37" s="2">
        <v>18</v>
      </c>
      <c r="E37" s="1"/>
      <c r="F37" s="2"/>
      <c r="G37" s="5"/>
      <c r="H37" s="5"/>
      <c r="I37" s="3">
        <f t="shared" ref="I37:I40" si="12">+C37+E37+G37</f>
        <v>317.01</v>
      </c>
      <c r="J37" s="3">
        <f t="shared" ref="J37:J39" si="13">+D37+F37+H37</f>
        <v>18</v>
      </c>
      <c r="K37" s="1">
        <f>15.5+12.4+12.4+711.53</f>
        <v>751.82999999999993</v>
      </c>
      <c r="L37" s="2">
        <v>46</v>
      </c>
      <c r="M37" s="1">
        <v>217.36</v>
      </c>
      <c r="N37" s="2">
        <v>14</v>
      </c>
      <c r="O37" s="1">
        <v>270.33999999999997</v>
      </c>
      <c r="P37" s="2">
        <v>17</v>
      </c>
      <c r="Q37" s="3">
        <v>1667.93</v>
      </c>
      <c r="R37" s="4">
        <v>90</v>
      </c>
      <c r="S37" s="1">
        <v>949.24</v>
      </c>
      <c r="T37" s="2">
        <v>64</v>
      </c>
      <c r="U37" s="1">
        <v>61.1</v>
      </c>
      <c r="V37" s="2">
        <v>5</v>
      </c>
      <c r="W37" s="3">
        <f t="shared" ref="W37:W39" si="14">S37</f>
        <v>949.24</v>
      </c>
      <c r="X37" s="4">
        <f t="shared" ref="X37:X39" si="15">T37</f>
        <v>64</v>
      </c>
      <c r="Y37" s="1">
        <v>493.69</v>
      </c>
      <c r="Z37" s="2">
        <v>51</v>
      </c>
      <c r="AA37" s="3">
        <f>+Y37</f>
        <v>493.69</v>
      </c>
      <c r="AB37" s="4">
        <f t="shared" ref="AB37:AB39" si="16">+Z37</f>
        <v>51</v>
      </c>
      <c r="AC37" s="3">
        <v>751.83</v>
      </c>
      <c r="AD37" s="4">
        <v>28</v>
      </c>
      <c r="AE37" s="3">
        <v>83.05</v>
      </c>
      <c r="AF37" s="4">
        <v>5</v>
      </c>
      <c r="AG37" s="1">
        <f>325+627.33</f>
        <v>952.33</v>
      </c>
      <c r="AH37" s="2">
        <f>34+12</f>
        <v>46</v>
      </c>
      <c r="AI37" s="3">
        <f>AG37</f>
        <v>952.33</v>
      </c>
      <c r="AJ37" s="4">
        <f>AH37</f>
        <v>46</v>
      </c>
      <c r="AK37" s="1">
        <v>364.94</v>
      </c>
      <c r="AL37" s="2">
        <v>27</v>
      </c>
      <c r="AM37" s="9">
        <f>AK37+AI37+AE37+AC37+AA37+W37+Q37+I37</f>
        <v>5580.02</v>
      </c>
      <c r="AN37" s="6">
        <f>AL37+AJ37+AF37+AD37+AB37+X37+R37+J37</f>
        <v>329</v>
      </c>
    </row>
    <row r="38" spans="2:41" ht="18" customHeight="1" x14ac:dyDescent="0.25">
      <c r="B38" s="12" t="s">
        <v>28</v>
      </c>
      <c r="C38" s="5"/>
      <c r="D38" s="5"/>
      <c r="E38" s="5"/>
      <c r="F38" s="5"/>
      <c r="G38" s="5"/>
      <c r="H38" s="5"/>
      <c r="I38" s="3">
        <f t="shared" si="12"/>
        <v>0</v>
      </c>
      <c r="J38" s="3">
        <f t="shared" si="13"/>
        <v>0</v>
      </c>
      <c r="K38" s="5"/>
      <c r="L38" s="5"/>
      <c r="M38" s="5"/>
      <c r="N38" s="5"/>
      <c r="O38" s="5"/>
      <c r="P38" s="5"/>
      <c r="Q38" s="5"/>
      <c r="R38" s="5"/>
      <c r="S38" s="1">
        <v>22.71</v>
      </c>
      <c r="T38" s="2">
        <v>1</v>
      </c>
      <c r="U38" s="5"/>
      <c r="V38" s="5"/>
      <c r="W38" s="3">
        <f t="shared" si="14"/>
        <v>22.71</v>
      </c>
      <c r="X38" s="4">
        <f t="shared" si="15"/>
        <v>1</v>
      </c>
      <c r="Y38" s="5"/>
      <c r="Z38" s="5"/>
      <c r="AA38" s="3">
        <f>+Y38</f>
        <v>0</v>
      </c>
      <c r="AB38" s="4">
        <f t="shared" si="16"/>
        <v>0</v>
      </c>
      <c r="AC38" s="5"/>
      <c r="AD38" s="5"/>
      <c r="AE38" s="5"/>
      <c r="AF38" s="5"/>
      <c r="AG38" s="5"/>
      <c r="AH38" s="5"/>
      <c r="AI38" s="5"/>
      <c r="AJ38" s="6"/>
      <c r="AK38" s="5"/>
      <c r="AL38" s="5"/>
      <c r="AM38" s="9">
        <f>AK38+AI38+AE38+AC38+AA38+W38+Q38+I38</f>
        <v>22.71</v>
      </c>
      <c r="AN38" s="6">
        <f>AL38+AJ38+AF38+AD38+AB38+X38+R38+J38</f>
        <v>1</v>
      </c>
    </row>
    <row r="39" spans="2:41" ht="18" customHeight="1" x14ac:dyDescent="0.25">
      <c r="B39" s="12" t="s">
        <v>29</v>
      </c>
      <c r="C39" s="1">
        <v>28.85</v>
      </c>
      <c r="D39" s="2">
        <v>2</v>
      </c>
      <c r="E39" s="5"/>
      <c r="F39" s="5"/>
      <c r="G39" s="5"/>
      <c r="H39" s="5"/>
      <c r="I39" s="3">
        <f t="shared" si="12"/>
        <v>28.85</v>
      </c>
      <c r="J39" s="3">
        <f t="shared" si="13"/>
        <v>2</v>
      </c>
      <c r="K39" s="1">
        <v>98.38</v>
      </c>
      <c r="L39" s="2">
        <v>4</v>
      </c>
      <c r="M39" s="1">
        <v>5.46</v>
      </c>
      <c r="N39" s="2">
        <v>1</v>
      </c>
      <c r="O39" s="1"/>
      <c r="P39" s="2"/>
      <c r="Q39" s="3">
        <v>147.44999999999999</v>
      </c>
      <c r="R39" s="4">
        <v>7</v>
      </c>
      <c r="S39" s="1">
        <v>162.61000000000001</v>
      </c>
      <c r="T39" s="2">
        <v>8</v>
      </c>
      <c r="U39" s="1">
        <v>13.4</v>
      </c>
      <c r="V39" s="2">
        <v>1</v>
      </c>
      <c r="W39" s="3">
        <f t="shared" si="14"/>
        <v>162.61000000000001</v>
      </c>
      <c r="X39" s="4">
        <f t="shared" si="15"/>
        <v>8</v>
      </c>
      <c r="Y39" s="1">
        <v>52.33</v>
      </c>
      <c r="Z39" s="2">
        <v>4</v>
      </c>
      <c r="AA39" s="3">
        <f>+Y39</f>
        <v>52.33</v>
      </c>
      <c r="AB39" s="4">
        <f t="shared" si="16"/>
        <v>4</v>
      </c>
      <c r="AC39" s="3">
        <v>91.45</v>
      </c>
      <c r="AD39" s="4">
        <v>3</v>
      </c>
      <c r="AE39" s="5"/>
      <c r="AF39" s="5"/>
      <c r="AG39" s="1">
        <f>42.79+17.81</f>
        <v>60.599999999999994</v>
      </c>
      <c r="AH39" s="2">
        <v>3</v>
      </c>
      <c r="AI39" s="3">
        <f>AG39</f>
        <v>60.599999999999994</v>
      </c>
      <c r="AJ39" s="4">
        <f>AH39</f>
        <v>3</v>
      </c>
      <c r="AK39" s="1">
        <v>59.43</v>
      </c>
      <c r="AL39" s="2">
        <v>5</v>
      </c>
      <c r="AM39" s="9">
        <f>AK39+AI39+AE39+AC39+AA39+W39+Q39+I39</f>
        <v>602.72</v>
      </c>
      <c r="AN39" s="6">
        <f>AL39+AJ39+AF39+AD39+AB39+X39+R39+J39</f>
        <v>32</v>
      </c>
    </row>
    <row r="40" spans="2:41" ht="18" customHeight="1" x14ac:dyDescent="0.25">
      <c r="B40" s="25" t="s">
        <v>30</v>
      </c>
      <c r="C40" s="26">
        <f>C36+C37+C39</f>
        <v>383.82</v>
      </c>
      <c r="D40" s="27">
        <f>D36+D37+D39</f>
        <v>24</v>
      </c>
      <c r="E40" s="26">
        <f>E36+E37</f>
        <v>5.09</v>
      </c>
      <c r="F40" s="27">
        <f>F36+F37</f>
        <v>1</v>
      </c>
      <c r="G40" s="28"/>
      <c r="H40" s="28"/>
      <c r="I40" s="3">
        <f t="shared" si="12"/>
        <v>388.90999999999997</v>
      </c>
      <c r="J40" s="27">
        <f>J36+J37+J38+J39</f>
        <v>25</v>
      </c>
      <c r="K40" s="26">
        <f>K39+K37+K36</f>
        <v>896.62999999999988</v>
      </c>
      <c r="L40" s="27">
        <f>L39+L37+L36</f>
        <v>52</v>
      </c>
      <c r="M40" s="26">
        <f>M39+M37+M36</f>
        <v>242.55</v>
      </c>
      <c r="N40" s="27">
        <f>N36+N37+N39</f>
        <v>19</v>
      </c>
      <c r="O40" s="26">
        <f>O36+O37+O39</f>
        <v>270.33999999999997</v>
      </c>
      <c r="P40" s="27">
        <f>P36+P37+P39</f>
        <v>17</v>
      </c>
      <c r="Q40" s="26">
        <f>Q36+Q37+Q39</f>
        <v>1935.3600000000001</v>
      </c>
      <c r="R40" s="27">
        <f>R36+R37+R39</f>
        <v>107</v>
      </c>
      <c r="S40" s="29">
        <f>SUM(S36:S39)</f>
        <v>1287.56</v>
      </c>
      <c r="T40" s="30">
        <f>SUM(T36:T39)</f>
        <v>83</v>
      </c>
      <c r="U40" s="26">
        <f t="shared" ref="U40:V40" si="17">U36+U37+U39</f>
        <v>99.93</v>
      </c>
      <c r="V40" s="27">
        <f t="shared" si="17"/>
        <v>8</v>
      </c>
      <c r="W40" s="29">
        <f>SUM(W36:W39)</f>
        <v>1287.56</v>
      </c>
      <c r="X40" s="27">
        <f>SUM(X36:X39)</f>
        <v>83</v>
      </c>
      <c r="Y40" s="26">
        <f t="shared" ref="Y40:AD40" si="18">Y36+Y37+Y39</f>
        <v>547.54999999999995</v>
      </c>
      <c r="Z40" s="27">
        <f t="shared" si="18"/>
        <v>56</v>
      </c>
      <c r="AA40" s="26">
        <f t="shared" si="18"/>
        <v>547.54999999999995</v>
      </c>
      <c r="AB40" s="27">
        <f t="shared" si="18"/>
        <v>56</v>
      </c>
      <c r="AC40" s="26">
        <f t="shared" si="18"/>
        <v>855.55000000000007</v>
      </c>
      <c r="AD40" s="27">
        <f t="shared" si="18"/>
        <v>32</v>
      </c>
      <c r="AE40" s="26">
        <f>AE37+AE36</f>
        <v>84.66</v>
      </c>
      <c r="AF40" s="27">
        <f>AF37+AF36</f>
        <v>6</v>
      </c>
      <c r="AG40" s="26">
        <f>AG36+AG37+AG39</f>
        <v>1258.24</v>
      </c>
      <c r="AH40" s="27">
        <f>AH36+AH37+AH39</f>
        <v>57</v>
      </c>
      <c r="AI40" s="26">
        <f>AG40</f>
        <v>1258.24</v>
      </c>
      <c r="AJ40" s="27">
        <f>AH40</f>
        <v>57</v>
      </c>
      <c r="AK40" s="26">
        <f>AK36+AK37+AK39</f>
        <v>444.92</v>
      </c>
      <c r="AL40" s="27">
        <f>AL36+AL37+AL39</f>
        <v>34</v>
      </c>
      <c r="AM40" s="27">
        <f>AK40+AI40+AE40+AC40+AA40+W40+Q40+I40</f>
        <v>6802.75</v>
      </c>
      <c r="AN40" s="27">
        <f>AL40+AJ40+AF40+AD40+AB40+X40+R40+J40</f>
        <v>400</v>
      </c>
    </row>
    <row r="41" spans="2:41" ht="18" customHeight="1" x14ac:dyDescent="0.25">
      <c r="B41" s="79" t="s">
        <v>31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</row>
    <row r="42" spans="2:41" ht="18" customHeight="1" x14ac:dyDescent="0.25">
      <c r="B42" s="83" t="s">
        <v>32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1">
        <v>24.05</v>
      </c>
      <c r="N42" s="2">
        <v>7</v>
      </c>
      <c r="O42" s="5"/>
      <c r="P42" s="5"/>
      <c r="Q42" s="3">
        <v>24.05</v>
      </c>
      <c r="R42" s="4">
        <v>7</v>
      </c>
      <c r="S42" s="5"/>
      <c r="T42" s="5"/>
      <c r="U42" s="1">
        <v>5.54</v>
      </c>
      <c r="V42" s="2">
        <v>2</v>
      </c>
      <c r="W42" s="5"/>
      <c r="X42" s="5"/>
      <c r="Y42" s="5"/>
      <c r="Z42" s="5"/>
      <c r="AA42" s="3">
        <f>+Y42</f>
        <v>0</v>
      </c>
      <c r="AB42" s="4">
        <f>+Z42</f>
        <v>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9">
        <f>AK42+AI42+AE42+AC42+AA42+W42+Q42+I42</f>
        <v>24.05</v>
      </c>
      <c r="AN42" s="6">
        <f>AL42+AJ42+AF42+AD42+AB42+X42+R42+J42</f>
        <v>7</v>
      </c>
    </row>
    <row r="43" spans="2:41" ht="18" customHeight="1" x14ac:dyDescent="0.25">
      <c r="B43" s="83" t="s">
        <v>33</v>
      </c>
      <c r="C43" s="1">
        <v>1939.4</v>
      </c>
      <c r="D43" s="2">
        <v>35</v>
      </c>
      <c r="E43" s="1">
        <v>115.78</v>
      </c>
      <c r="F43" s="2">
        <v>9</v>
      </c>
      <c r="G43" s="1">
        <v>334.19</v>
      </c>
      <c r="H43" s="2">
        <v>5</v>
      </c>
      <c r="I43" s="3">
        <f>G43+E43+C43</f>
        <v>2389.37</v>
      </c>
      <c r="J43" s="3">
        <f>H43+F43+D43</f>
        <v>49</v>
      </c>
      <c r="K43" s="1">
        <v>3542</v>
      </c>
      <c r="L43" s="2">
        <v>146</v>
      </c>
      <c r="M43" s="15">
        <v>826.3</v>
      </c>
      <c r="N43" s="2">
        <v>31</v>
      </c>
      <c r="O43" s="18"/>
      <c r="P43" s="2"/>
      <c r="Q43" s="3">
        <f>K43+M43+O43</f>
        <v>4368.3</v>
      </c>
      <c r="R43" s="4">
        <f>L43+N43+P43</f>
        <v>177</v>
      </c>
      <c r="S43" s="1">
        <v>7026.73</v>
      </c>
      <c r="T43" s="2">
        <v>153</v>
      </c>
      <c r="U43" s="1">
        <v>160.71</v>
      </c>
      <c r="V43" s="2">
        <v>11</v>
      </c>
      <c r="W43" s="3">
        <f>S43</f>
        <v>7026.73</v>
      </c>
      <c r="X43" s="3">
        <f>T43</f>
        <v>153</v>
      </c>
      <c r="Y43" s="1">
        <v>1645.65</v>
      </c>
      <c r="Z43" s="2">
        <v>60</v>
      </c>
      <c r="AA43" s="3">
        <f t="shared" ref="AA43:AA50" si="19">+Y43</f>
        <v>1645.65</v>
      </c>
      <c r="AB43" s="4">
        <f t="shared" ref="AB43:AB50" si="20">+Z43</f>
        <v>60</v>
      </c>
      <c r="AC43" s="3">
        <v>1553.69</v>
      </c>
      <c r="AD43" s="4">
        <v>47</v>
      </c>
      <c r="AE43" s="3">
        <v>22.79</v>
      </c>
      <c r="AF43" s="4">
        <v>5</v>
      </c>
      <c r="AG43" s="1">
        <v>3246.82</v>
      </c>
      <c r="AH43" s="2">
        <v>78</v>
      </c>
      <c r="AI43" s="3">
        <f>AG43</f>
        <v>3246.82</v>
      </c>
      <c r="AJ43" s="4">
        <f>AH43</f>
        <v>78</v>
      </c>
      <c r="AK43" s="1">
        <v>9281.7000000000007</v>
      </c>
      <c r="AL43" s="2">
        <v>118</v>
      </c>
      <c r="AM43" s="9">
        <f>AK43+AI43+AE43+AC43+AA43+W43+Q43+I43</f>
        <v>29535.05</v>
      </c>
      <c r="AN43" s="6">
        <f>AL43+AJ43+AF43+AD43+AB43+X43+R43+J43</f>
        <v>687</v>
      </c>
    </row>
    <row r="44" spans="2:41" ht="18" customHeight="1" x14ac:dyDescent="0.25">
      <c r="B44" s="83" t="s">
        <v>34</v>
      </c>
      <c r="C44" s="5"/>
      <c r="D44" s="5"/>
      <c r="E44" s="5"/>
      <c r="F44" s="5"/>
      <c r="G44" s="5"/>
      <c r="H44" s="5"/>
      <c r="I44" s="5"/>
      <c r="J44" s="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3">
        <f t="shared" si="19"/>
        <v>0</v>
      </c>
      <c r="AB44" s="4">
        <f t="shared" si="20"/>
        <v>0</v>
      </c>
      <c r="AC44" s="5"/>
      <c r="AD44" s="5"/>
      <c r="AE44" s="5"/>
      <c r="AF44" s="5"/>
      <c r="AG44" s="1">
        <v>56.12</v>
      </c>
      <c r="AH44" s="2">
        <v>1</v>
      </c>
      <c r="AI44" s="3">
        <f t="shared" ref="AI44:AJ45" si="21">AG44</f>
        <v>56.12</v>
      </c>
      <c r="AJ44" s="4">
        <f t="shared" si="21"/>
        <v>1</v>
      </c>
      <c r="AK44" s="1">
        <v>203.16</v>
      </c>
      <c r="AL44" s="2">
        <v>1</v>
      </c>
      <c r="AM44" s="9">
        <f>AK44+AI44+AE44+AC44+AA44+W44+Q44+I44</f>
        <v>259.27999999999997</v>
      </c>
      <c r="AN44" s="6">
        <f>AL44+AJ44+AF44+AD44+AB44+X44+R44+J44</f>
        <v>2</v>
      </c>
    </row>
    <row r="45" spans="2:41" ht="18" customHeight="1" x14ac:dyDescent="0.25">
      <c r="B45" s="83" t="s">
        <v>35</v>
      </c>
      <c r="C45" s="5"/>
      <c r="D45" s="5"/>
      <c r="E45" s="5"/>
      <c r="F45" s="5"/>
      <c r="G45" s="5"/>
      <c r="H45" s="5"/>
      <c r="I45" s="5"/>
      <c r="J45" s="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1">
        <v>63.18</v>
      </c>
      <c r="Z45" s="2">
        <v>1</v>
      </c>
      <c r="AA45" s="3">
        <f t="shared" si="19"/>
        <v>63.18</v>
      </c>
      <c r="AB45" s="4">
        <f t="shared" si="20"/>
        <v>1</v>
      </c>
      <c r="AC45" s="5"/>
      <c r="AD45" s="5"/>
      <c r="AE45" s="5"/>
      <c r="AF45" s="5"/>
      <c r="AG45" s="1">
        <v>36.35</v>
      </c>
      <c r="AH45" s="2">
        <v>3</v>
      </c>
      <c r="AI45" s="3">
        <f t="shared" si="21"/>
        <v>36.35</v>
      </c>
      <c r="AJ45" s="4">
        <f t="shared" si="21"/>
        <v>3</v>
      </c>
      <c r="AK45" s="5"/>
      <c r="AL45" s="5"/>
      <c r="AM45" s="9">
        <f>AK45+AI45+AE45+AC45+AA45+W45+Q45+I45</f>
        <v>99.53</v>
      </c>
      <c r="AN45" s="6">
        <f>AL45+AJ45+AF45+AD45+AB45+X45+R45+J45</f>
        <v>4</v>
      </c>
    </row>
    <row r="46" spans="2:41" ht="18" customHeight="1" x14ac:dyDescent="0.25">
      <c r="B46" s="83" t="s">
        <v>36</v>
      </c>
      <c r="C46" s="1">
        <v>327.02</v>
      </c>
      <c r="D46" s="2">
        <v>1</v>
      </c>
      <c r="E46" s="5"/>
      <c r="F46" s="5"/>
      <c r="G46" s="5"/>
      <c r="H46" s="5"/>
      <c r="I46" s="3">
        <f>C46</f>
        <v>327.02</v>
      </c>
      <c r="J46" s="3">
        <f t="shared" ref="J44:J50" si="22">H46+F46+D46</f>
        <v>1</v>
      </c>
      <c r="K46" s="5"/>
      <c r="L46" s="5"/>
      <c r="M46" s="1">
        <v>46.77</v>
      </c>
      <c r="N46" s="2">
        <v>1</v>
      </c>
      <c r="O46" s="5"/>
      <c r="P46" s="5"/>
      <c r="Q46" s="3">
        <f>M46</f>
        <v>46.77</v>
      </c>
      <c r="R46" s="4">
        <f>N46</f>
        <v>1</v>
      </c>
      <c r="S46" s="5"/>
      <c r="T46" s="5"/>
      <c r="U46" s="5"/>
      <c r="V46" s="5"/>
      <c r="W46" s="5"/>
      <c r="X46" s="5"/>
      <c r="Y46" s="5"/>
      <c r="Z46" s="5"/>
      <c r="AA46" s="3">
        <f t="shared" si="19"/>
        <v>0</v>
      </c>
      <c r="AB46" s="4">
        <f t="shared" si="20"/>
        <v>0</v>
      </c>
      <c r="AC46" s="5"/>
      <c r="AD46" s="5"/>
      <c r="AE46" s="5"/>
      <c r="AF46" s="5"/>
      <c r="AG46" s="5"/>
      <c r="AH46" s="5"/>
      <c r="AI46" s="5"/>
      <c r="AJ46" s="5"/>
      <c r="AK46" s="1">
        <v>362.55</v>
      </c>
      <c r="AL46" s="2">
        <v>7</v>
      </c>
      <c r="AM46" s="9">
        <f>AK46+AI46+AE46+AC46+AA46+W46+Q46+I46</f>
        <v>736.33999999999992</v>
      </c>
      <c r="AN46" s="6">
        <f>AL46+AJ46+AF46+AD46+AB46+X46+R46+J46</f>
        <v>9</v>
      </c>
    </row>
    <row r="47" spans="2:41" ht="18" customHeight="1" x14ac:dyDescent="0.25">
      <c r="B47" s="83" t="s">
        <v>37</v>
      </c>
      <c r="C47" s="5"/>
      <c r="D47" s="5"/>
      <c r="E47" s="5"/>
      <c r="F47" s="5"/>
      <c r="G47" s="5"/>
      <c r="H47" s="5"/>
      <c r="I47" s="5"/>
      <c r="J47" s="3"/>
      <c r="K47" s="5"/>
      <c r="L47" s="5"/>
      <c r="M47" s="5"/>
      <c r="N47" s="5"/>
      <c r="O47" s="5"/>
      <c r="P47" s="5"/>
      <c r="Q47" s="5"/>
      <c r="R47" s="5"/>
      <c r="S47" s="1">
        <v>206.58</v>
      </c>
      <c r="T47" s="2">
        <v>1</v>
      </c>
      <c r="U47" s="5"/>
      <c r="V47" s="5"/>
      <c r="W47" s="3">
        <f>S47</f>
        <v>206.58</v>
      </c>
      <c r="X47" s="3">
        <f>T47</f>
        <v>1</v>
      </c>
      <c r="Y47" s="5"/>
      <c r="Z47" s="5"/>
      <c r="AA47" s="3">
        <f t="shared" si="19"/>
        <v>0</v>
      </c>
      <c r="AB47" s="4">
        <f t="shared" si="20"/>
        <v>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9">
        <f>AK47+AI47+AE47+AC47+AA47+W47+Q47+I47</f>
        <v>206.58</v>
      </c>
      <c r="AN47" s="6">
        <f>AL47+AJ47+AF47+AD47+AB47+X47+R47+J47</f>
        <v>1</v>
      </c>
    </row>
    <row r="48" spans="2:41" ht="18" customHeight="1" x14ac:dyDescent="0.25">
      <c r="B48" s="83" t="s">
        <v>38</v>
      </c>
      <c r="C48" s="5"/>
      <c r="D48" s="5"/>
      <c r="E48" s="5"/>
      <c r="F48" s="5"/>
      <c r="G48" s="5"/>
      <c r="H48" s="5"/>
      <c r="I48" s="5"/>
      <c r="J48" s="3"/>
      <c r="K48" s="1">
        <v>60.12</v>
      </c>
      <c r="L48" s="2">
        <v>3</v>
      </c>
      <c r="M48" s="5"/>
      <c r="N48" s="5"/>
      <c r="O48" s="5"/>
      <c r="P48" s="5"/>
      <c r="Q48" s="3">
        <f>K48</f>
        <v>60.12</v>
      </c>
      <c r="R48" s="4">
        <f>L48</f>
        <v>3</v>
      </c>
      <c r="S48" s="1">
        <v>42.58</v>
      </c>
      <c r="T48" s="2">
        <v>2</v>
      </c>
      <c r="U48" s="5"/>
      <c r="V48" s="5"/>
      <c r="W48" s="3">
        <f>S48</f>
        <v>42.58</v>
      </c>
      <c r="X48" s="3">
        <f>T48</f>
        <v>2</v>
      </c>
      <c r="Y48" s="5"/>
      <c r="Z48" s="5"/>
      <c r="AA48" s="3">
        <f t="shared" si="19"/>
        <v>0</v>
      </c>
      <c r="AB48" s="4">
        <f t="shared" si="20"/>
        <v>0</v>
      </c>
      <c r="AC48" s="3">
        <v>41.69</v>
      </c>
      <c r="AD48" s="4">
        <v>1</v>
      </c>
      <c r="AE48" s="5"/>
      <c r="AF48" s="5"/>
      <c r="AG48" s="5"/>
      <c r="AH48" s="5"/>
      <c r="AI48" s="5"/>
      <c r="AJ48" s="5"/>
      <c r="AK48" s="5"/>
      <c r="AL48" s="5"/>
      <c r="AM48" s="9">
        <f>AK48+AI48+AE48+AC48+AA48+W48+Q48+I48</f>
        <v>144.38999999999999</v>
      </c>
      <c r="AN48" s="6">
        <f>AL48+AJ48+AF48+AD48+AB48+X48+R48+J48</f>
        <v>6</v>
      </c>
    </row>
    <row r="49" spans="2:40" ht="18" customHeight="1" x14ac:dyDescent="0.25">
      <c r="B49" s="83" t="s">
        <v>39</v>
      </c>
      <c r="C49" s="5"/>
      <c r="D49" s="5"/>
      <c r="E49" s="5"/>
      <c r="F49" s="5"/>
      <c r="G49" s="5"/>
      <c r="H49" s="5"/>
      <c r="I49" s="5"/>
      <c r="J49" s="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3">
        <f t="shared" si="19"/>
        <v>0</v>
      </c>
      <c r="AB49" s="4">
        <f t="shared" si="20"/>
        <v>0</v>
      </c>
      <c r="AC49" s="3">
        <v>75.650000000000006</v>
      </c>
      <c r="AD49" s="4">
        <v>6</v>
      </c>
      <c r="AE49" s="5"/>
      <c r="AF49" s="5"/>
      <c r="AG49" s="5"/>
      <c r="AH49" s="5"/>
      <c r="AI49" s="5"/>
      <c r="AJ49" s="5"/>
      <c r="AK49" s="1">
        <v>36.22</v>
      </c>
      <c r="AL49" s="2">
        <v>2</v>
      </c>
      <c r="AM49" s="9">
        <f>AK49+AI49+AE49+AC49+AA49+W49+Q49+I49</f>
        <v>111.87</v>
      </c>
      <c r="AN49" s="6">
        <f>AL49+AJ49+AF49+AD49+AB49+X49+R49+J49</f>
        <v>8</v>
      </c>
    </row>
    <row r="50" spans="2:40" ht="18" customHeight="1" x14ac:dyDescent="0.25">
      <c r="B50" s="83" t="s">
        <v>40</v>
      </c>
      <c r="C50" s="5"/>
      <c r="D50" s="5"/>
      <c r="E50" s="1">
        <v>54.56</v>
      </c>
      <c r="F50" s="2">
        <v>1</v>
      </c>
      <c r="G50" s="5"/>
      <c r="H50" s="5"/>
      <c r="I50" s="3">
        <v>54.56</v>
      </c>
      <c r="J50" s="3">
        <f t="shared" si="22"/>
        <v>1</v>
      </c>
      <c r="K50" s="1">
        <v>716.81</v>
      </c>
      <c r="L50" s="2">
        <v>28</v>
      </c>
      <c r="M50" s="15">
        <v>127.4</v>
      </c>
      <c r="N50" s="2">
        <v>1</v>
      </c>
      <c r="O50" s="1"/>
      <c r="P50" s="2"/>
      <c r="Q50" s="3">
        <f>K50+M50+O50</f>
        <v>844.20999999999992</v>
      </c>
      <c r="R50" s="4">
        <f>L50+N50+P50</f>
        <v>29</v>
      </c>
      <c r="S50" s="1">
        <v>721.41</v>
      </c>
      <c r="T50" s="2">
        <v>3</v>
      </c>
      <c r="U50" s="5"/>
      <c r="V50" s="5"/>
      <c r="W50" s="3">
        <f>S50</f>
        <v>721.41</v>
      </c>
      <c r="X50" s="3">
        <f>T50</f>
        <v>3</v>
      </c>
      <c r="Y50" s="1">
        <v>156.27000000000001</v>
      </c>
      <c r="Z50" s="2">
        <v>4</v>
      </c>
      <c r="AA50" s="3">
        <f t="shared" si="19"/>
        <v>156.27000000000001</v>
      </c>
      <c r="AB50" s="4">
        <f t="shared" si="20"/>
        <v>4</v>
      </c>
      <c r="AC50" s="5"/>
      <c r="AD50" s="5"/>
      <c r="AE50" s="3">
        <v>95.89</v>
      </c>
      <c r="AF50" s="4">
        <v>1</v>
      </c>
      <c r="AG50" s="5"/>
      <c r="AH50" s="5"/>
      <c r="AI50" s="5"/>
      <c r="AJ50" s="5"/>
      <c r="AK50" s="1">
        <v>827.95</v>
      </c>
      <c r="AL50" s="2">
        <v>5</v>
      </c>
      <c r="AM50" s="9">
        <f>AK50+AI50+AE50+AC50+AA50+W50+Q50+I50</f>
        <v>2700.29</v>
      </c>
      <c r="AN50" s="6">
        <f>AL50+AJ50+AF50+AD50+AB50+X50+R50+J50</f>
        <v>43</v>
      </c>
    </row>
    <row r="51" spans="2:40" ht="18" customHeight="1" x14ac:dyDescent="0.25">
      <c r="B51" s="31" t="s">
        <v>41</v>
      </c>
      <c r="C51" s="32">
        <f>C43+C46</f>
        <v>2266.42</v>
      </c>
      <c r="D51" s="33">
        <f>D43+D46</f>
        <v>36</v>
      </c>
      <c r="E51" s="32">
        <f>E43+E50</f>
        <v>170.34</v>
      </c>
      <c r="F51" s="33">
        <f>F43+F50</f>
        <v>10</v>
      </c>
      <c r="G51" s="32">
        <f>G43</f>
        <v>334.19</v>
      </c>
      <c r="H51" s="33">
        <f>H43</f>
        <v>5</v>
      </c>
      <c r="I51" s="34">
        <f>I43+I46+I50</f>
        <v>2770.95</v>
      </c>
      <c r="J51" s="33">
        <f>J43+J46+J50</f>
        <v>51</v>
      </c>
      <c r="K51" s="34">
        <f>K43+K48+K50</f>
        <v>4318.93</v>
      </c>
      <c r="L51" s="33">
        <f>L43+L48+L50</f>
        <v>177</v>
      </c>
      <c r="M51" s="34">
        <f>M42+M43+M46+M50</f>
        <v>1024.52</v>
      </c>
      <c r="N51" s="33">
        <f>N42+N43+N46+N50</f>
        <v>40</v>
      </c>
      <c r="O51" s="34">
        <f>O43+O50</f>
        <v>0</v>
      </c>
      <c r="P51" s="35">
        <f>P43+P50</f>
        <v>0</v>
      </c>
      <c r="Q51" s="34">
        <f>K51+M51+O51</f>
        <v>5343.4500000000007</v>
      </c>
      <c r="R51" s="35">
        <f>L51+N51+P51</f>
        <v>217</v>
      </c>
      <c r="S51" s="34">
        <v>7997.3</v>
      </c>
      <c r="T51" s="34">
        <v>159</v>
      </c>
      <c r="U51" s="32">
        <f>U42+U43</f>
        <v>166.25</v>
      </c>
      <c r="V51" s="33">
        <f>V42+V43</f>
        <v>13</v>
      </c>
      <c r="W51" s="34">
        <v>7997.3</v>
      </c>
      <c r="X51" s="34">
        <v>159</v>
      </c>
      <c r="Y51" s="34">
        <f>Y50+Y45+Y43</f>
        <v>1865.1000000000001</v>
      </c>
      <c r="Z51" s="35">
        <f>Z50+Z45+Z43</f>
        <v>65</v>
      </c>
      <c r="AA51" s="34">
        <f>AA42+AA43+AA45+AA50</f>
        <v>1865.1000000000001</v>
      </c>
      <c r="AB51" s="35">
        <f>AB42+AB43+AB45+AB50</f>
        <v>65</v>
      </c>
      <c r="AC51" s="34">
        <f>AC49+AC48+AC43</f>
        <v>1671.03</v>
      </c>
      <c r="AD51" s="33">
        <f>AD49+AD48+AD43</f>
        <v>54</v>
      </c>
      <c r="AE51" s="32">
        <v>118.68</v>
      </c>
      <c r="AF51" s="33">
        <f>AF50+AF43</f>
        <v>6</v>
      </c>
      <c r="AG51" s="34">
        <f>AG43+AG44+AG45</f>
        <v>3339.29</v>
      </c>
      <c r="AH51" s="34">
        <f>AH43+AH44+AH45</f>
        <v>82</v>
      </c>
      <c r="AI51" s="34">
        <f t="shared" ref="AI51" si="23">AG51</f>
        <v>3339.29</v>
      </c>
      <c r="AJ51" s="34">
        <f t="shared" ref="AJ51" si="24">AH51</f>
        <v>82</v>
      </c>
      <c r="AK51" s="34">
        <f>AK43+AK44+AK46+AK49+AK50</f>
        <v>10711.58</v>
      </c>
      <c r="AL51" s="35">
        <f>AL43+AL44+AL46+AL49+AL50</f>
        <v>133</v>
      </c>
      <c r="AM51" s="34">
        <f>AK51+AI51+AE51+AC51+AA51+W51+Q51+I51</f>
        <v>33817.379999999997</v>
      </c>
      <c r="AN51" s="35">
        <f>AL51+AJ51+AF51+AD51+AB51+X51+R51+J51</f>
        <v>767</v>
      </c>
    </row>
    <row r="52" spans="2:40" ht="18" customHeight="1" x14ac:dyDescent="0.25">
      <c r="B52" s="80" t="s">
        <v>42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</row>
    <row r="53" spans="2:40" ht="18" customHeight="1" x14ac:dyDescent="0.25">
      <c r="B53" s="12" t="s">
        <v>43</v>
      </c>
      <c r="C53" s="1">
        <v>97.21</v>
      </c>
      <c r="D53" s="2">
        <v>1</v>
      </c>
      <c r="E53" s="5"/>
      <c r="F53" s="5"/>
      <c r="G53" s="5"/>
      <c r="H53" s="5"/>
      <c r="I53" s="3">
        <f>+C53+E53+G53</f>
        <v>97.21</v>
      </c>
      <c r="J53" s="3">
        <f>+D53+F53+H53</f>
        <v>1</v>
      </c>
      <c r="K53" s="1">
        <v>49.65</v>
      </c>
      <c r="L53" s="2">
        <v>9</v>
      </c>
      <c r="M53" s="5"/>
      <c r="N53" s="5"/>
      <c r="O53" s="5"/>
      <c r="P53" s="5"/>
      <c r="Q53" s="3">
        <f>K53</f>
        <v>49.65</v>
      </c>
      <c r="R53" s="4">
        <f>L53</f>
        <v>9</v>
      </c>
      <c r="S53" s="1">
        <v>91.87</v>
      </c>
      <c r="T53" s="2">
        <v>4</v>
      </c>
      <c r="U53" s="5"/>
      <c r="V53" s="5"/>
      <c r="W53" s="3">
        <f>S53</f>
        <v>91.87</v>
      </c>
      <c r="X53" s="4">
        <f>T53</f>
        <v>4</v>
      </c>
      <c r="Y53" s="1">
        <v>19.170000000000002</v>
      </c>
      <c r="Z53" s="2">
        <v>2</v>
      </c>
      <c r="AA53" s="3">
        <f>Y53</f>
        <v>19.170000000000002</v>
      </c>
      <c r="AB53" s="4">
        <f>Z53</f>
        <v>2</v>
      </c>
      <c r="AC53" s="5"/>
      <c r="AD53" s="5"/>
      <c r="AE53" s="5"/>
      <c r="AF53" s="5"/>
      <c r="AG53" s="1">
        <v>55.61</v>
      </c>
      <c r="AH53" s="2">
        <v>3</v>
      </c>
      <c r="AI53" s="3">
        <f>AG53</f>
        <v>55.61</v>
      </c>
      <c r="AJ53" s="4">
        <f>AH53</f>
        <v>3</v>
      </c>
      <c r="AK53" s="5"/>
      <c r="AL53" s="5"/>
      <c r="AM53" s="9">
        <f>AK53+AI53+AE53+AC53+AA53+W53+Q53+I53</f>
        <v>313.51</v>
      </c>
      <c r="AN53" s="6">
        <f>AL53+AJ53+AF53+AD53+AB53+X53+R53+J53</f>
        <v>19</v>
      </c>
    </row>
    <row r="54" spans="2:40" ht="18" customHeight="1" x14ac:dyDescent="0.25">
      <c r="B54" s="12" t="s">
        <v>44</v>
      </c>
      <c r="C54" s="1">
        <v>143.41999999999999</v>
      </c>
      <c r="D54" s="2">
        <v>6</v>
      </c>
      <c r="E54" s="1">
        <v>15.48</v>
      </c>
      <c r="F54" s="2">
        <v>2</v>
      </c>
      <c r="G54" s="1">
        <v>56.5</v>
      </c>
      <c r="H54" s="2">
        <v>7</v>
      </c>
      <c r="I54" s="3">
        <f t="shared" ref="I54:I78" si="25">+C54+E54+G54</f>
        <v>215.39999999999998</v>
      </c>
      <c r="J54" s="3">
        <f t="shared" ref="J54:J77" si="26">+D54+F54+H54</f>
        <v>15</v>
      </c>
      <c r="K54" s="1">
        <v>154.97999999999999</v>
      </c>
      <c r="L54" s="2">
        <v>19</v>
      </c>
      <c r="M54" s="1">
        <v>48.92</v>
      </c>
      <c r="N54" s="2">
        <v>4</v>
      </c>
      <c r="O54" s="1">
        <f>12*8</f>
        <v>96</v>
      </c>
      <c r="P54" s="2">
        <v>8</v>
      </c>
      <c r="Q54" s="3">
        <f>K54+M54+O54</f>
        <v>299.89999999999998</v>
      </c>
      <c r="R54" s="4">
        <f>L54+N54+P54</f>
        <v>31</v>
      </c>
      <c r="S54" s="1">
        <v>302.88</v>
      </c>
      <c r="T54" s="2">
        <v>29</v>
      </c>
      <c r="U54" s="1">
        <v>55.48</v>
      </c>
      <c r="V54" s="2">
        <v>9</v>
      </c>
      <c r="W54" s="3">
        <f>S54</f>
        <v>302.88</v>
      </c>
      <c r="X54" s="4">
        <f>T54</f>
        <v>29</v>
      </c>
      <c r="Y54" s="1">
        <v>236.09</v>
      </c>
      <c r="Z54" s="2">
        <v>14</v>
      </c>
      <c r="AA54" s="3">
        <f t="shared" ref="AA54:AA78" si="27">Y54</f>
        <v>236.09</v>
      </c>
      <c r="AB54" s="4">
        <f t="shared" ref="AB54:AB78" si="28">Z54</f>
        <v>14</v>
      </c>
      <c r="AC54" s="3">
        <v>180.69</v>
      </c>
      <c r="AD54" s="4">
        <v>18</v>
      </c>
      <c r="AE54" s="3">
        <v>1.73</v>
      </c>
      <c r="AF54" s="4">
        <v>1</v>
      </c>
      <c r="AG54" s="1">
        <f>624.15+412.67</f>
        <v>1036.82</v>
      </c>
      <c r="AH54" s="2">
        <v>56</v>
      </c>
      <c r="AI54" s="3">
        <f t="shared" ref="AI54:AI58" si="29">AG54</f>
        <v>1036.82</v>
      </c>
      <c r="AJ54" s="4">
        <f t="shared" ref="AJ54:AJ58" si="30">AH54</f>
        <v>56</v>
      </c>
      <c r="AK54" s="1">
        <v>717.28</v>
      </c>
      <c r="AL54" s="2">
        <v>55</v>
      </c>
      <c r="AM54" s="9">
        <f>AK54+AI54+AE54+AC54+AA54+W54+Q54+I54</f>
        <v>2990.7900000000004</v>
      </c>
      <c r="AN54" s="6">
        <f>AL54+AJ54+AF54+AD54+AB54+X54+R54+J54</f>
        <v>219</v>
      </c>
    </row>
    <row r="55" spans="2:40" ht="18" customHeight="1" x14ac:dyDescent="0.25">
      <c r="B55" s="12" t="s">
        <v>45</v>
      </c>
      <c r="C55" s="1">
        <v>33.49</v>
      </c>
      <c r="D55" s="2">
        <v>5</v>
      </c>
      <c r="E55" s="1">
        <v>6.15</v>
      </c>
      <c r="F55" s="2">
        <v>2</v>
      </c>
      <c r="G55" s="1">
        <v>20.51</v>
      </c>
      <c r="H55" s="2">
        <v>2</v>
      </c>
      <c r="I55" s="3">
        <f t="shared" si="25"/>
        <v>60.150000000000006</v>
      </c>
      <c r="J55" s="3">
        <f t="shared" si="26"/>
        <v>9</v>
      </c>
      <c r="K55" s="1">
        <v>40.56</v>
      </c>
      <c r="L55" s="2">
        <v>13</v>
      </c>
      <c r="M55" s="1">
        <v>27.64</v>
      </c>
      <c r="N55" s="2">
        <v>12</v>
      </c>
      <c r="O55" s="5"/>
      <c r="P55" s="5"/>
      <c r="Q55" s="3">
        <f>K55+M55</f>
        <v>68.2</v>
      </c>
      <c r="R55" s="4">
        <f>L55+N55</f>
        <v>25</v>
      </c>
      <c r="S55" s="1">
        <v>192.25</v>
      </c>
      <c r="T55" s="2">
        <v>29</v>
      </c>
      <c r="U55" s="5"/>
      <c r="V55" s="5"/>
      <c r="W55" s="3">
        <f>S55</f>
        <v>192.25</v>
      </c>
      <c r="X55" s="4">
        <f>T55</f>
        <v>29</v>
      </c>
      <c r="Y55" s="1">
        <v>43.44</v>
      </c>
      <c r="Z55" s="2">
        <v>14</v>
      </c>
      <c r="AA55" s="3">
        <f t="shared" si="27"/>
        <v>43.44</v>
      </c>
      <c r="AB55" s="4">
        <f t="shared" si="28"/>
        <v>14</v>
      </c>
      <c r="AC55" s="3">
        <v>33.450000000000003</v>
      </c>
      <c r="AD55" s="4">
        <v>6</v>
      </c>
      <c r="AE55" s="3">
        <v>1.69</v>
      </c>
      <c r="AF55" s="4">
        <v>1</v>
      </c>
      <c r="AG55" s="1">
        <v>88.75</v>
      </c>
      <c r="AH55" s="2">
        <v>17</v>
      </c>
      <c r="AI55" s="3">
        <f t="shared" si="29"/>
        <v>88.75</v>
      </c>
      <c r="AJ55" s="4">
        <f t="shared" si="30"/>
        <v>17</v>
      </c>
      <c r="AK55" s="1">
        <v>13.39</v>
      </c>
      <c r="AL55" s="2">
        <v>6</v>
      </c>
      <c r="AM55" s="9">
        <f>AK55+AI55+AE55+AC55+AA55+W55+Q55+I55</f>
        <v>501.32000000000005</v>
      </c>
      <c r="AN55" s="6">
        <f>AL55+AJ55+AF55+AD55+AB55+X55+R55+J55</f>
        <v>107</v>
      </c>
    </row>
    <row r="56" spans="2:40" ht="15.75" customHeight="1" x14ac:dyDescent="0.25">
      <c r="B56" s="12" t="s">
        <v>46</v>
      </c>
      <c r="C56" s="1">
        <v>143.86000000000001</v>
      </c>
      <c r="D56" s="2">
        <v>5</v>
      </c>
      <c r="E56" s="5"/>
      <c r="F56" s="5"/>
      <c r="G56" s="5"/>
      <c r="H56" s="5"/>
      <c r="I56" s="3">
        <f t="shared" si="25"/>
        <v>143.86000000000001</v>
      </c>
      <c r="J56" s="3">
        <f t="shared" si="26"/>
        <v>5</v>
      </c>
      <c r="K56" s="1">
        <v>104.16</v>
      </c>
      <c r="L56" s="2">
        <v>6</v>
      </c>
      <c r="M56" s="5"/>
      <c r="N56" s="5"/>
      <c r="O56" s="1">
        <v>38.409999999999997</v>
      </c>
      <c r="P56" s="2">
        <v>8</v>
      </c>
      <c r="Q56" s="3">
        <f>K56+O56</f>
        <v>142.57</v>
      </c>
      <c r="R56" s="4">
        <f>L56+P56</f>
        <v>14</v>
      </c>
      <c r="S56" s="1">
        <v>136.24</v>
      </c>
      <c r="T56" s="2">
        <v>14</v>
      </c>
      <c r="U56" s="1">
        <v>16.79</v>
      </c>
      <c r="V56" s="2">
        <v>1</v>
      </c>
      <c r="W56" s="3">
        <f>S56</f>
        <v>136.24</v>
      </c>
      <c r="X56" s="4">
        <f>T56</f>
        <v>14</v>
      </c>
      <c r="Y56" s="1">
        <v>59.01</v>
      </c>
      <c r="Z56" s="2">
        <v>6</v>
      </c>
      <c r="AA56" s="3">
        <f t="shared" si="27"/>
        <v>59.01</v>
      </c>
      <c r="AB56" s="4">
        <f t="shared" si="28"/>
        <v>6</v>
      </c>
      <c r="AC56" s="3">
        <v>29.49</v>
      </c>
      <c r="AD56" s="4">
        <v>2</v>
      </c>
      <c r="AE56" s="5"/>
      <c r="AF56" s="5"/>
      <c r="AG56" s="1">
        <f>69.46+659.1</f>
        <v>728.56000000000006</v>
      </c>
      <c r="AH56" s="2">
        <v>16</v>
      </c>
      <c r="AI56" s="3">
        <f t="shared" si="29"/>
        <v>728.56000000000006</v>
      </c>
      <c r="AJ56" s="4">
        <f t="shared" si="30"/>
        <v>16</v>
      </c>
      <c r="AK56" s="1">
        <v>78.8</v>
      </c>
      <c r="AL56" s="2">
        <v>4</v>
      </c>
      <c r="AM56" s="9">
        <f>AK56+AI56+AE56+AC56+AA56+W56+Q56+I56</f>
        <v>1318.5299999999997</v>
      </c>
      <c r="AN56" s="6">
        <f>AL56+AJ56+AF56+AD56+AB56+X56+R56+J56</f>
        <v>61</v>
      </c>
    </row>
    <row r="57" spans="2:40" ht="18" customHeight="1" x14ac:dyDescent="0.25">
      <c r="B57" s="12" t="s">
        <v>47</v>
      </c>
      <c r="C57" s="5"/>
      <c r="D57" s="5"/>
      <c r="E57" s="5"/>
      <c r="F57" s="5"/>
      <c r="G57" s="5"/>
      <c r="H57" s="5"/>
      <c r="I57" s="3"/>
      <c r="J57" s="3"/>
      <c r="K57" s="5"/>
      <c r="L57" s="5"/>
      <c r="M57" s="5">
        <v>19.04</v>
      </c>
      <c r="N57" s="5">
        <v>1</v>
      </c>
      <c r="O57" s="1">
        <v>22.31</v>
      </c>
      <c r="P57" s="2">
        <v>1</v>
      </c>
      <c r="Q57" s="3">
        <f>O57</f>
        <v>22.31</v>
      </c>
      <c r="R57" s="4">
        <f>P57</f>
        <v>1</v>
      </c>
      <c r="S57" s="1">
        <v>107.81</v>
      </c>
      <c r="T57" s="2">
        <v>2</v>
      </c>
      <c r="U57" s="5"/>
      <c r="V57" s="5"/>
      <c r="W57" s="3">
        <f>S57</f>
        <v>107.81</v>
      </c>
      <c r="X57" s="4">
        <f>T57</f>
        <v>2</v>
      </c>
      <c r="Y57" s="5"/>
      <c r="Z57" s="5"/>
      <c r="AA57" s="3">
        <f t="shared" si="27"/>
        <v>0</v>
      </c>
      <c r="AB57" s="4">
        <f t="shared" si="28"/>
        <v>0</v>
      </c>
      <c r="AC57" s="3">
        <v>11.23</v>
      </c>
      <c r="AD57" s="4">
        <v>2</v>
      </c>
      <c r="AE57" s="5"/>
      <c r="AF57" s="5"/>
      <c r="AG57" s="1">
        <v>27.95</v>
      </c>
      <c r="AH57" s="2">
        <v>2</v>
      </c>
      <c r="AI57" s="3">
        <f t="shared" si="29"/>
        <v>27.95</v>
      </c>
      <c r="AJ57" s="4">
        <f t="shared" si="30"/>
        <v>2</v>
      </c>
      <c r="AK57" s="5"/>
      <c r="AL57" s="5"/>
      <c r="AM57" s="9">
        <f>AK57+AI57+AE57+AC57+AA57+W57+Q57+I57</f>
        <v>169.3</v>
      </c>
      <c r="AN57" s="6">
        <f>AL57+AJ57+AF57+AD57+AB57+X57+R57+J57</f>
        <v>7</v>
      </c>
    </row>
    <row r="58" spans="2:40" ht="30" customHeight="1" x14ac:dyDescent="0.25">
      <c r="B58" s="12" t="s">
        <v>48</v>
      </c>
      <c r="C58" s="1">
        <v>63.97</v>
      </c>
      <c r="D58" s="2">
        <v>3</v>
      </c>
      <c r="E58" s="1">
        <v>9.6300000000000008</v>
      </c>
      <c r="F58" s="2">
        <v>2</v>
      </c>
      <c r="G58" s="1">
        <v>89.67</v>
      </c>
      <c r="H58" s="2">
        <v>5</v>
      </c>
      <c r="I58" s="3">
        <f t="shared" si="25"/>
        <v>163.26999999999998</v>
      </c>
      <c r="J58" s="3">
        <f t="shared" si="26"/>
        <v>10</v>
      </c>
      <c r="K58" s="1">
        <v>267.98</v>
      </c>
      <c r="L58" s="2">
        <v>19</v>
      </c>
      <c r="M58" s="1">
        <v>35.369999999999997</v>
      </c>
      <c r="N58" s="2">
        <v>6</v>
      </c>
      <c r="O58" s="5"/>
      <c r="P58" s="5"/>
      <c r="Q58" s="3">
        <f>K58+M58</f>
        <v>303.35000000000002</v>
      </c>
      <c r="R58" s="4">
        <f>L58+N58</f>
        <v>25</v>
      </c>
      <c r="S58" s="1">
        <v>222.39</v>
      </c>
      <c r="T58" s="2">
        <v>17</v>
      </c>
      <c r="U58" s="5"/>
      <c r="V58" s="5"/>
      <c r="W58" s="3">
        <f>S58</f>
        <v>222.39</v>
      </c>
      <c r="X58" s="4">
        <f>T58</f>
        <v>17</v>
      </c>
      <c r="Y58" s="1">
        <v>62.26</v>
      </c>
      <c r="Z58" s="2">
        <v>8</v>
      </c>
      <c r="AA58" s="3">
        <f t="shared" si="27"/>
        <v>62.26</v>
      </c>
      <c r="AB58" s="4">
        <f t="shared" si="28"/>
        <v>8</v>
      </c>
      <c r="AC58" s="3">
        <v>442.27</v>
      </c>
      <c r="AD58" s="4">
        <v>16</v>
      </c>
      <c r="AE58" s="3">
        <v>2.12</v>
      </c>
      <c r="AF58" s="4">
        <v>1</v>
      </c>
      <c r="AG58" s="1">
        <v>206.2</v>
      </c>
      <c r="AH58" s="2">
        <v>19</v>
      </c>
      <c r="AI58" s="3">
        <f t="shared" si="29"/>
        <v>206.2</v>
      </c>
      <c r="AJ58" s="4">
        <f t="shared" si="30"/>
        <v>19</v>
      </c>
      <c r="AK58" s="1">
        <v>181.29</v>
      </c>
      <c r="AL58" s="2">
        <v>7</v>
      </c>
      <c r="AM58" s="9">
        <f>AK58+AI58+AE58+AC58+AA58+W58+Q58+I58</f>
        <v>1583.15</v>
      </c>
      <c r="AN58" s="6">
        <f>AL58+AJ58+AF58+AD58+AB58+X58+R58+J58</f>
        <v>103</v>
      </c>
    </row>
    <row r="59" spans="2:40" ht="18" customHeight="1" x14ac:dyDescent="0.25">
      <c r="B59" s="12" t="s">
        <v>49</v>
      </c>
      <c r="C59" s="5"/>
      <c r="D59" s="5"/>
      <c r="E59" s="5"/>
      <c r="F59" s="5"/>
      <c r="G59" s="5"/>
      <c r="H59" s="5"/>
      <c r="I59" s="3"/>
      <c r="J59" s="3"/>
      <c r="K59" s="1">
        <v>180.56</v>
      </c>
      <c r="L59" s="2">
        <v>3</v>
      </c>
      <c r="M59" s="5"/>
      <c r="N59" s="5"/>
      <c r="O59" s="5"/>
      <c r="P59" s="5"/>
      <c r="Q59" s="3">
        <f>K59</f>
        <v>180.56</v>
      </c>
      <c r="R59" s="4">
        <f>L59</f>
        <v>3</v>
      </c>
      <c r="S59" s="5"/>
      <c r="T59" s="5"/>
      <c r="U59" s="5"/>
      <c r="V59" s="5"/>
      <c r="W59" s="5"/>
      <c r="X59" s="6"/>
      <c r="Y59" s="5"/>
      <c r="Z59" s="5"/>
      <c r="AA59" s="3">
        <f t="shared" si="27"/>
        <v>0</v>
      </c>
      <c r="AB59" s="4">
        <f t="shared" si="28"/>
        <v>0</v>
      </c>
      <c r="AC59" s="3">
        <v>167.65</v>
      </c>
      <c r="AD59" s="4">
        <v>1</v>
      </c>
      <c r="AE59" s="5"/>
      <c r="AF59" s="5"/>
      <c r="AG59" s="5"/>
      <c r="AH59" s="5"/>
      <c r="AI59" s="5"/>
      <c r="AJ59" s="6"/>
      <c r="AK59" s="1">
        <v>35.9</v>
      </c>
      <c r="AL59" s="2">
        <v>1</v>
      </c>
      <c r="AM59" s="9">
        <f>AK59+AI59+AE59+AC59+AA59+W59+Q59+I59</f>
        <v>384.11</v>
      </c>
      <c r="AN59" s="6">
        <f>AL59+AJ59+AF59+AD59+AB59+X59+R59+J59</f>
        <v>5</v>
      </c>
    </row>
    <row r="60" spans="2:40" ht="18" customHeight="1" x14ac:dyDescent="0.25">
      <c r="B60" s="12" t="s">
        <v>50</v>
      </c>
      <c r="C60" s="5"/>
      <c r="D60" s="5"/>
      <c r="E60" s="5"/>
      <c r="F60" s="5"/>
      <c r="G60" s="5"/>
      <c r="H60" s="5"/>
      <c r="I60" s="3"/>
      <c r="J60" s="3"/>
      <c r="K60" s="1">
        <v>487.52</v>
      </c>
      <c r="L60" s="2">
        <v>2</v>
      </c>
      <c r="M60" s="5"/>
      <c r="N60" s="5"/>
      <c r="O60" s="5"/>
      <c r="P60" s="5"/>
      <c r="Q60" s="3">
        <f>K60</f>
        <v>487.52</v>
      </c>
      <c r="R60" s="4">
        <f>L60</f>
        <v>2</v>
      </c>
      <c r="S60" s="1">
        <v>395.43</v>
      </c>
      <c r="T60" s="2">
        <v>2</v>
      </c>
      <c r="U60" s="1">
        <v>55.08</v>
      </c>
      <c r="V60" s="2">
        <v>1</v>
      </c>
      <c r="W60" s="3">
        <f>S60</f>
        <v>395.43</v>
      </c>
      <c r="X60" s="4">
        <f>T60</f>
        <v>2</v>
      </c>
      <c r="Y60" s="1">
        <v>127.85</v>
      </c>
      <c r="Z60" s="2">
        <v>2</v>
      </c>
      <c r="AA60" s="3">
        <f t="shared" si="27"/>
        <v>127.85</v>
      </c>
      <c r="AB60" s="4">
        <f t="shared" si="28"/>
        <v>2</v>
      </c>
      <c r="AC60" s="3">
        <v>22.38</v>
      </c>
      <c r="AD60" s="4">
        <v>1</v>
      </c>
      <c r="AE60" s="5"/>
      <c r="AF60" s="5"/>
      <c r="AG60" s="1">
        <v>314.31</v>
      </c>
      <c r="AH60" s="2">
        <v>2</v>
      </c>
      <c r="AI60" s="3">
        <f t="shared" ref="AI60:AI68" si="31">AG60</f>
        <v>314.31</v>
      </c>
      <c r="AJ60" s="4">
        <f t="shared" ref="AJ60:AJ68" si="32">AH60</f>
        <v>2</v>
      </c>
      <c r="AK60" s="1">
        <v>599.88</v>
      </c>
      <c r="AL60" s="2">
        <v>3</v>
      </c>
      <c r="AM60" s="9">
        <f>AK60+AI60+AE60+AC60+AA60+W60+Q60+I60</f>
        <v>1947.3700000000001</v>
      </c>
      <c r="AN60" s="6">
        <f>AL60+AJ60+AF60+AD60+AB60+X60+R60+J60</f>
        <v>12</v>
      </c>
    </row>
    <row r="61" spans="2:40" ht="18" customHeight="1" x14ac:dyDescent="0.25">
      <c r="B61" s="12" t="s">
        <v>51</v>
      </c>
      <c r="C61" s="5"/>
      <c r="D61" s="5"/>
      <c r="E61" s="5"/>
      <c r="F61" s="5"/>
      <c r="G61" s="1">
        <v>10.1</v>
      </c>
      <c r="H61" s="2">
        <v>2</v>
      </c>
      <c r="I61" s="3">
        <f t="shared" si="25"/>
        <v>10.1</v>
      </c>
      <c r="J61" s="3">
        <f t="shared" si="26"/>
        <v>2</v>
      </c>
      <c r="K61" s="5"/>
      <c r="L61" s="5"/>
      <c r="M61" s="5"/>
      <c r="N61" s="5"/>
      <c r="O61" s="5"/>
      <c r="P61" s="5"/>
      <c r="Q61" s="5"/>
      <c r="R61" s="6"/>
      <c r="S61" s="5"/>
      <c r="T61" s="5"/>
      <c r="U61" s="5"/>
      <c r="V61" s="5"/>
      <c r="W61" s="5"/>
      <c r="X61" s="6"/>
      <c r="Y61" s="5"/>
      <c r="Z61" s="5"/>
      <c r="AA61" s="3">
        <f t="shared" si="27"/>
        <v>0</v>
      </c>
      <c r="AB61" s="4">
        <f t="shared" si="28"/>
        <v>0</v>
      </c>
      <c r="AC61" s="5"/>
      <c r="AD61" s="5"/>
      <c r="AE61" s="5"/>
      <c r="AF61" s="5"/>
      <c r="AG61" s="1">
        <v>13.34</v>
      </c>
      <c r="AH61" s="2">
        <v>2</v>
      </c>
      <c r="AI61" s="3">
        <f t="shared" si="31"/>
        <v>13.34</v>
      </c>
      <c r="AJ61" s="4">
        <f t="shared" si="32"/>
        <v>2</v>
      </c>
      <c r="AK61" s="1">
        <v>37.25</v>
      </c>
      <c r="AL61" s="2">
        <v>2</v>
      </c>
      <c r="AM61" s="9">
        <f>AK61+AI61+AE61+AC61+AA61+W61+Q61+I61</f>
        <v>60.690000000000005</v>
      </c>
      <c r="AN61" s="6">
        <f>AL61+AJ61+AF61+AD61+AB61+X61+R61+J61</f>
        <v>6</v>
      </c>
    </row>
    <row r="62" spans="2:40" ht="18" customHeight="1" x14ac:dyDescent="0.25">
      <c r="B62" s="12" t="s">
        <v>52</v>
      </c>
      <c r="C62" s="1">
        <v>8.59</v>
      </c>
      <c r="D62" s="2">
        <v>6</v>
      </c>
      <c r="E62" s="5"/>
      <c r="F62" s="5"/>
      <c r="G62" s="5"/>
      <c r="H62" s="5"/>
      <c r="I62" s="3">
        <f t="shared" si="25"/>
        <v>8.59</v>
      </c>
      <c r="J62" s="3">
        <f t="shared" si="26"/>
        <v>6</v>
      </c>
      <c r="K62" s="5"/>
      <c r="L62" s="5"/>
      <c r="M62" s="5"/>
      <c r="N62" s="5"/>
      <c r="O62" s="5"/>
      <c r="P62" s="5"/>
      <c r="Q62" s="5"/>
      <c r="R62" s="6"/>
      <c r="S62" s="1">
        <v>11.21</v>
      </c>
      <c r="T62" s="2">
        <v>1</v>
      </c>
      <c r="U62" s="5"/>
      <c r="V62" s="5"/>
      <c r="W62" s="3">
        <f>S62</f>
        <v>11.21</v>
      </c>
      <c r="X62" s="4">
        <f>T62</f>
        <v>1</v>
      </c>
      <c r="Y62" s="5"/>
      <c r="Z62" s="5"/>
      <c r="AA62" s="3">
        <f t="shared" si="27"/>
        <v>0</v>
      </c>
      <c r="AB62" s="4">
        <f t="shared" si="28"/>
        <v>0</v>
      </c>
      <c r="AC62" s="5"/>
      <c r="AD62" s="5"/>
      <c r="AE62" s="5"/>
      <c r="AF62" s="5"/>
      <c r="AG62" s="1">
        <v>8.7100000000000009</v>
      </c>
      <c r="AH62" s="2">
        <v>6</v>
      </c>
      <c r="AI62" s="3">
        <f t="shared" si="31"/>
        <v>8.7100000000000009</v>
      </c>
      <c r="AJ62" s="4">
        <f t="shared" si="32"/>
        <v>6</v>
      </c>
      <c r="AK62" s="1">
        <v>60.08</v>
      </c>
      <c r="AL62" s="2">
        <v>1</v>
      </c>
      <c r="AM62" s="9">
        <f>AK62+AI62+AE62+AC62+AA62+W62+Q62+I62</f>
        <v>88.59</v>
      </c>
      <c r="AN62" s="6">
        <f>AL62+AJ62+AF62+AD62+AB62+X62+R62+J62</f>
        <v>14</v>
      </c>
    </row>
    <row r="63" spans="2:40" ht="18" customHeight="1" x14ac:dyDescent="0.25">
      <c r="B63" s="12" t="s">
        <v>53</v>
      </c>
      <c r="C63" s="5"/>
      <c r="D63" s="5"/>
      <c r="E63" s="5"/>
      <c r="F63" s="5"/>
      <c r="G63" s="5"/>
      <c r="H63" s="5"/>
      <c r="I63" s="3"/>
      <c r="J63" s="3"/>
      <c r="K63" s="5"/>
      <c r="L63" s="5"/>
      <c r="M63" s="5"/>
      <c r="N63" s="5"/>
      <c r="O63" s="5"/>
      <c r="P63" s="5"/>
      <c r="Q63" s="5"/>
      <c r="R63" s="6"/>
      <c r="S63" s="5"/>
      <c r="T63" s="5"/>
      <c r="U63" s="5"/>
      <c r="V63" s="5"/>
      <c r="W63" s="5"/>
      <c r="X63" s="6"/>
      <c r="Y63" s="5"/>
      <c r="Z63" s="5"/>
      <c r="AA63" s="3">
        <f t="shared" si="27"/>
        <v>0</v>
      </c>
      <c r="AB63" s="4">
        <f t="shared" si="28"/>
        <v>0</v>
      </c>
      <c r="AC63" s="5"/>
      <c r="AD63" s="5"/>
      <c r="AE63" s="5"/>
      <c r="AF63" s="5"/>
      <c r="AG63" s="1">
        <v>2.75</v>
      </c>
      <c r="AH63" s="2">
        <v>1</v>
      </c>
      <c r="AI63" s="3">
        <f t="shared" si="31"/>
        <v>2.75</v>
      </c>
      <c r="AJ63" s="4">
        <f t="shared" si="32"/>
        <v>1</v>
      </c>
      <c r="AK63" s="5"/>
      <c r="AL63" s="5"/>
      <c r="AM63" s="9">
        <f>AK63+AI63+AE63+AC63+AA63+W63+Q63+I63</f>
        <v>2.75</v>
      </c>
      <c r="AN63" s="6">
        <f>AL63+AJ63+AF63+AD63+AB63+X63+R63+J63</f>
        <v>1</v>
      </c>
    </row>
    <row r="64" spans="2:40" ht="18" customHeight="1" x14ac:dyDescent="0.25">
      <c r="B64" s="12" t="s">
        <v>54</v>
      </c>
      <c r="C64" s="1">
        <v>22.58</v>
      </c>
      <c r="D64" s="2">
        <v>2</v>
      </c>
      <c r="E64" s="1">
        <v>12.3</v>
      </c>
      <c r="F64" s="2">
        <v>1</v>
      </c>
      <c r="G64" s="1">
        <v>12.16</v>
      </c>
      <c r="H64" s="2">
        <v>1</v>
      </c>
      <c r="I64" s="3">
        <f t="shared" si="25"/>
        <v>47.039999999999992</v>
      </c>
      <c r="J64" s="3">
        <f t="shared" si="26"/>
        <v>4</v>
      </c>
      <c r="K64" s="1">
        <v>36.33</v>
      </c>
      <c r="L64" s="2">
        <v>4</v>
      </c>
      <c r="M64" s="5">
        <v>3.82</v>
      </c>
      <c r="N64" s="5">
        <v>1</v>
      </c>
      <c r="O64" s="5"/>
      <c r="P64" s="5"/>
      <c r="Q64" s="3">
        <f>K64</f>
        <v>36.33</v>
      </c>
      <c r="R64" s="4">
        <f>L64</f>
        <v>4</v>
      </c>
      <c r="S64" s="1">
        <v>54.56</v>
      </c>
      <c r="T64" s="2">
        <v>13</v>
      </c>
      <c r="U64" s="1">
        <v>8.4</v>
      </c>
      <c r="V64" s="2">
        <v>1</v>
      </c>
      <c r="W64" s="3">
        <f t="shared" ref="W64:W65" si="33">S64</f>
        <v>54.56</v>
      </c>
      <c r="X64" s="4">
        <f t="shared" ref="X64:X65" si="34">T64</f>
        <v>13</v>
      </c>
      <c r="Y64" s="1">
        <v>5.79</v>
      </c>
      <c r="Z64" s="2">
        <v>3</v>
      </c>
      <c r="AA64" s="3">
        <f t="shared" si="27"/>
        <v>5.79</v>
      </c>
      <c r="AB64" s="4">
        <f t="shared" si="28"/>
        <v>3</v>
      </c>
      <c r="AC64" s="5"/>
      <c r="AD64" s="5"/>
      <c r="AE64" s="3">
        <v>2.23</v>
      </c>
      <c r="AF64" s="4">
        <v>1</v>
      </c>
      <c r="AG64" s="1">
        <v>16.66</v>
      </c>
      <c r="AH64" s="2">
        <v>2</v>
      </c>
      <c r="AI64" s="3">
        <f t="shared" si="31"/>
        <v>16.66</v>
      </c>
      <c r="AJ64" s="4">
        <f t="shared" si="32"/>
        <v>2</v>
      </c>
      <c r="AK64" s="1">
        <v>25.95</v>
      </c>
      <c r="AL64" s="2">
        <v>3</v>
      </c>
      <c r="AM64" s="9">
        <f>AK64+AI64+AE64+AC64+AA64+W64+Q64+I64</f>
        <v>188.55999999999997</v>
      </c>
      <c r="AN64" s="6">
        <f>AL64+AJ64+AF64+AD64+AB64+X64+R64+J64</f>
        <v>30</v>
      </c>
    </row>
    <row r="65" spans="2:40" ht="18" customHeight="1" x14ac:dyDescent="0.25">
      <c r="B65" s="12" t="s">
        <v>55</v>
      </c>
      <c r="C65" s="5"/>
      <c r="D65" s="5"/>
      <c r="E65" s="5"/>
      <c r="F65" s="5"/>
      <c r="G65" s="5"/>
      <c r="H65" s="5"/>
      <c r="I65" s="3"/>
      <c r="J65" s="3"/>
      <c r="K65" s="1">
        <v>28.16</v>
      </c>
      <c r="L65" s="2">
        <v>7</v>
      </c>
      <c r="M65" s="1">
        <v>3.37</v>
      </c>
      <c r="N65" s="2">
        <v>2</v>
      </c>
      <c r="O65" s="5"/>
      <c r="P65" s="5"/>
      <c r="Q65" s="3">
        <f>K65+M65</f>
        <v>31.53</v>
      </c>
      <c r="R65" s="4">
        <f>L65+N65</f>
        <v>9</v>
      </c>
      <c r="S65" s="1">
        <v>61.59</v>
      </c>
      <c r="T65" s="2">
        <v>21</v>
      </c>
      <c r="U65" s="1">
        <v>3.47</v>
      </c>
      <c r="V65" s="2">
        <v>1</v>
      </c>
      <c r="W65" s="3">
        <f t="shared" si="33"/>
        <v>61.59</v>
      </c>
      <c r="X65" s="4">
        <f t="shared" si="34"/>
        <v>21</v>
      </c>
      <c r="Y65" s="1">
        <v>8.91</v>
      </c>
      <c r="Z65" s="2">
        <v>8</v>
      </c>
      <c r="AA65" s="3">
        <f t="shared" si="27"/>
        <v>8.91</v>
      </c>
      <c r="AB65" s="4">
        <f t="shared" si="28"/>
        <v>8</v>
      </c>
      <c r="AC65" s="3">
        <v>14.31</v>
      </c>
      <c r="AD65" s="4">
        <v>7</v>
      </c>
      <c r="AE65" s="5"/>
      <c r="AF65" s="5"/>
      <c r="AG65" s="1">
        <v>8.5</v>
      </c>
      <c r="AH65" s="2">
        <v>5</v>
      </c>
      <c r="AI65" s="3">
        <f t="shared" si="31"/>
        <v>8.5</v>
      </c>
      <c r="AJ65" s="4">
        <f t="shared" si="32"/>
        <v>5</v>
      </c>
      <c r="AK65" s="1">
        <v>46.2</v>
      </c>
      <c r="AL65" s="2">
        <v>14</v>
      </c>
      <c r="AM65" s="9">
        <f>AK65+AI65+AE65+AC65+AA65+W65+Q65+I65</f>
        <v>171.04</v>
      </c>
      <c r="AN65" s="6">
        <f>AL65+AJ65+AF65+AD65+AB65+X65+R65+J65</f>
        <v>64</v>
      </c>
    </row>
    <row r="66" spans="2:40" ht="18" customHeight="1" x14ac:dyDescent="0.25">
      <c r="B66" s="12" t="s">
        <v>56</v>
      </c>
      <c r="C66" s="5"/>
      <c r="D66" s="5"/>
      <c r="E66" s="5"/>
      <c r="F66" s="5"/>
      <c r="G66" s="5"/>
      <c r="H66" s="5"/>
      <c r="I66" s="3"/>
      <c r="J66" s="3"/>
      <c r="K66" s="1">
        <v>60.26</v>
      </c>
      <c r="L66" s="2">
        <v>3</v>
      </c>
      <c r="M66" s="1">
        <v>11.3</v>
      </c>
      <c r="N66" s="2">
        <v>1</v>
      </c>
      <c r="O66" s="5"/>
      <c r="P66" s="5"/>
      <c r="Q66" s="3">
        <f>K66+M66</f>
        <v>71.56</v>
      </c>
      <c r="R66" s="4">
        <f>L66+N66</f>
        <v>4</v>
      </c>
      <c r="S66" s="5"/>
      <c r="T66" s="5"/>
      <c r="U66" s="1">
        <v>2.79</v>
      </c>
      <c r="V66" s="2">
        <v>1</v>
      </c>
      <c r="W66" s="5"/>
      <c r="X66" s="6"/>
      <c r="Y66" s="1">
        <v>25.58</v>
      </c>
      <c r="Z66" s="2">
        <v>3</v>
      </c>
      <c r="AA66" s="3">
        <f t="shared" si="27"/>
        <v>25.58</v>
      </c>
      <c r="AB66" s="4">
        <f t="shared" si="28"/>
        <v>3</v>
      </c>
      <c r="AC66" s="5"/>
      <c r="AD66" s="5"/>
      <c r="AE66" s="5"/>
      <c r="AF66" s="5"/>
      <c r="AG66" s="1">
        <v>35.65</v>
      </c>
      <c r="AH66" s="2">
        <v>4</v>
      </c>
      <c r="AI66" s="3">
        <f t="shared" si="31"/>
        <v>35.65</v>
      </c>
      <c r="AJ66" s="4">
        <f t="shared" si="32"/>
        <v>4</v>
      </c>
      <c r="AK66" s="5"/>
      <c r="AL66" s="5"/>
      <c r="AM66" s="9">
        <f>AK66+AI66+AE66+AC66+AA66+W66+Q66+I66</f>
        <v>132.79</v>
      </c>
      <c r="AN66" s="6">
        <f>AL66+AJ66+AF66+AD66+AB66+X66+R66+J66</f>
        <v>11</v>
      </c>
    </row>
    <row r="67" spans="2:40" ht="18" customHeight="1" x14ac:dyDescent="0.25">
      <c r="B67" s="12" t="s">
        <v>57</v>
      </c>
      <c r="C67" s="5"/>
      <c r="D67" s="2">
        <v>1</v>
      </c>
      <c r="E67" s="5"/>
      <c r="F67" s="5"/>
      <c r="G67" s="5"/>
      <c r="H67" s="5"/>
      <c r="I67" s="3"/>
      <c r="J67" s="3">
        <f t="shared" si="26"/>
        <v>1</v>
      </c>
      <c r="K67" s="1">
        <v>10.79</v>
      </c>
      <c r="L67" s="2">
        <v>2</v>
      </c>
      <c r="M67" s="5"/>
      <c r="N67" s="5"/>
      <c r="O67" s="5"/>
      <c r="P67" s="5"/>
      <c r="Q67" s="3">
        <f>K67</f>
        <v>10.79</v>
      </c>
      <c r="R67" s="4">
        <f>L67</f>
        <v>2</v>
      </c>
      <c r="S67" s="1">
        <v>29.12</v>
      </c>
      <c r="T67" s="2">
        <v>1</v>
      </c>
      <c r="U67" s="5"/>
      <c r="V67" s="5"/>
      <c r="W67" s="3">
        <f t="shared" ref="W67:W68" si="35">S67</f>
        <v>29.12</v>
      </c>
      <c r="X67" s="4">
        <f t="shared" ref="X67:X68" si="36">T67</f>
        <v>1</v>
      </c>
      <c r="Y67" s="1">
        <v>1.88</v>
      </c>
      <c r="Z67" s="2">
        <v>1</v>
      </c>
      <c r="AA67" s="3">
        <f t="shared" si="27"/>
        <v>1.88</v>
      </c>
      <c r="AB67" s="4">
        <f t="shared" si="28"/>
        <v>1</v>
      </c>
      <c r="AC67" s="3">
        <v>9.77</v>
      </c>
      <c r="AD67" s="4">
        <v>1</v>
      </c>
      <c r="AE67" s="5"/>
      <c r="AF67" s="5"/>
      <c r="AG67" s="1">
        <v>4.5199999999999996</v>
      </c>
      <c r="AH67" s="2">
        <v>1</v>
      </c>
      <c r="AI67" s="3">
        <f t="shared" si="31"/>
        <v>4.5199999999999996</v>
      </c>
      <c r="AJ67" s="4">
        <f t="shared" si="32"/>
        <v>1</v>
      </c>
      <c r="AK67" s="1">
        <v>11.94</v>
      </c>
      <c r="AL67" s="2">
        <v>2</v>
      </c>
      <c r="AM67" s="9">
        <f>AK67+AI67+AE67+AC67+AA67+W67+Q67+I67</f>
        <v>68.02000000000001</v>
      </c>
      <c r="AN67" s="6">
        <f>AL67+AJ67+AF67+AD67+AB67+X67+R67+J67</f>
        <v>9</v>
      </c>
    </row>
    <row r="68" spans="2:40" ht="18" customHeight="1" x14ac:dyDescent="0.25">
      <c r="B68" s="12" t="s">
        <v>58</v>
      </c>
      <c r="C68" s="1">
        <v>34.82</v>
      </c>
      <c r="D68" s="2">
        <v>3</v>
      </c>
      <c r="E68" s="1">
        <f>2.16+1.68</f>
        <v>3.84</v>
      </c>
      <c r="F68" s="2">
        <v>2</v>
      </c>
      <c r="G68" s="1">
        <v>128.79</v>
      </c>
      <c r="H68" s="2">
        <v>6</v>
      </c>
      <c r="I68" s="3">
        <f t="shared" si="25"/>
        <v>167.45</v>
      </c>
      <c r="J68" s="3">
        <f t="shared" si="26"/>
        <v>11</v>
      </c>
      <c r="K68" s="1">
        <v>178.71</v>
      </c>
      <c r="L68" s="2">
        <v>12</v>
      </c>
      <c r="M68" s="1">
        <v>37.159999999999997</v>
      </c>
      <c r="N68" s="2">
        <v>3</v>
      </c>
      <c r="O68" s="1"/>
      <c r="P68" s="2"/>
      <c r="Q68" s="3">
        <f>K68+M68+O68</f>
        <v>215.87</v>
      </c>
      <c r="R68" s="4">
        <f>L68+N68+P68</f>
        <v>15</v>
      </c>
      <c r="S68" s="1">
        <v>699.82</v>
      </c>
      <c r="T68" s="2">
        <v>52</v>
      </c>
      <c r="U68" s="1">
        <v>17.61</v>
      </c>
      <c r="V68" s="2">
        <v>4</v>
      </c>
      <c r="W68" s="3">
        <f t="shared" si="35"/>
        <v>699.82</v>
      </c>
      <c r="X68" s="4">
        <f t="shared" si="36"/>
        <v>52</v>
      </c>
      <c r="Y68" s="1">
        <v>86.55</v>
      </c>
      <c r="Z68" s="2">
        <v>11</v>
      </c>
      <c r="AA68" s="3">
        <f t="shared" si="27"/>
        <v>86.55</v>
      </c>
      <c r="AB68" s="4">
        <f t="shared" si="28"/>
        <v>11</v>
      </c>
      <c r="AC68" s="3">
        <v>178.69</v>
      </c>
      <c r="AD68" s="4">
        <v>14</v>
      </c>
      <c r="AE68" s="5"/>
      <c r="AF68" s="5"/>
      <c r="AG68" s="1">
        <v>89.62</v>
      </c>
      <c r="AH68" s="2">
        <v>12</v>
      </c>
      <c r="AI68" s="3">
        <f t="shared" si="31"/>
        <v>89.62</v>
      </c>
      <c r="AJ68" s="4">
        <f t="shared" si="32"/>
        <v>12</v>
      </c>
      <c r="AK68" s="1">
        <v>1116.18</v>
      </c>
      <c r="AL68" s="2">
        <v>56</v>
      </c>
      <c r="AM68" s="9">
        <f>AK68+AI68+AE68+AC68+AA68+W68+Q68+I68</f>
        <v>2554.1799999999998</v>
      </c>
      <c r="AN68" s="6">
        <f>AL68+AJ68+AF68+AD68+AB68+X68+R68+J68</f>
        <v>171</v>
      </c>
    </row>
    <row r="69" spans="2:40" ht="18" customHeight="1" x14ac:dyDescent="0.25">
      <c r="B69" s="12" t="s">
        <v>59</v>
      </c>
      <c r="C69" s="5"/>
      <c r="D69" s="5"/>
      <c r="E69" s="5"/>
      <c r="F69" s="5"/>
      <c r="G69" s="5"/>
      <c r="H69" s="5"/>
      <c r="I69" s="3"/>
      <c r="J69" s="3"/>
      <c r="K69" s="5"/>
      <c r="L69" s="5"/>
      <c r="M69" s="1">
        <v>4.03</v>
      </c>
      <c r="N69" s="2">
        <v>3</v>
      </c>
      <c r="O69" s="5"/>
      <c r="P69" s="5"/>
      <c r="Q69" s="3">
        <f>M69</f>
        <v>4.03</v>
      </c>
      <c r="R69" s="4">
        <f>N69</f>
        <v>3</v>
      </c>
      <c r="S69" s="5"/>
      <c r="T69" s="5"/>
      <c r="U69" s="5"/>
      <c r="V69" s="5"/>
      <c r="W69" s="5"/>
      <c r="X69" s="6"/>
      <c r="Y69" s="5"/>
      <c r="Z69" s="5"/>
      <c r="AA69" s="3">
        <f t="shared" si="27"/>
        <v>0</v>
      </c>
      <c r="AB69" s="4">
        <f t="shared" si="28"/>
        <v>0</v>
      </c>
      <c r="AC69" s="5"/>
      <c r="AD69" s="5"/>
      <c r="AE69" s="5"/>
      <c r="AF69" s="5"/>
      <c r="AG69" s="5"/>
      <c r="AH69" s="5"/>
      <c r="AI69" s="5"/>
      <c r="AJ69" s="6"/>
      <c r="AK69" s="5"/>
      <c r="AL69" s="5"/>
      <c r="AM69" s="9">
        <f>AK69+AI69+AE69+AC69+AA69+W69+Q69+I69</f>
        <v>4.03</v>
      </c>
      <c r="AN69" s="6">
        <f>AL69+AJ69+AF69+AD69+AB69+X69+R69+J69</f>
        <v>3</v>
      </c>
    </row>
    <row r="70" spans="2:40" ht="18" customHeight="1" x14ac:dyDescent="0.25">
      <c r="B70" s="12" t="s">
        <v>60</v>
      </c>
      <c r="C70" s="5"/>
      <c r="D70" s="5"/>
      <c r="E70" s="5"/>
      <c r="F70" s="5"/>
      <c r="G70" s="5"/>
      <c r="H70" s="5"/>
      <c r="I70" s="3"/>
      <c r="J70" s="3"/>
      <c r="K70" s="1">
        <v>109.71</v>
      </c>
      <c r="L70" s="2">
        <v>1</v>
      </c>
      <c r="M70" s="5"/>
      <c r="N70" s="5"/>
      <c r="O70" s="5"/>
      <c r="P70" s="5"/>
      <c r="Q70" s="3">
        <f>K70</f>
        <v>109.71</v>
      </c>
      <c r="R70" s="4">
        <f>L70</f>
        <v>1</v>
      </c>
      <c r="S70" s="1">
        <v>119.99</v>
      </c>
      <c r="T70" s="2">
        <v>1</v>
      </c>
      <c r="U70" s="5"/>
      <c r="V70" s="5"/>
      <c r="W70" s="3">
        <f>S70</f>
        <v>119.99</v>
      </c>
      <c r="X70" s="4">
        <f>T70</f>
        <v>1</v>
      </c>
      <c r="Y70" s="1">
        <v>82.23</v>
      </c>
      <c r="Z70" s="2">
        <v>1</v>
      </c>
      <c r="AA70" s="3">
        <f t="shared" si="27"/>
        <v>82.23</v>
      </c>
      <c r="AB70" s="4">
        <f t="shared" si="28"/>
        <v>1</v>
      </c>
      <c r="AC70" s="5"/>
      <c r="AD70" s="5"/>
      <c r="AE70" s="5"/>
      <c r="AF70" s="5"/>
      <c r="AG70" s="1">
        <v>576.42999999999995</v>
      </c>
      <c r="AH70" s="2">
        <v>3</v>
      </c>
      <c r="AI70" s="3">
        <f t="shared" ref="AI70" si="37">AG70</f>
        <v>576.42999999999995</v>
      </c>
      <c r="AJ70" s="4">
        <f t="shared" ref="AJ70" si="38">AH70</f>
        <v>3</v>
      </c>
      <c r="AK70" s="1">
        <v>757.23</v>
      </c>
      <c r="AL70" s="2">
        <v>3</v>
      </c>
      <c r="AM70" s="9">
        <f>AK70+AI70+AE70+AC70+AA70+W70+Q70+I70</f>
        <v>1645.59</v>
      </c>
      <c r="AN70" s="6">
        <f>AL70+AJ70+AF70+AD70+AB70+X70+R70+J70</f>
        <v>9</v>
      </c>
    </row>
    <row r="71" spans="2:40" ht="18" customHeight="1" x14ac:dyDescent="0.25">
      <c r="B71" s="12" t="s">
        <v>61</v>
      </c>
      <c r="C71" s="5"/>
      <c r="D71" s="5"/>
      <c r="E71" s="5"/>
      <c r="F71" s="5"/>
      <c r="G71" s="5"/>
      <c r="H71" s="5"/>
      <c r="I71" s="3"/>
      <c r="J71" s="3"/>
      <c r="K71" s="5"/>
      <c r="L71" s="5"/>
      <c r="M71" s="5"/>
      <c r="N71" s="5"/>
      <c r="O71" s="5"/>
      <c r="P71" s="5"/>
      <c r="Q71" s="5"/>
      <c r="R71" s="6"/>
      <c r="S71" s="5"/>
      <c r="T71" s="5"/>
      <c r="U71" s="5"/>
      <c r="V71" s="5"/>
      <c r="W71" s="5"/>
      <c r="X71" s="6"/>
      <c r="Y71" s="5"/>
      <c r="Z71" s="5"/>
      <c r="AA71" s="3">
        <f t="shared" si="27"/>
        <v>0</v>
      </c>
      <c r="AB71" s="4">
        <f t="shared" si="28"/>
        <v>0</v>
      </c>
      <c r="AC71" s="3">
        <v>112.18</v>
      </c>
      <c r="AD71" s="4">
        <v>3</v>
      </c>
      <c r="AE71" s="5"/>
      <c r="AF71" s="5"/>
      <c r="AG71" s="5"/>
      <c r="AH71" s="5"/>
      <c r="AI71" s="5"/>
      <c r="AJ71" s="5"/>
      <c r="AK71" s="1">
        <v>18.809999999999999</v>
      </c>
      <c r="AL71" s="2">
        <v>2</v>
      </c>
      <c r="AM71" s="9">
        <f>AK71+AI71+AE71+AC71+AA71+W71+Q71+I71</f>
        <v>130.99</v>
      </c>
      <c r="AN71" s="6">
        <f>AL71+AJ71+AF71+AD71+AB71+X71+R71+J71</f>
        <v>5</v>
      </c>
    </row>
    <row r="72" spans="2:40" ht="18" customHeight="1" x14ac:dyDescent="0.25">
      <c r="B72" s="12" t="s">
        <v>62</v>
      </c>
      <c r="C72" s="5"/>
      <c r="D72" s="5"/>
      <c r="E72" s="5"/>
      <c r="F72" s="5"/>
      <c r="G72" s="5"/>
      <c r="H72" s="5"/>
      <c r="I72" s="3"/>
      <c r="J72" s="3"/>
      <c r="K72" s="5"/>
      <c r="L72" s="5"/>
      <c r="M72" s="5"/>
      <c r="N72" s="5"/>
      <c r="O72" s="1"/>
      <c r="P72" s="2"/>
      <c r="Q72" s="3">
        <f>O72</f>
        <v>0</v>
      </c>
      <c r="R72" s="4">
        <f>P72</f>
        <v>0</v>
      </c>
      <c r="S72" s="1">
        <v>1606.08</v>
      </c>
      <c r="T72" s="2">
        <v>17</v>
      </c>
      <c r="U72" s="5"/>
      <c r="V72" s="5"/>
      <c r="W72" s="3">
        <f t="shared" ref="W72:W77" si="39">S72</f>
        <v>1606.08</v>
      </c>
      <c r="X72" s="4">
        <f t="shared" ref="X72:X77" si="40">T72</f>
        <v>17</v>
      </c>
      <c r="Y72" s="5"/>
      <c r="Z72" s="5"/>
      <c r="AA72" s="3">
        <f t="shared" si="27"/>
        <v>0</v>
      </c>
      <c r="AB72" s="4">
        <f t="shared" si="28"/>
        <v>0</v>
      </c>
      <c r="AC72" s="5"/>
      <c r="AD72" s="5"/>
      <c r="AE72" s="5"/>
      <c r="AF72" s="5"/>
      <c r="AG72" s="5"/>
      <c r="AH72" s="5"/>
      <c r="AI72" s="5"/>
      <c r="AJ72" s="5"/>
      <c r="AK72" s="1">
        <v>2031.89</v>
      </c>
      <c r="AL72" s="2">
        <v>19</v>
      </c>
      <c r="AM72" s="9">
        <f>AK72+AI72+AE72+AC72+AA72+W72+Q72+I72</f>
        <v>3637.9700000000003</v>
      </c>
      <c r="AN72" s="6">
        <f>AL72+AJ72+AF72+AD72+AB72+X72+R72+J72</f>
        <v>36</v>
      </c>
    </row>
    <row r="73" spans="2:40" ht="18" customHeight="1" x14ac:dyDescent="0.25">
      <c r="B73" s="12" t="s">
        <v>63</v>
      </c>
      <c r="C73" s="5"/>
      <c r="D73" s="5"/>
      <c r="E73" s="5"/>
      <c r="F73" s="5"/>
      <c r="G73" s="5"/>
      <c r="H73" s="5"/>
      <c r="I73" s="3"/>
      <c r="J73" s="3"/>
      <c r="K73" s="1">
        <v>7.77</v>
      </c>
      <c r="L73" s="2">
        <v>1</v>
      </c>
      <c r="M73" s="5"/>
      <c r="N73" s="5"/>
      <c r="O73" s="5"/>
      <c r="P73" s="5"/>
      <c r="Q73" s="3">
        <f>K73</f>
        <v>7.77</v>
      </c>
      <c r="R73" s="4">
        <f>L73</f>
        <v>1</v>
      </c>
      <c r="S73" s="1">
        <v>3.19</v>
      </c>
      <c r="T73" s="2">
        <v>1</v>
      </c>
      <c r="U73" s="5"/>
      <c r="V73" s="5"/>
      <c r="W73" s="3">
        <f t="shared" si="39"/>
        <v>3.19</v>
      </c>
      <c r="X73" s="4">
        <f t="shared" si="40"/>
        <v>1</v>
      </c>
      <c r="Y73" s="5"/>
      <c r="Z73" s="5"/>
      <c r="AA73" s="3">
        <f t="shared" si="27"/>
        <v>0</v>
      </c>
      <c r="AB73" s="4">
        <f t="shared" si="28"/>
        <v>0</v>
      </c>
      <c r="AC73" s="5"/>
      <c r="AD73" s="5"/>
      <c r="AE73" s="5"/>
      <c r="AF73" s="5"/>
      <c r="AG73" s="5"/>
      <c r="AH73" s="5"/>
      <c r="AI73" s="5"/>
      <c r="AJ73" s="5"/>
      <c r="AK73" s="1">
        <v>20.79</v>
      </c>
      <c r="AL73" s="2">
        <v>2</v>
      </c>
      <c r="AM73" s="9">
        <f>AK73+AI73+AE73+AC73+AA73+W73+Q73+I73</f>
        <v>31.75</v>
      </c>
      <c r="AN73" s="6">
        <f>AL73+AJ73+AF73+AD73+AB73+X73+R73+J73</f>
        <v>4</v>
      </c>
    </row>
    <row r="74" spans="2:40" ht="18" customHeight="1" x14ac:dyDescent="0.25">
      <c r="B74" s="12" t="s">
        <v>64</v>
      </c>
      <c r="C74" s="5"/>
      <c r="D74" s="5"/>
      <c r="E74" s="1">
        <v>8.8699999999999992</v>
      </c>
      <c r="F74" s="2">
        <v>9</v>
      </c>
      <c r="G74" s="5"/>
      <c r="H74" s="5"/>
      <c r="I74" s="3">
        <f t="shared" si="25"/>
        <v>8.8699999999999992</v>
      </c>
      <c r="J74" s="3">
        <f t="shared" si="26"/>
        <v>9</v>
      </c>
      <c r="K74" s="5">
        <v>13.32</v>
      </c>
      <c r="L74" s="5">
        <v>1</v>
      </c>
      <c r="M74" s="5"/>
      <c r="N74" s="5"/>
      <c r="O74" s="5"/>
      <c r="P74" s="5"/>
      <c r="Q74" s="5"/>
      <c r="R74" s="6"/>
      <c r="S74" s="1">
        <v>12.85</v>
      </c>
      <c r="T74" s="2">
        <v>1</v>
      </c>
      <c r="U74" s="5"/>
      <c r="V74" s="5"/>
      <c r="W74" s="3">
        <f t="shared" si="39"/>
        <v>12.85</v>
      </c>
      <c r="X74" s="4">
        <f t="shared" si="40"/>
        <v>1</v>
      </c>
      <c r="Y74" s="5"/>
      <c r="Z74" s="5"/>
      <c r="AA74" s="3">
        <f t="shared" si="27"/>
        <v>0</v>
      </c>
      <c r="AB74" s="4">
        <f t="shared" si="28"/>
        <v>0</v>
      </c>
      <c r="AC74" s="13">
        <v>16.7</v>
      </c>
      <c r="AD74" s="4">
        <v>2</v>
      </c>
      <c r="AE74" s="5"/>
      <c r="AF74" s="5"/>
      <c r="AG74" s="5"/>
      <c r="AH74" s="5"/>
      <c r="AI74" s="5"/>
      <c r="AJ74" s="5"/>
      <c r="AK74" s="1">
        <v>54.11</v>
      </c>
      <c r="AL74" s="2">
        <v>3</v>
      </c>
      <c r="AM74" s="9">
        <f>AK74+AI74+AE74+AC74+AA74+W74+Q74+I74</f>
        <v>92.53</v>
      </c>
      <c r="AN74" s="6">
        <f>AL74+AJ74+AF74+AD74+AB74+X74+R74+J74</f>
        <v>15</v>
      </c>
    </row>
    <row r="75" spans="2:40" ht="18" customHeight="1" x14ac:dyDescent="0.25">
      <c r="B75" s="12" t="s">
        <v>65</v>
      </c>
      <c r="C75" s="5"/>
      <c r="D75" s="5"/>
      <c r="E75" s="5"/>
      <c r="F75" s="5"/>
      <c r="G75" s="5"/>
      <c r="H75" s="5"/>
      <c r="I75" s="3"/>
      <c r="J75" s="3"/>
      <c r="K75" s="5"/>
      <c r="L75" s="5"/>
      <c r="M75" s="5"/>
      <c r="N75" s="5"/>
      <c r="O75" s="5"/>
      <c r="P75" s="5"/>
      <c r="Q75" s="5"/>
      <c r="R75" s="6"/>
      <c r="S75" s="1">
        <v>10.11</v>
      </c>
      <c r="T75" s="2">
        <v>11</v>
      </c>
      <c r="U75" s="5"/>
      <c r="V75" s="5"/>
      <c r="W75" s="3">
        <f t="shared" si="39"/>
        <v>10.11</v>
      </c>
      <c r="X75" s="4">
        <f t="shared" si="40"/>
        <v>11</v>
      </c>
      <c r="Y75" s="5"/>
      <c r="Z75" s="5"/>
      <c r="AA75" s="3">
        <f t="shared" si="27"/>
        <v>0</v>
      </c>
      <c r="AB75" s="4">
        <f t="shared" si="28"/>
        <v>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9">
        <f>AK75+AI75+AE75+AC75+AA75+W75+Q75+I75</f>
        <v>10.11</v>
      </c>
      <c r="AN75" s="6">
        <f>AL75+AJ75+AF75+AD75+AB75+X75+R75+J75</f>
        <v>11</v>
      </c>
    </row>
    <row r="76" spans="2:40" ht="18" customHeight="1" x14ac:dyDescent="0.25">
      <c r="B76" s="12" t="s">
        <v>21</v>
      </c>
      <c r="C76" s="5"/>
      <c r="D76" s="5"/>
      <c r="E76" s="5"/>
      <c r="F76" s="5"/>
      <c r="G76" s="5"/>
      <c r="H76" s="5"/>
      <c r="I76" s="3"/>
      <c r="J76" s="3"/>
      <c r="K76" s="5"/>
      <c r="L76" s="5"/>
      <c r="M76" s="5"/>
      <c r="N76" s="5"/>
      <c r="O76" s="5"/>
      <c r="P76" s="5"/>
      <c r="Q76" s="5"/>
      <c r="R76" s="6"/>
      <c r="S76" s="1">
        <v>39.65</v>
      </c>
      <c r="T76" s="2">
        <v>1</v>
      </c>
      <c r="U76" s="5"/>
      <c r="V76" s="5"/>
      <c r="W76" s="3">
        <f t="shared" si="39"/>
        <v>39.65</v>
      </c>
      <c r="X76" s="4">
        <f t="shared" si="40"/>
        <v>1</v>
      </c>
      <c r="Y76" s="5"/>
      <c r="Z76" s="5"/>
      <c r="AA76" s="3">
        <f t="shared" si="27"/>
        <v>0</v>
      </c>
      <c r="AB76" s="4">
        <f t="shared" si="28"/>
        <v>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9">
        <f>AK76+AI76+AE76+AC76+AA76+W76+Q76+I76</f>
        <v>39.65</v>
      </c>
      <c r="AN76" s="6">
        <f>AL76+AJ76+AF76+AD76+AB76+X76+R76+J76</f>
        <v>1</v>
      </c>
    </row>
    <row r="77" spans="2:40" ht="18" customHeight="1" x14ac:dyDescent="0.25">
      <c r="B77" s="12" t="s">
        <v>66</v>
      </c>
      <c r="C77" s="1">
        <v>4.3899999999999997</v>
      </c>
      <c r="D77" s="2">
        <v>1</v>
      </c>
      <c r="E77" s="5">
        <v>12.4</v>
      </c>
      <c r="F77" s="5">
        <v>2</v>
      </c>
      <c r="G77" s="1">
        <v>7.29</v>
      </c>
      <c r="H77" s="2">
        <v>2</v>
      </c>
      <c r="I77" s="3">
        <f t="shared" si="25"/>
        <v>24.08</v>
      </c>
      <c r="J77" s="3">
        <f t="shared" si="26"/>
        <v>5</v>
      </c>
      <c r="K77" s="1">
        <v>33.35</v>
      </c>
      <c r="L77" s="2">
        <v>3</v>
      </c>
      <c r="M77" s="1">
        <v>5.26</v>
      </c>
      <c r="N77" s="2">
        <v>1</v>
      </c>
      <c r="O77" s="5"/>
      <c r="P77" s="5"/>
      <c r="Q77" s="3">
        <f>K77+M77</f>
        <v>38.61</v>
      </c>
      <c r="R77" s="4">
        <f>L77+N77</f>
        <v>4</v>
      </c>
      <c r="S77" s="1">
        <v>14.5</v>
      </c>
      <c r="T77" s="2">
        <v>1</v>
      </c>
      <c r="U77" s="5"/>
      <c r="V77" s="5"/>
      <c r="W77" s="3">
        <f t="shared" si="39"/>
        <v>14.5</v>
      </c>
      <c r="X77" s="4">
        <f t="shared" si="40"/>
        <v>1</v>
      </c>
      <c r="Y77" s="1">
        <v>19.91</v>
      </c>
      <c r="Z77" s="2">
        <v>2</v>
      </c>
      <c r="AA77" s="3">
        <f t="shared" si="27"/>
        <v>19.91</v>
      </c>
      <c r="AB77" s="4">
        <f t="shared" si="28"/>
        <v>2</v>
      </c>
      <c r="AC77" s="3">
        <v>13.82</v>
      </c>
      <c r="AD77" s="4">
        <v>2</v>
      </c>
      <c r="AE77" s="5"/>
      <c r="AF77" s="5"/>
      <c r="AG77" s="5"/>
      <c r="AH77" s="5"/>
      <c r="AI77" s="5"/>
      <c r="AJ77" s="5"/>
      <c r="AK77" s="1">
        <v>99.32</v>
      </c>
      <c r="AL77" s="2">
        <v>8</v>
      </c>
      <c r="AM77" s="9">
        <f>AK77+AI77+AE77+AC77+AA77+W77+Q77+I77</f>
        <v>210.23999999999995</v>
      </c>
      <c r="AN77" s="6">
        <f>AL77+AJ77+AF77+AD77+AB77+X77+R77+J77</f>
        <v>22</v>
      </c>
    </row>
    <row r="78" spans="2:40" ht="18" customHeight="1" x14ac:dyDescent="0.25">
      <c r="B78" s="36" t="s">
        <v>67</v>
      </c>
      <c r="C78" s="37">
        <f>C53+C54+C55+C56+C58+C62+C64+C68+C77</f>
        <v>552.33000000000004</v>
      </c>
      <c r="D78" s="37">
        <f>D53+D54+D55+D56+D58+D62+D64+D68+D77+D67</f>
        <v>33</v>
      </c>
      <c r="E78" s="38">
        <f>E74+E68+E64+E58+E55+E54</f>
        <v>56.269999999999996</v>
      </c>
      <c r="F78" s="37">
        <f>F74+F68+F64+F58+F55+F54</f>
        <v>18</v>
      </c>
      <c r="G78" s="38">
        <f>G77+G68+G64+G61+G58+G55+G54</f>
        <v>325.02</v>
      </c>
      <c r="H78" s="37">
        <f>H77+H68+H64+H61+H58+H55+H54</f>
        <v>25</v>
      </c>
      <c r="I78" s="3">
        <f t="shared" si="25"/>
        <v>933.62</v>
      </c>
      <c r="J78" s="37">
        <f>J77+J74+J68+J67+J64+J62+J61+J58+J56+J55+J54+J53</f>
        <v>78</v>
      </c>
      <c r="K78" s="39">
        <f>K77+K73+K70+K68+K67+K66+K65+K64+K60+K59+K58+K56+K55+K54+K53</f>
        <v>1750.49</v>
      </c>
      <c r="L78" s="40">
        <f>L77+L73+L70+L68+L67+L66+L65+L64+L60+L59+L58+L56+L55+L54+L53</f>
        <v>104</v>
      </c>
      <c r="M78" s="38">
        <f>M77+M69+M68+M66+M65+M58+M55+M54</f>
        <v>173.05</v>
      </c>
      <c r="N78" s="37">
        <f>N77+N69+N68+N66+N65+N58+N55+N54</f>
        <v>32</v>
      </c>
      <c r="O78" s="38">
        <f>O54+O56+O57+O68+O72</f>
        <v>156.72</v>
      </c>
      <c r="P78" s="37">
        <f>P54+P56+P57+P68+P72</f>
        <v>17</v>
      </c>
      <c r="Q78" s="38">
        <f>K78+M78+O78</f>
        <v>2080.2599999999998</v>
      </c>
      <c r="R78" s="37">
        <f>L78+N78+P78</f>
        <v>153</v>
      </c>
      <c r="S78" s="39">
        <f>S77+S76+S75+S74+S73+S72+S70+S68+S67+S65+S64+S62+S60+S58+S57+S56+S55+S54+S53</f>
        <v>4111.54</v>
      </c>
      <c r="T78" s="39">
        <f>T77+T76+T75+T74+T73+T72+T70+T68+T67+T65+T64+T62+T60+T58+T57+T56+T55+T54+T53</f>
        <v>218</v>
      </c>
      <c r="U78" s="38">
        <f>U68+U66+U65+U64+U60+U56+U54</f>
        <v>159.61999999999998</v>
      </c>
      <c r="V78" s="37">
        <f>V68+V66+V65+V64+V60+V56+V54</f>
        <v>18</v>
      </c>
      <c r="W78" s="39">
        <f>W77+W76+W75+W74+W73+W72+W70+W68+W67+W65+W64+W62+W60+W58+W57+W56+W55+W54+W53</f>
        <v>4111.54</v>
      </c>
      <c r="X78" s="39">
        <f>X77+X76+X75+X74+X73+X72+X70+X68+X67+X65+X64+X62+X60+X58+X57+X56+X55+X54+X53</f>
        <v>218</v>
      </c>
      <c r="Y78" s="38">
        <f>Y77+Y70+Y68+Y67+Y66+Y65+Y64+Y60+Y58+Y56+Y55+Y54+Y53</f>
        <v>778.66999999999985</v>
      </c>
      <c r="Z78" s="37">
        <f>Z77+Z70+Z68+Z67+Z66+Z65+Z64+Z60+Z58+Z56+Z55+Z54+Z53</f>
        <v>75</v>
      </c>
      <c r="AA78" s="3">
        <f t="shared" si="27"/>
        <v>778.66999999999985</v>
      </c>
      <c r="AB78" s="4">
        <f t="shared" si="28"/>
        <v>75</v>
      </c>
      <c r="AC78" s="39">
        <f>AC77+AC74+AC71+AC68+AC67+AC65+AC60+AC59+AC58+AC57+AC56+AC55+AC54</f>
        <v>1232.6300000000001</v>
      </c>
      <c r="AD78" s="37">
        <f>AD77+AD74+AD71+AD68+AD67+AD65+AD60++AD59+AD58+AD57+AD56+AD55+AD54</f>
        <v>75</v>
      </c>
      <c r="AE78" s="38">
        <f>AE64+AE58+AE54+AE55</f>
        <v>7.77</v>
      </c>
      <c r="AF78" s="37">
        <f>AF64+AF58+AF55+AF54</f>
        <v>4</v>
      </c>
      <c r="AG78" s="39">
        <f>AG70+AG68+AG67+AG66+AG65+AG64+AG63+AG62+AG61+AG60+AG58+AG57+AG56+AG55+AG54+AG53</f>
        <v>3214.3800000000006</v>
      </c>
      <c r="AH78" s="37">
        <v>115</v>
      </c>
      <c r="AI78" s="38">
        <f t="shared" ref="AI78" si="41">AG78</f>
        <v>3214.3800000000006</v>
      </c>
      <c r="AJ78" s="37">
        <f t="shared" ref="AJ78" si="42">AH78</f>
        <v>115</v>
      </c>
      <c r="AK78" s="39">
        <f>AK54+AK55+AK56+AK58+AK59+AK60+AK61+AK62+AK64+AK65+AK67+AK68+AK70+AK71+AK72+AK73+AK74+AK77</f>
        <v>5906.29</v>
      </c>
      <c r="AL78" s="40">
        <f>AL54+AL55+AL56+AL58+AL59+AL60+AL61+AL62+AL64+AL65+AL67+AL68+AL70+AL71+AL72+AL73+AL74+AL77</f>
        <v>191</v>
      </c>
      <c r="AM78" s="39">
        <f>AK78+AI78+AE78+AC78+AA78+W78+Q78+I78</f>
        <v>18265.159999999996</v>
      </c>
      <c r="AN78" s="40">
        <f>AL78+AJ78+AF78+AD78+AB78+X78+R78+J78</f>
        <v>909</v>
      </c>
    </row>
    <row r="79" spans="2:40" ht="18" customHeight="1" x14ac:dyDescent="0.25">
      <c r="B79" s="65" t="s">
        <v>68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</row>
    <row r="80" spans="2:40" ht="18" customHeight="1" x14ac:dyDescent="0.25">
      <c r="B80" s="12" t="s">
        <v>68</v>
      </c>
      <c r="C80" s="5"/>
      <c r="D80" s="5"/>
      <c r="E80" s="5"/>
      <c r="F80" s="5"/>
      <c r="G80" s="1"/>
      <c r="H80" s="2">
        <v>1</v>
      </c>
      <c r="I80" s="3"/>
      <c r="J80" s="4">
        <v>1</v>
      </c>
      <c r="K80" s="5"/>
      <c r="L80" s="5"/>
      <c r="M80" s="1">
        <v>60.05</v>
      </c>
      <c r="N80" s="2">
        <v>4</v>
      </c>
      <c r="O80" s="5"/>
      <c r="P80" s="5"/>
      <c r="Q80" s="3">
        <f>M80</f>
        <v>60.05</v>
      </c>
      <c r="R80" s="4">
        <f>N80</f>
        <v>4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1">
        <v>2563.02</v>
      </c>
      <c r="AL80" s="2">
        <v>36</v>
      </c>
      <c r="AM80" s="9">
        <f>AK80+AI80+AE80+AC80+AA80+W80+Q80+I80</f>
        <v>2623.07</v>
      </c>
      <c r="AN80" s="6">
        <f>AL80+AJ80+AF80+AD80+AB80+X80+R80+J80</f>
        <v>41</v>
      </c>
    </row>
    <row r="81" spans="2:40" ht="18" customHeight="1" x14ac:dyDescent="0.25">
      <c r="B81" s="41" t="s">
        <v>69</v>
      </c>
      <c r="C81" s="67"/>
      <c r="D81" s="67"/>
      <c r="E81" s="67"/>
      <c r="F81" s="67"/>
      <c r="G81" s="42"/>
      <c r="H81" s="43">
        <v>1</v>
      </c>
      <c r="I81" s="42">
        <f>G81</f>
        <v>0</v>
      </c>
      <c r="J81" s="43">
        <f>H81</f>
        <v>1</v>
      </c>
      <c r="K81" s="44"/>
      <c r="L81" s="44"/>
      <c r="M81" s="42">
        <v>60.05</v>
      </c>
      <c r="N81" s="43">
        <v>4</v>
      </c>
      <c r="O81" s="44"/>
      <c r="P81" s="44"/>
      <c r="Q81" s="41">
        <f>M81</f>
        <v>60.05</v>
      </c>
      <c r="R81" s="41">
        <f>N81</f>
        <v>4</v>
      </c>
      <c r="S81" s="45"/>
      <c r="T81" s="45"/>
      <c r="U81" s="57"/>
      <c r="V81" s="57"/>
      <c r="W81" s="45"/>
      <c r="X81" s="45"/>
      <c r="Y81" s="44"/>
      <c r="Z81" s="44"/>
      <c r="AA81" s="45"/>
      <c r="AB81" s="45"/>
      <c r="AC81" s="44"/>
      <c r="AD81" s="44"/>
      <c r="AE81" s="44"/>
      <c r="AF81" s="44"/>
      <c r="AG81" s="44"/>
      <c r="AH81" s="44"/>
      <c r="AI81" s="44"/>
      <c r="AJ81" s="44"/>
      <c r="AK81" s="42">
        <f>AK80</f>
        <v>2563.02</v>
      </c>
      <c r="AL81" s="43">
        <f>AL80</f>
        <v>36</v>
      </c>
      <c r="AM81" s="42">
        <f>AK81+AI81+AE81+AC81+AA81+W81+Q81+I81</f>
        <v>2623.07</v>
      </c>
      <c r="AN81" s="43">
        <f>AL81+AJ81+AF81+AD81+AB81+X81+R81+J81</f>
        <v>41</v>
      </c>
    </row>
    <row r="82" spans="2:40" ht="18" customHeight="1" x14ac:dyDescent="0.25">
      <c r="B82" s="19" t="s">
        <v>99</v>
      </c>
      <c r="C82" s="8">
        <f>+C78+C51+C40+C34</f>
        <v>6901.7800000000007</v>
      </c>
      <c r="D82" s="8">
        <f t="shared" ref="D82:AN82" si="43">+D78+D51+D40+D34</f>
        <v>167</v>
      </c>
      <c r="E82" s="8">
        <f t="shared" si="43"/>
        <v>1087.82</v>
      </c>
      <c r="F82" s="8">
        <f t="shared" si="43"/>
        <v>48</v>
      </c>
      <c r="G82" s="8">
        <f t="shared" si="43"/>
        <v>1563.8</v>
      </c>
      <c r="H82" s="8">
        <f t="shared" si="43"/>
        <v>53</v>
      </c>
      <c r="I82" s="8">
        <f t="shared" si="43"/>
        <v>9553.4</v>
      </c>
      <c r="J82" s="8">
        <f t="shared" si="43"/>
        <v>265</v>
      </c>
      <c r="K82" s="8">
        <f t="shared" si="43"/>
        <v>9916.07</v>
      </c>
      <c r="L82" s="8">
        <f t="shared" si="43"/>
        <v>391</v>
      </c>
      <c r="M82" s="8">
        <f t="shared" si="43"/>
        <v>4127.07</v>
      </c>
      <c r="N82" s="8">
        <f t="shared" si="43"/>
        <v>179</v>
      </c>
      <c r="O82" s="8">
        <f t="shared" si="43"/>
        <v>1320.2499999999998</v>
      </c>
      <c r="P82" s="8">
        <f t="shared" si="43"/>
        <v>55</v>
      </c>
      <c r="Q82" s="8">
        <f t="shared" si="43"/>
        <v>16867.53</v>
      </c>
      <c r="R82" s="8">
        <f t="shared" si="43"/>
        <v>676</v>
      </c>
      <c r="S82" s="8">
        <f t="shared" si="43"/>
        <v>17948.080000000002</v>
      </c>
      <c r="T82" s="8">
        <f t="shared" si="43"/>
        <v>562</v>
      </c>
      <c r="U82" s="8">
        <f t="shared" si="43"/>
        <v>1014.01</v>
      </c>
      <c r="V82" s="8">
        <f t="shared" si="43"/>
        <v>52</v>
      </c>
      <c r="W82" s="8">
        <f t="shared" si="43"/>
        <v>17948.080000000002</v>
      </c>
      <c r="X82" s="8">
        <f t="shared" si="43"/>
        <v>562</v>
      </c>
      <c r="Y82" s="8">
        <f t="shared" si="43"/>
        <v>7093.57</v>
      </c>
      <c r="Z82" s="8">
        <f t="shared" si="43"/>
        <v>278</v>
      </c>
      <c r="AA82" s="8">
        <f t="shared" si="43"/>
        <v>7093.57</v>
      </c>
      <c r="AB82" s="8">
        <f t="shared" si="43"/>
        <v>278</v>
      </c>
      <c r="AC82" s="8">
        <f t="shared" si="43"/>
        <v>12408.68</v>
      </c>
      <c r="AD82" s="8">
        <f t="shared" si="43"/>
        <v>192</v>
      </c>
      <c r="AE82" s="8">
        <f t="shared" si="43"/>
        <v>211.11</v>
      </c>
      <c r="AF82" s="8">
        <f t="shared" si="43"/>
        <v>16</v>
      </c>
      <c r="AG82" s="8">
        <f t="shared" si="43"/>
        <v>17559.41</v>
      </c>
      <c r="AH82" s="8">
        <f t="shared" si="43"/>
        <v>466</v>
      </c>
      <c r="AI82" s="8">
        <f t="shared" si="43"/>
        <v>17559.41</v>
      </c>
      <c r="AJ82" s="8">
        <f t="shared" si="43"/>
        <v>466</v>
      </c>
      <c r="AK82" s="8">
        <f t="shared" si="43"/>
        <v>25945.219999999998</v>
      </c>
      <c r="AL82" s="8">
        <f t="shared" si="43"/>
        <v>491</v>
      </c>
      <c r="AM82" s="8">
        <f t="shared" si="43"/>
        <v>107587</v>
      </c>
      <c r="AN82" s="8">
        <f t="shared" si="43"/>
        <v>2946</v>
      </c>
    </row>
    <row r="84" spans="2:40" ht="18" customHeight="1" x14ac:dyDescent="0.25">
      <c r="J84" s="20"/>
    </row>
    <row r="85" spans="2:40" ht="18" customHeight="1" x14ac:dyDescent="0.25">
      <c r="J85" s="20"/>
      <c r="AM85" s="55"/>
      <c r="AN85" s="55"/>
    </row>
  </sheetData>
  <mergeCells count="40">
    <mergeCell ref="B2:AN2"/>
    <mergeCell ref="E5:F5"/>
    <mergeCell ref="B7:AN7"/>
    <mergeCell ref="B35:AN35"/>
    <mergeCell ref="B41:AN41"/>
    <mergeCell ref="B52:AN52"/>
    <mergeCell ref="C5:D5"/>
    <mergeCell ref="O5:P5"/>
    <mergeCell ref="S5:T5"/>
    <mergeCell ref="Y5:Z5"/>
    <mergeCell ref="U5:V5"/>
    <mergeCell ref="B79:AN79"/>
    <mergeCell ref="AK5:AL5"/>
    <mergeCell ref="AG5:AH5"/>
    <mergeCell ref="AE5:AF5"/>
    <mergeCell ref="C81:D81"/>
    <mergeCell ref="E81:F81"/>
    <mergeCell ref="G5:H5"/>
    <mergeCell ref="K5:L5"/>
    <mergeCell ref="M5:N5"/>
    <mergeCell ref="AI4:AI6"/>
    <mergeCell ref="AJ4:AJ6"/>
    <mergeCell ref="AK4:AL4"/>
    <mergeCell ref="AM4:AM6"/>
    <mergeCell ref="AC5:AD5"/>
    <mergeCell ref="AN4:AN6"/>
    <mergeCell ref="C4:H4"/>
    <mergeCell ref="I4:I6"/>
    <mergeCell ref="J4:J6"/>
    <mergeCell ref="K4:P4"/>
    <mergeCell ref="Q4:Q6"/>
    <mergeCell ref="R4:R6"/>
    <mergeCell ref="S4:T4"/>
    <mergeCell ref="W4:W6"/>
    <mergeCell ref="X4:X6"/>
    <mergeCell ref="AA4:AA6"/>
    <mergeCell ref="AB4:AB6"/>
    <mergeCell ref="AC4:AD4"/>
    <mergeCell ref="AE4:AF4"/>
    <mergeCell ref="AG4:A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K29"/>
  <sheetViews>
    <sheetView workbookViewId="0">
      <selection activeCell="K13" sqref="K6:K13"/>
    </sheetView>
  </sheetViews>
  <sheetFormatPr baseColWidth="10" defaultRowHeight="13.2" x14ac:dyDescent="0.25"/>
  <cols>
    <col min="3" max="3" width="26.77734375" customWidth="1"/>
    <col min="11" max="11" width="14.6640625" bestFit="1" customWidth="1"/>
  </cols>
  <sheetData>
    <row r="3" spans="3:11" ht="13.8" x14ac:dyDescent="0.25">
      <c r="C3" s="12" t="s">
        <v>106</v>
      </c>
      <c r="D3">
        <v>535.91</v>
      </c>
    </row>
    <row r="4" spans="3:11" ht="13.8" x14ac:dyDescent="0.25">
      <c r="C4" s="12" t="s">
        <v>0</v>
      </c>
    </row>
    <row r="5" spans="3:11" ht="13.8" x14ac:dyDescent="0.25">
      <c r="C5" s="12" t="s">
        <v>1</v>
      </c>
      <c r="D5">
        <v>392.08</v>
      </c>
    </row>
    <row r="6" spans="3:11" ht="13.8" x14ac:dyDescent="0.25">
      <c r="C6" s="12" t="s">
        <v>2</v>
      </c>
      <c r="D6">
        <v>535.91</v>
      </c>
    </row>
    <row r="7" spans="3:11" ht="13.8" x14ac:dyDescent="0.25">
      <c r="C7" s="12" t="s">
        <v>3</v>
      </c>
      <c r="D7">
        <v>3304.0899999999997</v>
      </c>
    </row>
    <row r="8" spans="3:11" ht="13.8" x14ac:dyDescent="0.25">
      <c r="C8" s="12" t="s">
        <v>4</v>
      </c>
      <c r="D8">
        <v>143.76</v>
      </c>
      <c r="K8" s="84"/>
    </row>
    <row r="9" spans="3:11" ht="13.8" x14ac:dyDescent="0.25">
      <c r="C9" s="12" t="s">
        <v>5</v>
      </c>
      <c r="K9" s="84"/>
    </row>
    <row r="10" spans="3:11" ht="13.8" x14ac:dyDescent="0.25">
      <c r="C10" s="12" t="s">
        <v>6</v>
      </c>
      <c r="D10">
        <v>108.76</v>
      </c>
      <c r="K10" s="84"/>
    </row>
    <row r="11" spans="3:11" ht="13.8" x14ac:dyDescent="0.25">
      <c r="C11" s="12" t="s">
        <v>7</v>
      </c>
      <c r="D11">
        <v>19.13</v>
      </c>
    </row>
    <row r="12" spans="3:11" ht="13.8" x14ac:dyDescent="0.25">
      <c r="C12" s="12" t="s">
        <v>8</v>
      </c>
    </row>
    <row r="13" spans="3:11" ht="13.8" x14ac:dyDescent="0.25">
      <c r="C13" s="12" t="s">
        <v>9</v>
      </c>
    </row>
    <row r="14" spans="3:11" ht="13.8" x14ac:dyDescent="0.25">
      <c r="C14" s="12" t="s">
        <v>10</v>
      </c>
    </row>
    <row r="15" spans="3:11" ht="13.8" x14ac:dyDescent="0.25">
      <c r="C15" s="12" t="s">
        <v>11</v>
      </c>
    </row>
    <row r="16" spans="3:11" ht="27.6" x14ac:dyDescent="0.25">
      <c r="C16" s="12" t="s">
        <v>70</v>
      </c>
      <c r="D16">
        <v>235.46</v>
      </c>
    </row>
    <row r="17" spans="3:4" ht="13.8" x14ac:dyDescent="0.25">
      <c r="C17" s="12" t="s">
        <v>12</v>
      </c>
    </row>
    <row r="18" spans="3:4" ht="13.8" x14ac:dyDescent="0.25">
      <c r="C18" s="12" t="s">
        <v>13</v>
      </c>
    </row>
    <row r="19" spans="3:4" ht="13.8" x14ac:dyDescent="0.25">
      <c r="C19" s="12" t="s">
        <v>14</v>
      </c>
      <c r="D19">
        <v>253.63</v>
      </c>
    </row>
    <row r="20" spans="3:4" ht="13.8" x14ac:dyDescent="0.25">
      <c r="C20" s="12" t="s">
        <v>15</v>
      </c>
      <c r="D20">
        <v>75.959999999999994</v>
      </c>
    </row>
    <row r="21" spans="3:4" ht="13.8" x14ac:dyDescent="0.25">
      <c r="C21" s="12" t="s">
        <v>16</v>
      </c>
      <c r="D21">
        <v>183.52999999999997</v>
      </c>
    </row>
    <row r="22" spans="3:4" ht="13.8" x14ac:dyDescent="0.25">
      <c r="C22" s="12" t="s">
        <v>17</v>
      </c>
    </row>
    <row r="23" spans="3:4" ht="13.8" x14ac:dyDescent="0.25">
      <c r="C23" s="12" t="s">
        <v>18</v>
      </c>
    </row>
    <row r="24" spans="3:4" ht="13.8" x14ac:dyDescent="0.25">
      <c r="C24" s="12" t="s">
        <v>19</v>
      </c>
      <c r="D24">
        <v>27.04</v>
      </c>
    </row>
    <row r="25" spans="3:4" ht="13.8" x14ac:dyDescent="0.25">
      <c r="C25" s="12" t="s">
        <v>20</v>
      </c>
    </row>
    <row r="26" spans="3:4" ht="13.8" x14ac:dyDescent="0.25">
      <c r="C26" s="12" t="s">
        <v>21</v>
      </c>
      <c r="D26">
        <v>710.25</v>
      </c>
    </row>
    <row r="27" spans="3:4" ht="13.8" x14ac:dyDescent="0.25">
      <c r="C27" s="12" t="s">
        <v>22</v>
      </c>
    </row>
    <row r="28" spans="3:4" ht="13.8" x14ac:dyDescent="0.25">
      <c r="C28" s="12" t="s">
        <v>23</v>
      </c>
    </row>
    <row r="29" spans="3:4" ht="13.8" x14ac:dyDescent="0.25">
      <c r="C29" s="21" t="s">
        <v>24</v>
      </c>
      <c r="D29">
        <v>6525.5099999999993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ESPACIOS FÍSICOS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SANTIAGO</cp:lastModifiedBy>
  <dcterms:created xsi:type="dcterms:W3CDTF">2019-09-10T14:04:44Z</dcterms:created>
  <dcterms:modified xsi:type="dcterms:W3CDTF">2024-10-21T17:15:08Z</dcterms:modified>
</cp:coreProperties>
</file>