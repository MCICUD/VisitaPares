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2-3\BIENESTAR\"/>
    </mc:Choice>
  </mc:AlternateContent>
  <xr:revisionPtr revIDLastSave="3" documentId="8_{A5CE5DF9-1FFD-44F8-BEDB-F3945A3C0FB8}" xr6:coauthVersionLast="47" xr6:coauthVersionMax="47" xr10:uidLastSave="{F51940A5-581D-46DD-BCF8-16FC0F6E961D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Hoja1!$A$3:$AF$3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9" i="1" l="1"/>
  <c r="AA89" i="1"/>
  <c r="Z89" i="1"/>
  <c r="Y89" i="1"/>
  <c r="X89" i="1"/>
  <c r="W89" i="1"/>
  <c r="L89" i="1"/>
  <c r="K89" i="1"/>
  <c r="J89" i="1"/>
  <c r="I89" i="1"/>
  <c r="H89" i="1"/>
  <c r="G89" i="1"/>
  <c r="F89" i="1"/>
  <c r="E89" i="1"/>
  <c r="D89" i="1"/>
  <c r="C89" i="1"/>
</calcChain>
</file>

<file path=xl/sharedStrings.xml><?xml version="1.0" encoding="utf-8"?>
<sst xmlns="http://schemas.openxmlformats.org/spreadsheetml/2006/main" count="153" uniqueCount="111">
  <si>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</si>
  <si>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</si>
  <si>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</si>
  <si>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</si>
  <si>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</si>
  <si>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</si>
  <si>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</si>
  <si>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</si>
  <si>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</si>
  <si>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</si>
  <si>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</si>
  <si>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</si>
  <si>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</si>
  <si>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</si>
  <si>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</si>
  <si>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</si>
  <si>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</si>
  <si>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2022-3</t>
  </si>
  <si>
    <t>Número de actividades realizadas</t>
  </si>
  <si>
    <t>Número de administrativos atendidos</t>
  </si>
  <si>
    <t>CIENCIAS Y EDUCACIÓN</t>
  </si>
  <si>
    <t>DOCTORADO NTERINSTITUCIONAL EN EDUCACIÓN</t>
  </si>
  <si>
    <t>DOCTORADO EN ESTUDIOS SOCIALES</t>
  </si>
  <si>
    <t xml:space="preserve">MAESTRÍA EN EDUCACIÓN PARA LA PAZ </t>
  </si>
  <si>
    <t>MAESTRÍA EN LINGUÍSTICA APLICADA A LA ENSEÑANZA DEL INGLES</t>
  </si>
  <si>
    <t>MAESTRÍA EN EDUCACIÓN</t>
  </si>
  <si>
    <t>MAESTRÍA EN PEDAGOGÍA DE LA LENGUA MATERNA</t>
  </si>
  <si>
    <t>MAESTRÍA EN COMUNICACIÓN EDUCACIÓN</t>
  </si>
  <si>
    <t>MAESTRÍA EN INVESTIGACIÓN SOCIAL INTERDISCIPLINARIA</t>
  </si>
  <si>
    <t>MAESTRÍA EN EDUCACIÓN EN TECNOLOGÍA VIRTUAL</t>
  </si>
  <si>
    <t>MAESTRÍA EN INFANCIA Y CULTURA</t>
  </si>
  <si>
    <t>ESPECIALIZACIÓN EN DESARROLLO HUMANO CON ÉNFASIS EN PROCESOS AFECTIVOS Y CREATIVIDAD</t>
  </si>
  <si>
    <t>ESPECIALIZACIÓN EN EDUCACIÓN EN TECNOLOGÍA</t>
  </si>
  <si>
    <t>ESPECIALIZACIÓN EN EDUCACIÓN Y GESTIÓN AMBIENTAL</t>
  </si>
  <si>
    <t>ESPECIALIZACIÓN EN GERENCIA DE PROYECTOS EDUCATIVOS INSTITUCIONALES</t>
  </si>
  <si>
    <t>ESPECIALIZACIÓN EN INFANCIA CULTURA Y DESARROLLO</t>
  </si>
  <si>
    <t xml:space="preserve">ARCHIVÍSTICA Y GESTIÓN DE LA INFORMACIÓN DIGITAL </t>
  </si>
  <si>
    <t>LICENCIATURA EN BIOLOGÍA</t>
  </si>
  <si>
    <t>LICENCIATURA EN CIENCIAS SOCIALES</t>
  </si>
  <si>
    <t>LICENCIATURA EN EDUCACIÓN ARTÍSTICA</t>
  </si>
  <si>
    <t>LICENCIATURA EN HUMANIDADES Y LENGUA CASTELLANA</t>
  </si>
  <si>
    <t>LICENCIATURA EN LENGUAS EXTRANJERAS CON ÉNFASIS EN INGLÉS</t>
  </si>
  <si>
    <t>LICENCIATURA EN MATEMÁTICAS</t>
  </si>
  <si>
    <t>LICENCIATURA EN FÍSICA</t>
  </si>
  <si>
    <t>LICENCIATURA EN EDUCACIÓN INFANTIL</t>
  </si>
  <si>
    <t>LICENCIATURA EN QUIMICA</t>
  </si>
  <si>
    <t>COMUNICACIÓN SOCIAL Y PERIODISMO</t>
  </si>
  <si>
    <t>FÍSICA</t>
  </si>
  <si>
    <t>QUÍMICA</t>
  </si>
  <si>
    <t>MATEMATICAS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</si>
  <si>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</si>
  <si>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</si>
  <si>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</si>
  <si>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</si>
  <si>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</si>
  <si>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</si>
  <si>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</si>
  <si>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</si>
  <si>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</si>
  <si>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</si>
  <si>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</si>
  <si>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</si>
  <si>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</si>
  <si>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</si>
  <si>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</si>
  <si>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</si>
  <si>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</si>
  <si>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</si>
  <si>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</si>
  <si>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</si>
  <si>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</si>
  <si>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</si>
  <si>
    <t>MEDIO AMBIENTE Y RECURSOS NATURALES</t>
  </si>
  <si>
    <t>MAESTRÍA EN MANEJO, USO Y CONSERVACION DEL BOSQUE</t>
  </si>
  <si>
    <t>MAESTRÍA EN DESARROLLO SUSTENTABLE Y GESTIÓN AMBIENTAL</t>
  </si>
  <si>
    <t>ESPECIALIZACIÓN EN AMBIENTE Y DESARROLLO LOCAL</t>
  </si>
  <si>
    <t>ESPECIALIZACIÓN EN DISEÑO DE VIAS URBANAS,TRANSITO Y TRANSPORTE</t>
  </si>
  <si>
    <t xml:space="preserve">ESPECIALIZACIÓN EN GERENCIA DE RECURSOS NATURALES </t>
  </si>
  <si>
    <t>INGENIERÍA AMBIENTAL</t>
  </si>
  <si>
    <t>INGENIERIA FORESTAL</t>
  </si>
  <si>
    <t>INGENIERÍA TOPOGRAFICA</t>
  </si>
  <si>
    <t>INGENIERÍA SANITARIA</t>
  </si>
  <si>
    <t>ADMINISTRACIÓN DEPORTIVA</t>
  </si>
  <si>
    <t>ADMINISTRACIÓN AMBIENTAL</t>
  </si>
  <si>
    <t>TECNOLOGIA EN GESTION AMBIENTAL Y SERVICIOS PUBLICOS</t>
  </si>
  <si>
    <t>TECNOLOGIA EN SANEAMIENTO AMBIENTAL</t>
  </si>
  <si>
    <t xml:space="preserve">TECNOLOGIA EN LEVANTAMIENTOS TOPOGRÁFICOS </t>
  </si>
  <si>
    <t>TECNOLÓGICA</t>
  </si>
  <si>
    <t xml:space="preserve">MAESTRÍA EN INGENIERÍA CIVIL </t>
  </si>
  <si>
    <t xml:space="preserve">INGENIERÍA CIVIL POR CICLOS PROPEDÉUTICOS </t>
  </si>
  <si>
    <t xml:space="preserve">TECNOLOGIA EN CONSTRUCCIONES CIVILES POR CICLOS PROPEDÉUTICOS </t>
  </si>
  <si>
    <t xml:space="preserve">INGENIERÍA EN TELECOMUNICACIONES POR CICLOS PROPEDÉUTICOS  </t>
  </si>
  <si>
    <t xml:space="preserve">INGENIERÍA EN CONTROL POR CICLOS PROPEDÉUTICOS </t>
  </si>
  <si>
    <t xml:space="preserve">TECNOLOGIA EN ELECTRONICA POR CICLOSPROPEDÉUTICOS </t>
  </si>
  <si>
    <t xml:space="preserve">INGENIERÍA EN TELEMATICA POR CICLOS PROPEDÉUTICOS </t>
  </si>
  <si>
    <t xml:space="preserve">TECNOLOGIA EN SISTEMATIZACION DE DATOS POR CICLOS PROPEDÉUTICOS </t>
  </si>
  <si>
    <t xml:space="preserve">INGENIERÍA MECANICA POR CICLOS PROPEDÉUTICOS  </t>
  </si>
  <si>
    <t xml:space="preserve">TECNOLOGIA EN MECÁNICA INDUSTRIAL POR CICLOS PROPEDÉUTICOS </t>
  </si>
  <si>
    <t xml:space="preserve">INGENIERIA ELECTRICA POR CICLOS PROPEDÉUTICOS </t>
  </si>
  <si>
    <t xml:space="preserve">TECNOLOGÍA EN SISTEMAS ELÉCTRICOS DE MEDIA Y BAJA TENSIÓN POR CICLOS PROPEDÉUTICOS </t>
  </si>
  <si>
    <t xml:space="preserve">INGENIERÍA DE PRODUCCIÓN POR CICLOS PROPEDÉUTICOS </t>
  </si>
  <si>
    <t>TECNOLOGIA INDUSTRIAL</t>
  </si>
  <si>
    <t xml:space="preserve">TECNOLOGÍA EN GESTIÓN DE LA PRODUCCIÓN INDUSTRIAL POR CICLOS PROPEDÉUTICOS </t>
  </si>
  <si>
    <t>ARTES ASAB</t>
  </si>
  <si>
    <t>DOCTORADO EN ESTUDIOS ARTISTICOS</t>
  </si>
  <si>
    <t>MAESTRÍA  EN ESTUDIOS ARTISTICOS</t>
  </si>
  <si>
    <t>ARTE DANZARIO</t>
  </si>
  <si>
    <t>ARTES ESCENICAS</t>
  </si>
  <si>
    <t>ARTES MUSICALES</t>
  </si>
  <si>
    <t>ARTES PLASTICAS Y VISUALES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</si>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</sst>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89"/>
  <sheetViews>
    <sheetView tabSelected="1" zoomScale="107" zoomScaleNormal="107" workbookViewId="0">
      <selection activeCell="B94" sqref="B94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5" width="23.7109375" style="3" customWidth="1"/>
    <col min="26" max="26" width="24.7109375" style="3" customWidth="1"/>
    <col min="27" max="27" width="24.42578125" style="3" customWidth="1"/>
    <col min="28" max="29" width="24.5703125" style="3" customWidth="1"/>
    <col min="30" max="31" width="28.85546875" style="3" customWidth="1"/>
    <col min="32" max="32" width="28.42578125" style="3" customWidth="1"/>
    <col min="33" max="16384" width="11.42578125" style="3"/>
  </cols>
  <sheetData>
    <row r="1" spans="1:32" s="2" customFormat="1" ht="24.75" customHeight="1">
      <c r="A1" s="23" t="s">
        <v>0</v>
      </c>
      <c r="B1" s="23" t="s">
        <v>1</v>
      </c>
      <c r="C1" s="21" t="s">
        <v>2</v>
      </c>
      <c r="D1" s="22"/>
      <c r="E1" s="21" t="s">
        <v>3</v>
      </c>
      <c r="F1" s="22"/>
      <c r="G1" s="19" t="s">
        <v>4</v>
      </c>
      <c r="H1" s="20"/>
      <c r="I1" s="19" t="s">
        <v>5</v>
      </c>
      <c r="J1" s="20"/>
      <c r="K1" s="19" t="s">
        <v>6</v>
      </c>
      <c r="L1" s="20"/>
      <c r="M1" s="19" t="s">
        <v>7</v>
      </c>
      <c r="N1" s="20"/>
      <c r="O1" s="19" t="s">
        <v>8</v>
      </c>
      <c r="P1" s="20"/>
      <c r="Q1" s="19" t="s">
        <v>9</v>
      </c>
      <c r="R1" s="20"/>
      <c r="S1" s="17" t="s">
        <v>10</v>
      </c>
      <c r="T1" s="13"/>
      <c r="U1" s="13" t="s">
        <v>11</v>
      </c>
      <c r="V1" s="18"/>
      <c r="W1" s="15" t="s">
        <v>12</v>
      </c>
      <c r="X1" s="16"/>
      <c r="Y1" s="15" t="s">
        <v>13</v>
      </c>
      <c r="Z1" s="16"/>
      <c r="AA1" s="15" t="s">
        <v>14</v>
      </c>
      <c r="AB1" s="16"/>
      <c r="AC1" s="17" t="s">
        <v>15</v>
      </c>
      <c r="AD1" s="13"/>
      <c r="AE1" s="13" t="s">
        <v>16</v>
      </c>
      <c r="AF1" s="13"/>
    </row>
    <row r="2" spans="1:32" ht="27" customHeight="1">
      <c r="A2" s="24"/>
      <c r="B2" s="25"/>
      <c r="C2" s="14" t="s">
        <v>17</v>
      </c>
      <c r="D2" s="14"/>
      <c r="E2" s="14" t="s">
        <v>17</v>
      </c>
      <c r="F2" s="14"/>
      <c r="G2" s="14" t="s">
        <v>17</v>
      </c>
      <c r="H2" s="14"/>
      <c r="I2" s="14" t="s">
        <v>17</v>
      </c>
      <c r="J2" s="14"/>
      <c r="K2" s="14" t="s">
        <v>17</v>
      </c>
      <c r="L2" s="14"/>
      <c r="M2" s="14" t="s">
        <v>17</v>
      </c>
      <c r="N2" s="14"/>
      <c r="O2" s="14" t="s">
        <v>17</v>
      </c>
      <c r="P2" s="14"/>
      <c r="Q2" s="14" t="s">
        <v>17</v>
      </c>
      <c r="R2" s="14"/>
      <c r="S2" s="14" t="s">
        <v>17</v>
      </c>
      <c r="T2" s="14"/>
      <c r="U2" s="14" t="s">
        <v>17</v>
      </c>
      <c r="V2" s="14"/>
      <c r="W2" s="14" t="s">
        <v>17</v>
      </c>
      <c r="X2" s="14"/>
      <c r="Y2" s="14" t="s">
        <v>17</v>
      </c>
      <c r="Z2" s="14"/>
      <c r="AA2" s="14" t="s">
        <v>17</v>
      </c>
      <c r="AB2" s="14"/>
      <c r="AC2" s="14" t="s">
        <v>17</v>
      </c>
      <c r="AD2" s="14"/>
      <c r="AE2" s="14" t="s">
        <v>17</v>
      </c>
      <c r="AF2" s="14"/>
    </row>
    <row r="3" spans="1:32" ht="33" customHeight="1">
      <c r="A3" s="25"/>
      <c r="B3" s="9"/>
      <c r="C3" s="12" t="s">
        <v>18</v>
      </c>
      <c r="D3" s="12" t="s">
        <v>19</v>
      </c>
      <c r="E3" s="12" t="s">
        <v>18</v>
      </c>
      <c r="F3" s="12" t="s">
        <v>19</v>
      </c>
      <c r="G3" s="12" t="s">
        <v>18</v>
      </c>
      <c r="H3" s="12" t="s">
        <v>19</v>
      </c>
      <c r="I3" s="12" t="s">
        <v>18</v>
      </c>
      <c r="J3" s="12" t="s">
        <v>19</v>
      </c>
      <c r="K3" s="12" t="s">
        <v>18</v>
      </c>
      <c r="L3" s="12" t="s">
        <v>19</v>
      </c>
      <c r="M3" s="12" t="s">
        <v>18</v>
      </c>
      <c r="N3" s="12" t="s">
        <v>19</v>
      </c>
      <c r="O3" s="12" t="s">
        <v>18</v>
      </c>
      <c r="P3" s="12" t="s">
        <v>19</v>
      </c>
      <c r="Q3" s="12" t="s">
        <v>18</v>
      </c>
      <c r="R3" s="12" t="s">
        <v>19</v>
      </c>
      <c r="S3" s="12" t="s">
        <v>18</v>
      </c>
      <c r="T3" s="12" t="s">
        <v>19</v>
      </c>
      <c r="U3" s="12" t="s">
        <v>18</v>
      </c>
      <c r="V3" s="12" t="s">
        <v>19</v>
      </c>
      <c r="W3" s="12" t="s">
        <v>18</v>
      </c>
      <c r="X3" s="12" t="s">
        <v>19</v>
      </c>
      <c r="Y3" s="12" t="s">
        <v>18</v>
      </c>
      <c r="Z3" s="12" t="s">
        <v>19</v>
      </c>
      <c r="AA3" s="12" t="s">
        <v>18</v>
      </c>
      <c r="AB3" s="12" t="s">
        <v>19</v>
      </c>
      <c r="AC3" s="12" t="s">
        <v>18</v>
      </c>
      <c r="AD3" s="12" t="s">
        <v>19</v>
      </c>
      <c r="AE3" s="12" t="s">
        <v>18</v>
      </c>
      <c r="AF3" s="12" t="s">
        <v>19</v>
      </c>
    </row>
    <row r="4" spans="1:32" ht="15" hidden="1" customHeight="1">
      <c r="A4" s="27" t="s">
        <v>20</v>
      </c>
      <c r="B4" s="1" t="s">
        <v>21</v>
      </c>
      <c r="C4" s="10"/>
      <c r="D4" s="11"/>
      <c r="E4" s="11"/>
      <c r="F4" s="4"/>
      <c r="G4" s="4"/>
      <c r="H4" s="5"/>
      <c r="I4" s="5"/>
      <c r="J4" s="4"/>
      <c r="K4" s="4"/>
      <c r="L4" s="6"/>
      <c r="M4" s="6"/>
      <c r="N4" s="6"/>
      <c r="O4" s="6"/>
      <c r="P4" s="6"/>
      <c r="Q4" s="6"/>
      <c r="R4" s="4"/>
      <c r="S4" s="4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5" hidden="1" customHeight="1">
      <c r="A5" s="27"/>
      <c r="B5" s="1" t="s">
        <v>22</v>
      </c>
      <c r="C5" s="1"/>
      <c r="D5" s="4"/>
      <c r="E5" s="4"/>
      <c r="F5" s="4"/>
      <c r="G5" s="4"/>
      <c r="H5" s="5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hidden="1" customHeight="1">
      <c r="A6" s="27"/>
      <c r="B6" s="1" t="s">
        <v>23</v>
      </c>
      <c r="C6" s="1"/>
      <c r="D6" s="4"/>
      <c r="E6" s="4"/>
      <c r="F6" s="4"/>
      <c r="G6" s="4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5" hidden="1" customHeight="1">
      <c r="A7" s="27"/>
      <c r="B7" s="1" t="s">
        <v>24</v>
      </c>
      <c r="C7" s="1"/>
      <c r="D7" s="4"/>
      <c r="E7" s="4"/>
      <c r="F7" s="4"/>
      <c r="G7" s="4"/>
      <c r="H7" s="5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5" hidden="1" customHeight="1">
      <c r="A8" s="27"/>
      <c r="B8" s="1" t="s">
        <v>25</v>
      </c>
      <c r="C8" s="1"/>
      <c r="D8" s="4"/>
      <c r="E8" s="4"/>
      <c r="F8" s="4"/>
      <c r="G8" s="4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5" hidden="1" customHeight="1">
      <c r="A9" s="27"/>
      <c r="B9" s="1" t="s">
        <v>26</v>
      </c>
      <c r="C9" s="1"/>
      <c r="D9" s="4"/>
      <c r="E9" s="4"/>
      <c r="F9" s="4"/>
      <c r="G9" s="4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5" hidden="1" customHeight="1">
      <c r="A10" s="27"/>
      <c r="B10" s="1" t="s">
        <v>27</v>
      </c>
      <c r="C10" s="1"/>
      <c r="D10" s="4"/>
      <c r="E10" s="4"/>
      <c r="F10" s="4"/>
      <c r="G10" s="4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5" hidden="1" customHeight="1">
      <c r="A11" s="27"/>
      <c r="B11" s="1" t="s">
        <v>28</v>
      </c>
      <c r="C11" s="1"/>
      <c r="D11" s="4"/>
      <c r="E11" s="4"/>
      <c r="F11" s="4"/>
      <c r="G11" s="4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5" hidden="1" customHeight="1">
      <c r="A12" s="27"/>
      <c r="B12" s="1" t="s">
        <v>29</v>
      </c>
      <c r="C12" s="1"/>
      <c r="D12" s="4"/>
      <c r="E12" s="4"/>
      <c r="F12" s="4"/>
      <c r="G12" s="4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5" hidden="1" customHeight="1">
      <c r="A13" s="27"/>
      <c r="B13" s="1" t="s">
        <v>30</v>
      </c>
      <c r="C13" s="1"/>
      <c r="D13" s="4"/>
      <c r="E13" s="4"/>
      <c r="F13" s="4"/>
      <c r="G13" s="4"/>
      <c r="H13" s="5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5" hidden="1" customHeight="1">
      <c r="A14" s="27"/>
      <c r="B14" s="1" t="s">
        <v>31</v>
      </c>
      <c r="C14" s="1"/>
      <c r="D14" s="8"/>
      <c r="E14" s="8"/>
      <c r="F14" s="4"/>
      <c r="G14" s="4"/>
      <c r="H14" s="5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5" hidden="1" customHeight="1">
      <c r="A15" s="27"/>
      <c r="B15" s="1" t="s">
        <v>32</v>
      </c>
      <c r="C15" s="1"/>
      <c r="D15" s="4"/>
      <c r="E15" s="4"/>
      <c r="F15" s="4"/>
      <c r="G15" s="4"/>
      <c r="H15" s="5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5" hidden="1" customHeight="1">
      <c r="A16" s="27"/>
      <c r="B16" s="1" t="s">
        <v>33</v>
      </c>
      <c r="C16" s="1"/>
      <c r="D16" s="4"/>
      <c r="E16" s="4"/>
      <c r="F16" s="4"/>
      <c r="G16" s="4"/>
      <c r="H16" s="5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5" hidden="1" customHeight="1">
      <c r="A17" s="27"/>
      <c r="B17" s="1" t="s">
        <v>34</v>
      </c>
      <c r="C17" s="1"/>
      <c r="D17" s="5"/>
      <c r="E17" s="5"/>
      <c r="F17" s="5"/>
      <c r="G17" s="5"/>
      <c r="H17" s="7"/>
      <c r="I17" s="7"/>
      <c r="J17" s="5"/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5" hidden="1" customHeight="1">
      <c r="A18" s="27"/>
      <c r="B18" s="1" t="s">
        <v>35</v>
      </c>
      <c r="C18" s="1"/>
      <c r="D18" s="4"/>
      <c r="E18" s="4"/>
      <c r="F18" s="4"/>
      <c r="G18" s="4"/>
      <c r="H18" s="5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5" hidden="1" customHeight="1">
      <c r="A19" s="27"/>
      <c r="B19" s="1" t="s">
        <v>36</v>
      </c>
      <c r="C19" s="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5"/>
      <c r="AA19" s="5"/>
      <c r="AB19" s="5"/>
      <c r="AC19" s="5"/>
      <c r="AD19" s="5"/>
      <c r="AE19" s="5"/>
      <c r="AF19" s="5"/>
    </row>
    <row r="20" spans="1:32" ht="15" hidden="1" customHeight="1">
      <c r="A20" s="27"/>
      <c r="B20" s="1" t="s">
        <v>37</v>
      </c>
      <c r="C20" s="1"/>
      <c r="D20" s="4"/>
      <c r="E20" s="4"/>
      <c r="F20" s="4"/>
      <c r="G20" s="4"/>
      <c r="H20" s="5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5" hidden="1" customHeight="1">
      <c r="A21" s="27"/>
      <c r="B21" s="1" t="s">
        <v>38</v>
      </c>
      <c r="C21" s="1"/>
      <c r="D21" s="4"/>
      <c r="E21" s="4"/>
      <c r="F21" s="4"/>
      <c r="G21" s="4"/>
      <c r="H21" s="5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5" hidden="1" customHeight="1">
      <c r="A22" s="27"/>
      <c r="B22" s="1" t="s">
        <v>39</v>
      </c>
      <c r="C22" s="1"/>
      <c r="D22" s="4"/>
      <c r="E22" s="4"/>
      <c r="F22" s="4"/>
      <c r="G22" s="4"/>
      <c r="H22" s="5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5" hidden="1" customHeight="1">
      <c r="A23" s="27"/>
      <c r="B23" s="1" t="s">
        <v>40</v>
      </c>
      <c r="C23" s="1"/>
      <c r="D23" s="4"/>
      <c r="E23" s="4"/>
      <c r="F23" s="4"/>
      <c r="G23" s="4"/>
      <c r="H23" s="5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" hidden="1" customHeight="1">
      <c r="A24" s="27"/>
      <c r="B24" s="1" t="s">
        <v>41</v>
      </c>
      <c r="C24" s="1"/>
      <c r="D24" s="4"/>
      <c r="E24" s="4"/>
      <c r="F24" s="4"/>
      <c r="G24" s="4"/>
      <c r="H24" s="5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5" hidden="1" customHeight="1">
      <c r="A25" s="27"/>
      <c r="B25" s="1" t="s">
        <v>42</v>
      </c>
      <c r="C25" s="1"/>
      <c r="D25" s="4"/>
      <c r="E25" s="4"/>
      <c r="F25" s="4"/>
      <c r="G25" s="4"/>
      <c r="H25" s="5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" hidden="1" customHeight="1">
      <c r="A26" s="27"/>
      <c r="B26" s="1" t="s">
        <v>43</v>
      </c>
      <c r="C26" s="1"/>
      <c r="D26" s="4"/>
      <c r="E26" s="4"/>
      <c r="F26" s="4"/>
      <c r="G26" s="4"/>
      <c r="H26" s="5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5" hidden="1" customHeight="1">
      <c r="A27" s="27"/>
      <c r="B27" s="1" t="s">
        <v>44</v>
      </c>
      <c r="C27" s="1"/>
      <c r="D27" s="5"/>
      <c r="E27" s="5"/>
      <c r="F27" s="5"/>
      <c r="G27" s="5"/>
      <c r="H27" s="7"/>
      <c r="I27" s="7"/>
      <c r="J27" s="5"/>
      <c r="K27" s="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5"/>
      <c r="AA27" s="5"/>
      <c r="AB27" s="5"/>
      <c r="AC27" s="5"/>
      <c r="AD27" s="5"/>
      <c r="AE27" s="5"/>
      <c r="AF27" s="5"/>
    </row>
    <row r="28" spans="1:32" ht="15" hidden="1" customHeight="1">
      <c r="A28" s="27"/>
      <c r="B28" s="1" t="s">
        <v>45</v>
      </c>
      <c r="C28" s="1"/>
      <c r="D28" s="4"/>
      <c r="E28" s="4"/>
      <c r="F28" s="4"/>
      <c r="G28" s="4"/>
      <c r="H28" s="5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5" hidden="1" customHeight="1">
      <c r="A29" s="27"/>
      <c r="B29" s="1" t="s">
        <v>46</v>
      </c>
      <c r="C29" s="1"/>
      <c r="D29" s="4"/>
      <c r="E29" s="4"/>
      <c r="F29" s="4"/>
      <c r="G29" s="4"/>
      <c r="H29" s="5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5" hidden="1" customHeight="1">
      <c r="A30" s="27"/>
      <c r="B30" s="1" t="s">
        <v>47</v>
      </c>
      <c r="C30" s="1"/>
      <c r="D30" s="4"/>
      <c r="E30" s="4"/>
      <c r="F30" s="4"/>
      <c r="G30" s="4"/>
      <c r="H30" s="5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5" hidden="1" customHeight="1">
      <c r="A31" s="27"/>
      <c r="B31" s="1" t="s">
        <v>48</v>
      </c>
      <c r="C31" s="1"/>
      <c r="D31" s="4"/>
      <c r="E31" s="4"/>
      <c r="F31" s="4"/>
      <c r="G31" s="4"/>
      <c r="H31" s="5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5" hidden="1" customHeight="1">
      <c r="A32" s="27"/>
      <c r="B32" s="1" t="s">
        <v>49</v>
      </c>
      <c r="C32" s="1"/>
      <c r="D32" s="4"/>
      <c r="E32" s="4"/>
      <c r="F32" s="4"/>
      <c r="G32" s="4"/>
      <c r="H32" s="5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5" hidden="1" customHeight="1">
      <c r="A33" s="27" t="s">
        <v>50</v>
      </c>
      <c r="B33" s="1" t="s">
        <v>51</v>
      </c>
      <c r="C33" s="1"/>
      <c r="D33" s="4"/>
      <c r="E33" s="4"/>
      <c r="F33" s="5"/>
      <c r="G33" s="5"/>
      <c r="H33" s="5"/>
      <c r="I33" s="5"/>
      <c r="J33" s="4"/>
      <c r="K33" s="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5"/>
      <c r="AA33" s="5"/>
      <c r="AB33" s="5"/>
      <c r="AC33" s="5"/>
      <c r="AD33" s="5"/>
      <c r="AE33" s="5"/>
      <c r="AF33" s="5"/>
    </row>
    <row r="34" spans="1:32" ht="15" hidden="1" customHeight="1">
      <c r="A34" s="27"/>
      <c r="B34" s="1" t="s">
        <v>52</v>
      </c>
      <c r="C34" s="1"/>
      <c r="D34" s="4"/>
      <c r="E34" s="4"/>
      <c r="F34" s="4"/>
      <c r="G34" s="4"/>
      <c r="H34" s="5"/>
      <c r="I34" s="5"/>
      <c r="J34" s="4"/>
      <c r="K34" s="4"/>
      <c r="L34" s="4"/>
      <c r="M34" s="4"/>
      <c r="N34" s="4"/>
      <c r="O34" s="4"/>
      <c r="P34" s="4"/>
      <c r="Q34" s="4"/>
      <c r="R34" s="7"/>
      <c r="S34" s="7"/>
      <c r="T34" s="7"/>
      <c r="U34" s="7"/>
      <c r="V34" s="7"/>
      <c r="W34" s="7"/>
      <c r="X34" s="7"/>
      <c r="Y34" s="7"/>
      <c r="Z34" s="5"/>
      <c r="AA34" s="5"/>
      <c r="AB34" s="5"/>
      <c r="AC34" s="5"/>
      <c r="AD34" s="5"/>
      <c r="AE34" s="5"/>
      <c r="AF34" s="5"/>
    </row>
    <row r="35" spans="1:32" ht="15" customHeight="1">
      <c r="A35" s="27"/>
      <c r="B35" s="1" t="s">
        <v>53</v>
      </c>
      <c r="C35" s="1"/>
      <c r="D35" s="4"/>
      <c r="E35" s="4"/>
      <c r="F35" s="4"/>
      <c r="G35" s="4"/>
      <c r="H35" s="5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7"/>
      <c r="Y35" s="7"/>
      <c r="Z35" s="5"/>
      <c r="AA35" s="5"/>
      <c r="AB35" s="5"/>
      <c r="AC35" s="5"/>
      <c r="AD35" s="5"/>
      <c r="AE35" s="5"/>
      <c r="AF35" s="5"/>
    </row>
    <row r="36" spans="1:32" ht="15" hidden="1" customHeight="1">
      <c r="A36" s="27"/>
      <c r="B36" s="1" t="s">
        <v>54</v>
      </c>
      <c r="C36" s="1"/>
      <c r="D36" s="4"/>
      <c r="E36" s="4"/>
      <c r="F36" s="4"/>
      <c r="G36" s="4"/>
      <c r="H36" s="5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7"/>
      <c r="Y36" s="7"/>
      <c r="Z36" s="5"/>
      <c r="AA36" s="5"/>
      <c r="AB36" s="5"/>
      <c r="AC36" s="5"/>
      <c r="AD36" s="5"/>
      <c r="AE36" s="5"/>
      <c r="AF36" s="5"/>
    </row>
    <row r="37" spans="1:32" ht="15" hidden="1" customHeight="1">
      <c r="A37" s="27"/>
      <c r="B37" s="1" t="s">
        <v>55</v>
      </c>
      <c r="C37" s="1"/>
      <c r="D37" s="5"/>
      <c r="E37" s="5"/>
      <c r="F37" s="5"/>
      <c r="G37" s="5"/>
      <c r="H37" s="5"/>
      <c r="I37" s="5"/>
      <c r="J37" s="5"/>
      <c r="K37" s="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5"/>
      <c r="AA37" s="5"/>
      <c r="AB37" s="5"/>
      <c r="AC37" s="5"/>
      <c r="AD37" s="5"/>
      <c r="AE37" s="5"/>
      <c r="AF37" s="5"/>
    </row>
    <row r="38" spans="1:32" ht="15" hidden="1" customHeight="1">
      <c r="A38" s="27"/>
      <c r="B38" s="1" t="s">
        <v>56</v>
      </c>
      <c r="C38" s="1"/>
      <c r="D38" s="4"/>
      <c r="E38" s="4"/>
      <c r="F38" s="4"/>
      <c r="G38" s="4"/>
      <c r="H38" s="5"/>
      <c r="I38" s="5"/>
      <c r="J38" s="4"/>
      <c r="K38" s="4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5"/>
      <c r="AA38" s="5"/>
      <c r="AB38" s="5"/>
      <c r="AC38" s="5"/>
      <c r="AD38" s="5"/>
      <c r="AE38" s="5"/>
      <c r="AF38" s="5"/>
    </row>
    <row r="39" spans="1:32" ht="15" hidden="1" customHeight="1">
      <c r="A39" s="27"/>
      <c r="B39" s="1" t="s">
        <v>57</v>
      </c>
      <c r="C39" s="1"/>
      <c r="D39" s="4"/>
      <c r="E39" s="4"/>
      <c r="F39" s="4"/>
      <c r="G39" s="4"/>
      <c r="H39" s="5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5"/>
      <c r="V39" s="5"/>
      <c r="W39" s="5"/>
      <c r="X39" s="7"/>
      <c r="Y39" s="7"/>
      <c r="Z39" s="5"/>
      <c r="AA39" s="5"/>
      <c r="AB39" s="5"/>
      <c r="AC39" s="5"/>
      <c r="AD39" s="5"/>
      <c r="AE39" s="5"/>
      <c r="AF39" s="5"/>
    </row>
    <row r="40" spans="1:32" ht="15" hidden="1" customHeight="1">
      <c r="A40" s="27"/>
      <c r="B40" s="1" t="s">
        <v>58</v>
      </c>
      <c r="C40" s="1"/>
      <c r="D40" s="7"/>
      <c r="E40" s="7"/>
      <c r="F40" s="5"/>
      <c r="G40" s="5"/>
      <c r="H40" s="5"/>
      <c r="I40" s="5"/>
      <c r="J40" s="5"/>
      <c r="K40" s="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5"/>
      <c r="AA40" s="5"/>
      <c r="AB40" s="5"/>
      <c r="AC40" s="5"/>
      <c r="AD40" s="5"/>
      <c r="AE40" s="5"/>
      <c r="AF40" s="5"/>
    </row>
    <row r="41" spans="1:32" ht="15" hidden="1" customHeight="1">
      <c r="A41" s="27"/>
      <c r="B41" s="1" t="s">
        <v>59</v>
      </c>
      <c r="C41" s="1"/>
      <c r="D41" s="7"/>
      <c r="E41" s="7"/>
      <c r="F41" s="5"/>
      <c r="G41" s="5"/>
      <c r="H41" s="5"/>
      <c r="I41" s="5"/>
      <c r="J41" s="5"/>
      <c r="K41" s="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5"/>
      <c r="AA41" s="5"/>
      <c r="AB41" s="5"/>
      <c r="AC41" s="5"/>
      <c r="AD41" s="5"/>
      <c r="AE41" s="5"/>
      <c r="AF41" s="5"/>
    </row>
    <row r="42" spans="1:32" ht="15" hidden="1" customHeight="1">
      <c r="A42" s="27"/>
      <c r="B42" s="1" t="s">
        <v>60</v>
      </c>
      <c r="C42" s="1"/>
      <c r="D42" s="4"/>
      <c r="E42" s="4"/>
      <c r="F42" s="4"/>
      <c r="G42" s="4"/>
      <c r="H42" s="5"/>
      <c r="I42" s="5"/>
      <c r="J42" s="4"/>
      <c r="K42" s="4"/>
      <c r="L42" s="4"/>
      <c r="M42" s="4"/>
      <c r="N42" s="4"/>
      <c r="O42" s="4"/>
      <c r="P42" s="4"/>
      <c r="Q42" s="4"/>
      <c r="R42" s="7"/>
      <c r="S42" s="7"/>
      <c r="T42" s="7"/>
      <c r="U42" s="7"/>
      <c r="V42" s="7"/>
      <c r="W42" s="7"/>
      <c r="X42" s="7"/>
      <c r="Y42" s="7"/>
      <c r="Z42" s="5"/>
      <c r="AA42" s="5"/>
      <c r="AB42" s="5"/>
      <c r="AC42" s="5"/>
      <c r="AD42" s="5"/>
      <c r="AE42" s="5"/>
      <c r="AF42" s="5"/>
    </row>
    <row r="43" spans="1:32" ht="15" hidden="1" customHeight="1">
      <c r="A43" s="27"/>
      <c r="B43" s="1" t="s">
        <v>61</v>
      </c>
      <c r="C43" s="1"/>
      <c r="D43" s="5"/>
      <c r="E43" s="5"/>
      <c r="F43" s="5"/>
      <c r="G43" s="5"/>
      <c r="H43" s="5"/>
      <c r="I43" s="5"/>
      <c r="J43" s="5"/>
      <c r="K43" s="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5"/>
      <c r="AA43" s="5"/>
      <c r="AB43" s="5"/>
      <c r="AC43" s="5"/>
      <c r="AD43" s="5"/>
      <c r="AE43" s="5"/>
      <c r="AF43" s="5"/>
    </row>
    <row r="44" spans="1:32" ht="15" hidden="1" customHeight="1">
      <c r="A44" s="27"/>
      <c r="B44" s="1" t="s">
        <v>62</v>
      </c>
      <c r="C44" s="1"/>
      <c r="D44" s="4"/>
      <c r="E44" s="4"/>
      <c r="F44" s="4"/>
      <c r="G44" s="4"/>
      <c r="H44" s="5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5"/>
      <c r="V44" s="5"/>
      <c r="W44" s="5"/>
      <c r="X44" s="7"/>
      <c r="Y44" s="7"/>
      <c r="Z44" s="5"/>
      <c r="AA44" s="5"/>
      <c r="AB44" s="5"/>
      <c r="AC44" s="5"/>
      <c r="AD44" s="5"/>
      <c r="AE44" s="5"/>
      <c r="AF44" s="5"/>
    </row>
    <row r="45" spans="1:32" ht="15" hidden="1" customHeight="1">
      <c r="A45" s="27"/>
      <c r="B45" s="1" t="s">
        <v>63</v>
      </c>
      <c r="C45" s="1"/>
      <c r="D45" s="5"/>
      <c r="E45" s="5"/>
      <c r="F45" s="5"/>
      <c r="G45" s="5"/>
      <c r="H45" s="7"/>
      <c r="I45" s="7"/>
      <c r="J45" s="5"/>
      <c r="K45" s="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5"/>
      <c r="AA45" s="5"/>
      <c r="AB45" s="5"/>
      <c r="AC45" s="5"/>
      <c r="AD45" s="5"/>
      <c r="AE45" s="5"/>
      <c r="AF45" s="5"/>
    </row>
    <row r="46" spans="1:32" ht="15" hidden="1" customHeight="1">
      <c r="A46" s="27"/>
      <c r="B46" s="1" t="s">
        <v>64</v>
      </c>
      <c r="C46" s="1"/>
      <c r="D46" s="4"/>
      <c r="E46" s="4"/>
      <c r="F46" s="4"/>
      <c r="G46" s="4"/>
      <c r="H46" s="5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5"/>
      <c r="V46" s="5"/>
      <c r="W46" s="5"/>
      <c r="X46" s="7"/>
      <c r="Y46" s="7"/>
      <c r="Z46" s="5"/>
      <c r="AA46" s="5"/>
      <c r="AB46" s="5"/>
      <c r="AC46" s="5"/>
      <c r="AD46" s="5"/>
      <c r="AE46" s="5"/>
      <c r="AF46" s="5"/>
    </row>
    <row r="47" spans="1:32" ht="15" hidden="1" customHeight="1">
      <c r="A47" s="27"/>
      <c r="B47" s="1" t="s">
        <v>65</v>
      </c>
      <c r="C47" s="1"/>
      <c r="D47" s="4"/>
      <c r="E47" s="4"/>
      <c r="F47" s="4"/>
      <c r="G47" s="4"/>
      <c r="H47" s="5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5"/>
      <c r="V47" s="5"/>
      <c r="W47" s="5"/>
      <c r="X47" s="7"/>
      <c r="Y47" s="7"/>
      <c r="Z47" s="5"/>
      <c r="AA47" s="5"/>
      <c r="AB47" s="5"/>
      <c r="AC47" s="5"/>
      <c r="AD47" s="5"/>
      <c r="AE47" s="5"/>
      <c r="AF47" s="5"/>
    </row>
    <row r="48" spans="1:32" ht="15" hidden="1" customHeight="1">
      <c r="A48" s="27"/>
      <c r="B48" s="1" t="s">
        <v>66</v>
      </c>
      <c r="C48" s="1"/>
      <c r="D48" s="4"/>
      <c r="E48" s="4"/>
      <c r="F48" s="4"/>
      <c r="G48" s="4"/>
      <c r="H48" s="5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" hidden="1" customHeight="1">
      <c r="A49" s="27"/>
      <c r="B49" s="1" t="s">
        <v>67</v>
      </c>
      <c r="C49" s="1"/>
      <c r="D49" s="4"/>
      <c r="E49" s="4"/>
      <c r="F49" s="4"/>
      <c r="G49" s="4"/>
      <c r="H49" s="5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" hidden="1" customHeight="1">
      <c r="A50" s="27"/>
      <c r="B50" s="1" t="s">
        <v>68</v>
      </c>
      <c r="C50" s="1"/>
      <c r="D50" s="4"/>
      <c r="E50" s="4"/>
      <c r="F50" s="4"/>
      <c r="G50" s="4"/>
      <c r="H50" s="5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" hidden="1" customHeight="1">
      <c r="A51" s="27"/>
      <c r="B51" s="1" t="s">
        <v>69</v>
      </c>
      <c r="C51" s="1"/>
      <c r="D51" s="4"/>
      <c r="E51" s="4"/>
      <c r="F51" s="4"/>
      <c r="G51" s="4"/>
      <c r="H51" s="5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" hidden="1" customHeight="1">
      <c r="A52" s="27"/>
      <c r="B52" s="1" t="s">
        <v>70</v>
      </c>
      <c r="C52" s="1"/>
      <c r="D52" s="4"/>
      <c r="E52" s="4"/>
      <c r="F52" s="4"/>
      <c r="G52" s="4"/>
      <c r="H52" s="5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" hidden="1" customHeight="1">
      <c r="A53" s="27"/>
      <c r="B53" s="1" t="s">
        <v>71</v>
      </c>
      <c r="C53" s="1"/>
      <c r="D53" s="4"/>
      <c r="E53" s="4"/>
      <c r="F53" s="4"/>
      <c r="G53" s="4"/>
      <c r="H53" s="5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" hidden="1" customHeight="1">
      <c r="A54" s="27" t="s">
        <v>72</v>
      </c>
      <c r="B54" s="1" t="s">
        <v>73</v>
      </c>
      <c r="C54" s="1"/>
      <c r="D54" s="4"/>
      <c r="E54" s="4"/>
      <c r="F54" s="4"/>
      <c r="G54" s="4"/>
      <c r="H54" s="5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" hidden="1" customHeight="1">
      <c r="A55" s="27"/>
      <c r="B55" s="1" t="s">
        <v>74</v>
      </c>
      <c r="C55" s="1"/>
      <c r="D55" s="4"/>
      <c r="E55" s="4"/>
      <c r="F55" s="4"/>
      <c r="G55" s="4"/>
      <c r="H55" s="5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" hidden="1" customHeight="1">
      <c r="A56" s="27"/>
      <c r="B56" s="1" t="s">
        <v>75</v>
      </c>
      <c r="C56" s="1"/>
      <c r="D56" s="4"/>
      <c r="E56" s="4"/>
      <c r="F56" s="4"/>
      <c r="G56" s="4"/>
      <c r="H56" s="5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" hidden="1" customHeight="1">
      <c r="A57" s="27"/>
      <c r="B57" s="1" t="s">
        <v>76</v>
      </c>
      <c r="C57" s="1"/>
      <c r="D57" s="4"/>
      <c r="E57" s="4"/>
      <c r="F57" s="4"/>
      <c r="G57" s="4"/>
      <c r="H57" s="5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" hidden="1" customHeight="1">
      <c r="A58" s="27"/>
      <c r="B58" s="1" t="s">
        <v>77</v>
      </c>
      <c r="C58" s="1"/>
      <c r="D58" s="4"/>
      <c r="E58" s="4"/>
      <c r="F58" s="4"/>
      <c r="G58" s="4"/>
      <c r="H58" s="5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" hidden="1" customHeight="1">
      <c r="A59" s="27"/>
      <c r="B59" s="1" t="s">
        <v>78</v>
      </c>
      <c r="C59" s="1"/>
      <c r="D59" s="4"/>
      <c r="E59" s="4"/>
      <c r="F59" s="4"/>
      <c r="G59" s="4"/>
      <c r="H59" s="5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" hidden="1" customHeight="1">
      <c r="A60" s="27"/>
      <c r="B60" s="1" t="s">
        <v>79</v>
      </c>
      <c r="C60" s="1"/>
      <c r="D60" s="4"/>
      <c r="E60" s="4"/>
      <c r="F60" s="4"/>
      <c r="G60" s="4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" hidden="1" customHeight="1">
      <c r="A61" s="27"/>
      <c r="B61" s="1" t="s">
        <v>80</v>
      </c>
      <c r="C61" s="1"/>
      <c r="D61" s="4"/>
      <c r="E61" s="4"/>
      <c r="F61" s="4"/>
      <c r="G61" s="4"/>
      <c r="H61" s="5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" hidden="1" customHeight="1">
      <c r="A62" s="27"/>
      <c r="B62" s="1" t="s">
        <v>81</v>
      </c>
      <c r="C62" s="1"/>
      <c r="D62" s="4"/>
      <c r="E62" s="4"/>
      <c r="F62" s="4"/>
      <c r="G62" s="4"/>
      <c r="H62" s="5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" hidden="1" customHeight="1">
      <c r="A63" s="27"/>
      <c r="B63" s="1" t="s">
        <v>82</v>
      </c>
      <c r="C63" s="1"/>
      <c r="D63" s="4"/>
      <c r="E63" s="4"/>
      <c r="F63" s="4"/>
      <c r="G63" s="4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" hidden="1" customHeight="1">
      <c r="A64" s="27"/>
      <c r="B64" s="1" t="s">
        <v>83</v>
      </c>
      <c r="C64" s="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" hidden="1" customHeight="1">
      <c r="A65" s="27"/>
      <c r="B65" s="1" t="s">
        <v>84</v>
      </c>
      <c r="C65" s="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" hidden="1" customHeight="1">
      <c r="A66" s="27"/>
      <c r="B66" s="1" t="s">
        <v>85</v>
      </c>
      <c r="C66" s="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" hidden="1" customHeight="1">
      <c r="A67" s="27"/>
      <c r="B67" s="1" t="s">
        <v>86</v>
      </c>
      <c r="C67" s="1"/>
      <c r="D67" s="4"/>
      <c r="E67" s="4"/>
      <c r="F67" s="4"/>
      <c r="G67" s="4"/>
      <c r="H67" s="5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" hidden="1" customHeight="1">
      <c r="A68" s="27" t="s">
        <v>87</v>
      </c>
      <c r="B68" s="1" t="s">
        <v>88</v>
      </c>
      <c r="C68" s="1"/>
      <c r="D68" s="4"/>
      <c r="E68" s="4"/>
      <c r="F68" s="4"/>
      <c r="G68" s="4"/>
      <c r="H68" s="5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" hidden="1" customHeight="1">
      <c r="A69" s="27"/>
      <c r="B69" s="1" t="s">
        <v>89</v>
      </c>
      <c r="C69" s="1"/>
      <c r="D69" s="4"/>
      <c r="E69" s="4"/>
      <c r="F69" s="4"/>
      <c r="G69" s="4"/>
      <c r="H69" s="5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" hidden="1" customHeight="1">
      <c r="A70" s="27"/>
      <c r="B70" s="1" t="s">
        <v>90</v>
      </c>
      <c r="C70" s="1"/>
      <c r="D70" s="4"/>
      <c r="E70" s="4"/>
      <c r="F70" s="4"/>
      <c r="G70" s="4"/>
      <c r="H70" s="5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" hidden="1" customHeight="1">
      <c r="A71" s="27"/>
      <c r="B71" s="1" t="s">
        <v>91</v>
      </c>
      <c r="C71" s="1"/>
      <c r="D71" s="4"/>
      <c r="E71" s="4"/>
      <c r="F71" s="4"/>
      <c r="G71" s="4"/>
      <c r="H71" s="5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" hidden="1" customHeight="1">
      <c r="A72" s="27"/>
      <c r="B72" s="1" t="s">
        <v>92</v>
      </c>
      <c r="C72" s="1"/>
      <c r="D72" s="5"/>
      <c r="E72" s="5"/>
      <c r="F72" s="5"/>
      <c r="G72" s="5"/>
      <c r="H72" s="7"/>
      <c r="I72" s="7"/>
      <c r="J72" s="5"/>
      <c r="K72" s="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5"/>
      <c r="AA72" s="5"/>
      <c r="AB72" s="5"/>
      <c r="AC72" s="5"/>
      <c r="AD72" s="5"/>
      <c r="AE72" s="5"/>
      <c r="AF72" s="5"/>
    </row>
    <row r="73" spans="1:32" ht="15" hidden="1" customHeight="1">
      <c r="A73" s="27"/>
      <c r="B73" s="1" t="s">
        <v>93</v>
      </c>
      <c r="C73" s="1"/>
      <c r="D73" s="4"/>
      <c r="E73" s="4"/>
      <c r="F73" s="4"/>
      <c r="G73" s="4"/>
      <c r="H73" s="5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" hidden="1" customHeight="1">
      <c r="A74" s="27"/>
      <c r="B74" s="1" t="s">
        <v>94</v>
      </c>
      <c r="C74" s="1"/>
      <c r="D74" s="4"/>
      <c r="E74" s="4"/>
      <c r="F74" s="4"/>
      <c r="G74" s="4"/>
      <c r="H74" s="5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" hidden="1" customHeight="1">
      <c r="A75" s="27"/>
      <c r="B75" s="1" t="s">
        <v>95</v>
      </c>
      <c r="C75" s="1"/>
      <c r="D75" s="4"/>
      <c r="E75" s="4"/>
      <c r="F75" s="4"/>
      <c r="G75" s="4"/>
      <c r="H75" s="5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" hidden="1" customHeight="1">
      <c r="A76" s="27"/>
      <c r="B76" s="1" t="s">
        <v>96</v>
      </c>
      <c r="C76" s="1"/>
      <c r="D76" s="4"/>
      <c r="E76" s="4"/>
      <c r="F76" s="4"/>
      <c r="G76" s="4"/>
      <c r="H76" s="5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" hidden="1" customHeight="1">
      <c r="A77" s="27"/>
      <c r="B77" s="1" t="s">
        <v>97</v>
      </c>
      <c r="C77" s="1"/>
      <c r="D77" s="4"/>
      <c r="E77" s="4"/>
      <c r="F77" s="4"/>
      <c r="G77" s="4"/>
      <c r="H77" s="5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" hidden="1" customHeight="1">
      <c r="A78" s="27"/>
      <c r="B78" s="1" t="s">
        <v>98</v>
      </c>
      <c r="C78" s="1"/>
      <c r="D78" s="4"/>
      <c r="E78" s="4"/>
      <c r="F78" s="4"/>
      <c r="G78" s="4"/>
      <c r="H78" s="5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" hidden="1" customHeight="1">
      <c r="A79" s="27"/>
      <c r="B79" s="1" t="s">
        <v>99</v>
      </c>
      <c r="C79" s="1"/>
      <c r="D79" s="4"/>
      <c r="E79" s="4"/>
      <c r="F79" s="4"/>
      <c r="G79" s="4"/>
      <c r="H79" s="5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" hidden="1" customHeight="1">
      <c r="A80" s="27"/>
      <c r="B80" s="1" t="s">
        <v>100</v>
      </c>
      <c r="C80" s="1"/>
      <c r="D80" s="4"/>
      <c r="E80" s="4"/>
      <c r="F80" s="4"/>
      <c r="G80" s="4"/>
      <c r="H80" s="5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" hidden="1" customHeight="1">
      <c r="A81" s="27"/>
      <c r="B81" s="1" t="s">
        <v>101</v>
      </c>
      <c r="C81" s="1"/>
      <c r="D81" s="4"/>
      <c r="E81" s="4"/>
      <c r="F81" s="4"/>
      <c r="G81" s="4"/>
      <c r="H81" s="5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" hidden="1" customHeight="1">
      <c r="A82" s="27"/>
      <c r="B82" s="1" t="s">
        <v>102</v>
      </c>
      <c r="C82" s="1"/>
      <c r="D82" s="4"/>
      <c r="E82" s="4"/>
      <c r="F82" s="4"/>
      <c r="G82" s="4"/>
      <c r="H82" s="5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" hidden="1" customHeight="1">
      <c r="A83" s="27" t="s">
        <v>103</v>
      </c>
      <c r="B83" s="1" t="s">
        <v>104</v>
      </c>
      <c r="C83" s="1"/>
      <c r="D83" s="4"/>
      <c r="E83" s="4"/>
      <c r="F83" s="4"/>
      <c r="G83" s="4"/>
      <c r="H83" s="5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" hidden="1" customHeight="1">
      <c r="A84" s="27"/>
      <c r="B84" s="1" t="s">
        <v>105</v>
      </c>
      <c r="C84" s="1"/>
      <c r="D84" s="4"/>
      <c r="E84" s="4"/>
      <c r="F84" s="4"/>
      <c r="G84" s="4"/>
      <c r="H84" s="5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" hidden="1" customHeight="1">
      <c r="A85" s="27"/>
      <c r="B85" s="1" t="s">
        <v>106</v>
      </c>
      <c r="C85" s="1"/>
      <c r="D85" s="4"/>
      <c r="E85" s="4"/>
      <c r="F85" s="4"/>
      <c r="G85" s="4"/>
      <c r="H85" s="5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" hidden="1" customHeight="1">
      <c r="A86" s="27"/>
      <c r="B86" s="1" t="s">
        <v>107</v>
      </c>
      <c r="C86" s="1"/>
      <c r="D86" s="4"/>
      <c r="E86" s="4"/>
      <c r="F86" s="4"/>
      <c r="G86" s="4"/>
      <c r="H86" s="5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" hidden="1" customHeight="1">
      <c r="A87" s="27"/>
      <c r="B87" s="1" t="s">
        <v>108</v>
      </c>
      <c r="C87" s="1"/>
      <c r="D87" s="4"/>
      <c r="E87" s="4"/>
      <c r="F87" s="4"/>
      <c r="G87" s="4"/>
      <c r="H87" s="5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" hidden="1" customHeight="1">
      <c r="A88" s="27"/>
      <c r="B88" s="1" t="s">
        <v>109</v>
      </c>
      <c r="C88" s="1"/>
      <c r="D88" s="4"/>
      <c r="E88" s="4"/>
      <c r="F88" s="4"/>
      <c r="G88" s="4"/>
      <c r="H88" s="5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" hidden="1" customHeight="1">
      <c r="A89" s="26" t="s">
        <v>110</v>
      </c>
      <c r="B89" s="26"/>
      <c r="C89" s="6">
        <f>243+46+15</f>
        <v>304</v>
      </c>
      <c r="D89" s="6">
        <f>171+35+15</f>
        <v>221</v>
      </c>
      <c r="E89" s="6">
        <f>102+26+10</f>
        <v>138</v>
      </c>
      <c r="F89" s="6">
        <f>36+10+4</f>
        <v>50</v>
      </c>
      <c r="G89" s="6">
        <f>477+114+150</f>
        <v>741</v>
      </c>
      <c r="H89" s="6">
        <f>334+80+132</f>
        <v>546</v>
      </c>
      <c r="I89" s="6">
        <f>108+19+5</f>
        <v>132</v>
      </c>
      <c r="J89" s="6">
        <f>76+14+5</f>
        <v>95</v>
      </c>
      <c r="K89" s="6">
        <f>104+12</f>
        <v>116</v>
      </c>
      <c r="L89" s="6">
        <f>73+12</f>
        <v>85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f>52+24</f>
        <v>76</v>
      </c>
      <c r="X89" s="6">
        <f>37+15</f>
        <v>52</v>
      </c>
      <c r="Y89" s="6">
        <f>102+83</f>
        <v>185</v>
      </c>
      <c r="Z89" s="6">
        <f>72+49</f>
        <v>121</v>
      </c>
      <c r="AA89" s="6">
        <f>114+74</f>
        <v>188</v>
      </c>
      <c r="AB89" s="6">
        <f>90+52</f>
        <v>142</v>
      </c>
      <c r="AC89" s="6">
        <v>0</v>
      </c>
      <c r="AD89" s="6">
        <v>0</v>
      </c>
      <c r="AE89" s="6">
        <v>0</v>
      </c>
      <c r="AF89" s="6">
        <v>0</v>
      </c>
    </row>
  </sheetData>
  <autoFilter ref="A3:AF89" xr:uid="{00000000-0001-0000-0000-000000000000}">
    <filterColumn colId="1">
      <filters>
        <filter val="MAESTRÍA EN CIENCIAS DE LA INFORMACIÓN Y LAS COMUNICACIONES"/>
      </filters>
    </filterColumn>
  </autoFilter>
  <mergeCells count="38">
    <mergeCell ref="A89:B89"/>
    <mergeCell ref="A68:A82"/>
    <mergeCell ref="A83:A88"/>
    <mergeCell ref="B1:B2"/>
    <mergeCell ref="A4:A32"/>
    <mergeCell ref="A33:A53"/>
    <mergeCell ref="A54:A67"/>
    <mergeCell ref="C1:D1"/>
    <mergeCell ref="A1:A3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AC1:AD1"/>
    <mergeCell ref="AC2:AD2"/>
    <mergeCell ref="AE1:AF1"/>
    <mergeCell ref="AE2:AF2"/>
    <mergeCell ref="W1:X1"/>
    <mergeCell ref="W2:X2"/>
    <mergeCell ref="Y1:Z1"/>
    <mergeCell ref="Y2:Z2"/>
    <mergeCell ref="AA1:AB1"/>
    <mergeCell ref="AA2:A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2025-11-07T21:47:06Z</dcterms:modified>
  <cp:category/>
  <cp:contentStatus/>
</cp:coreProperties>
</file>