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UD\Desktop\Nuxeo\Esp SIG\6 - Infraestructura y Bienestar\Espacios Fisicos\"/>
    </mc:Choice>
  </mc:AlternateContent>
  <xr:revisionPtr revIDLastSave="0" documentId="8_{28260200-D473-4C88-A008-A7C5B6CF4D9B}" xr6:coauthVersionLast="47" xr6:coauthVersionMax="47" xr10:uidLastSave="{00000000-0000-0000-0000-000000000000}"/>
  <bookViews>
    <workbookView xWindow="0" yWindow="0" windowWidth="20490" windowHeight="6945" xr2:uid="{00000000-000D-0000-FFFF-FFFF00000000}"/>
  </bookViews>
  <sheets>
    <sheet name="ESPACIOS FÍSICOS" sheetId="2" r:id="rId1"/>
    <sheet name="Hoja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2" l="1"/>
  <c r="E78" i="2"/>
  <c r="F51" i="2"/>
  <c r="E51" i="2"/>
  <c r="F40" i="2"/>
  <c r="E40" i="2"/>
  <c r="F34" i="2"/>
  <c r="E34" i="2"/>
  <c r="I34" i="2"/>
  <c r="J34" i="2"/>
  <c r="D34" i="2"/>
  <c r="C34" i="2"/>
  <c r="H8" i="2"/>
  <c r="G8" i="2"/>
  <c r="K78" i="2"/>
  <c r="L78" i="2"/>
  <c r="L51" i="2"/>
  <c r="K40" i="2"/>
  <c r="L40" i="2"/>
  <c r="I78" i="2"/>
  <c r="J78" i="2"/>
  <c r="I51" i="2"/>
  <c r="J51" i="2"/>
  <c r="I40" i="2"/>
  <c r="J40" i="2"/>
  <c r="D78" i="2"/>
  <c r="C78" i="2"/>
  <c r="H77" i="2"/>
  <c r="G77" i="2"/>
  <c r="H76" i="2"/>
  <c r="G76" i="2"/>
  <c r="H75" i="2"/>
  <c r="G75" i="2"/>
  <c r="H74" i="2"/>
  <c r="G74" i="2"/>
  <c r="H73" i="2"/>
  <c r="G73" i="2"/>
  <c r="H72" i="2"/>
  <c r="G72" i="2"/>
  <c r="H70" i="2"/>
  <c r="G70" i="2"/>
  <c r="H68" i="2"/>
  <c r="G68" i="2"/>
  <c r="H67" i="2"/>
  <c r="G67" i="2"/>
  <c r="H65" i="2"/>
  <c r="G65" i="2"/>
  <c r="H64" i="2"/>
  <c r="G64" i="2"/>
  <c r="H62" i="2"/>
  <c r="G62" i="2"/>
  <c r="H60" i="2"/>
  <c r="G60" i="2"/>
  <c r="H53" i="2"/>
  <c r="H54" i="2"/>
  <c r="H55" i="2"/>
  <c r="H56" i="2"/>
  <c r="H57" i="2"/>
  <c r="H58" i="2"/>
  <c r="G54" i="2"/>
  <c r="G55" i="2"/>
  <c r="G56" i="2"/>
  <c r="G57" i="2"/>
  <c r="G58" i="2"/>
  <c r="G53" i="2"/>
  <c r="H50" i="2"/>
  <c r="H48" i="2"/>
  <c r="H47" i="2"/>
  <c r="G50" i="2"/>
  <c r="G48" i="2"/>
  <c r="G47" i="2"/>
  <c r="H43" i="2"/>
  <c r="G43" i="2"/>
  <c r="D40" i="2"/>
  <c r="C40" i="2"/>
  <c r="G37" i="2"/>
  <c r="H37" i="2"/>
  <c r="G38" i="2"/>
  <c r="H38" i="2"/>
  <c r="G39" i="2"/>
  <c r="H39" i="2"/>
  <c r="H36" i="2"/>
  <c r="G36" i="2"/>
  <c r="H29" i="2"/>
  <c r="H28" i="2"/>
  <c r="H27" i="2"/>
  <c r="H26" i="2"/>
  <c r="H25" i="2"/>
  <c r="H21" i="2"/>
  <c r="H20" i="2"/>
  <c r="H17" i="2"/>
  <c r="H10" i="2"/>
  <c r="H11" i="2"/>
  <c r="H12" i="2"/>
  <c r="H13" i="2"/>
  <c r="H9" i="2"/>
  <c r="G29" i="2"/>
  <c r="G28" i="2"/>
  <c r="G27" i="2"/>
  <c r="G26" i="2"/>
  <c r="G25" i="2"/>
  <c r="G21" i="2"/>
  <c r="G20" i="2"/>
  <c r="G17" i="2"/>
  <c r="G11" i="2"/>
  <c r="G12" i="2"/>
  <c r="G13" i="2"/>
  <c r="G10" i="2"/>
  <c r="G9" i="2"/>
  <c r="K82" i="2" l="1"/>
  <c r="J82" i="2"/>
  <c r="I82" i="2"/>
  <c r="D82" i="2"/>
  <c r="E82" i="2"/>
  <c r="C82" i="2"/>
  <c r="L82" i="2"/>
  <c r="F82" i="2"/>
  <c r="G34" i="2"/>
  <c r="H34" i="2"/>
  <c r="G40" i="2"/>
  <c r="H40" i="2"/>
  <c r="G78" i="2"/>
  <c r="H78" i="2"/>
  <c r="H82" i="2" l="1"/>
  <c r="G82" i="2"/>
</calcChain>
</file>

<file path=xl/sharedStrings.xml><?xml version="1.0" encoding="utf-8"?>
<sst xmlns="http://schemas.openxmlformats.org/spreadsheetml/2006/main" count="124" uniqueCount="89">
  <si>
    <t>" CUADRO DE ÁREAS ÚTILES Y CANTIDADES DE ESPACIOS FÍSICOS POR USO Y TIPO DE ESPACIO POR FACULTAD Y SEDE " REPORTE DE INFORMACIÓN ESCALA ARQUITECTÓNICA ETAPA I - CONFORMACIÓN BASE GEOGRÁFICA - SISTEMA DE INFORMACIÓN GEOGRÁFICA INSTITUCIONAL</t>
  </si>
  <si>
    <t>FACULTAD</t>
  </si>
  <si>
    <r>
      <rPr>
        <b/>
        <sz val="10"/>
        <color rgb="FFFFFFFF"/>
        <rFont val="Arial Narrow"/>
        <family val="2"/>
      </rPr>
      <t>INGENIERÍA</t>
    </r>
  </si>
  <si>
    <r>
      <rPr>
        <b/>
        <sz val="10"/>
        <color rgb="FFFFFFFF"/>
        <rFont val="Arial Narrow"/>
        <family val="2"/>
      </rPr>
      <t>TOTAL ÁREA (M</t>
    </r>
    <r>
      <rPr>
        <b/>
        <vertAlign val="superscript"/>
        <sz val="10"/>
        <color rgb="FFFFFFFF"/>
        <rFont val="Arial Narrow"/>
        <family val="2"/>
      </rPr>
      <t>2</t>
    </r>
    <r>
      <rPr>
        <b/>
        <sz val="10"/>
        <color rgb="FFFFFFFF"/>
        <rFont val="Arial Narrow"/>
        <family val="2"/>
      </rPr>
      <t>) FACULTAD DE INGENIERÍA</t>
    </r>
  </si>
  <si>
    <r>
      <rPr>
        <b/>
        <sz val="10"/>
        <color rgb="FFFFFFFF"/>
        <rFont val="Arial Narrow"/>
        <family val="2"/>
      </rPr>
      <t>TOTAL CANTIDAD FACULTAD DE INGENIERÍA</t>
    </r>
  </si>
  <si>
    <r>
      <rPr>
        <b/>
        <sz val="10"/>
        <color rgb="FFFFFFFF"/>
        <rFont val="Arial Narrow"/>
        <family val="2"/>
      </rPr>
      <t>N/A</t>
    </r>
  </si>
  <si>
    <t>SEDE</t>
  </si>
  <si>
    <r>
      <rPr>
        <b/>
        <sz val="10"/>
        <color rgb="FFFFFFFF"/>
        <rFont val="Arial Narrow"/>
        <family val="2"/>
      </rPr>
      <t>CALLE 40</t>
    </r>
  </si>
  <si>
    <r>
      <rPr>
        <b/>
        <sz val="10"/>
        <color rgb="FFFFFFFF"/>
        <rFont val="Arial Narrow"/>
        <family val="2"/>
      </rPr>
      <t>CALLE 34</t>
    </r>
  </si>
  <si>
    <r>
      <rPr>
        <b/>
        <sz val="10"/>
        <color rgb="FFFFFFFF"/>
        <rFont val="Arial Narrow"/>
        <family val="2"/>
      </rPr>
      <t>ADUANILLA DE PAIBA</t>
    </r>
  </si>
  <si>
    <r>
      <rPr>
        <b/>
        <sz val="10"/>
        <color rgb="FFFFFFFF"/>
        <rFont val="Arial Narrow"/>
        <family val="2"/>
      </rPr>
      <t>EMISORA</t>
    </r>
  </si>
  <si>
    <t>USO GENERAL / TIPO DE ESPACIO</t>
  </si>
  <si>
    <r>
      <rPr>
        <b/>
        <sz val="10"/>
        <color rgb="FFFFFFFF"/>
        <rFont val="Arial Narrow"/>
        <family val="2"/>
      </rPr>
      <t>ÁREA ÚTIL(M</t>
    </r>
    <r>
      <rPr>
        <b/>
        <vertAlign val="superscript"/>
        <sz val="10"/>
        <color rgb="FFFFFFFF"/>
        <rFont val="Arial Narrow"/>
        <family val="2"/>
      </rPr>
      <t>2</t>
    </r>
    <r>
      <rPr>
        <b/>
        <sz val="10"/>
        <color rgb="FFFFFFFF"/>
        <rFont val="Arial Narrow"/>
        <family val="2"/>
      </rPr>
      <t>)</t>
    </r>
  </si>
  <si>
    <r>
      <rPr>
        <b/>
        <sz val="10"/>
        <color rgb="FFFFFFFF"/>
        <rFont val="Arial Narrow"/>
        <family val="2"/>
      </rPr>
      <t>CANTIDAD</t>
    </r>
  </si>
  <si>
    <r>
      <rPr>
        <b/>
        <sz val="10"/>
        <color rgb="FFFFFFFF"/>
        <rFont val="Arial Narrow"/>
        <family val="2"/>
      </rPr>
      <t>ÁREA
ÚTIL(M</t>
    </r>
    <r>
      <rPr>
        <b/>
        <vertAlign val="superscript"/>
        <sz val="10"/>
        <color rgb="FFFFFFFF"/>
        <rFont val="Arial Narrow"/>
        <family val="2"/>
      </rPr>
      <t>2</t>
    </r>
    <r>
      <rPr>
        <b/>
        <sz val="10"/>
        <color rgb="FFFFFFFF"/>
        <rFont val="Arial Narrow"/>
        <family val="2"/>
      </rPr>
      <t>)</t>
    </r>
  </si>
  <si>
    <t>ACADÉMICO</t>
  </si>
  <si>
    <t>AUDITORIOS</t>
  </si>
  <si>
    <t>AGREMIACIONES ESTUDIANTILES</t>
  </si>
  <si>
    <t>ALMACENES / DEPÓSITOS</t>
  </si>
  <si>
    <t>AUDIOVISUALES</t>
  </si>
  <si>
    <t>AULAS DE CLASE</t>
  </si>
  <si>
    <t>BIBLIOTECA</t>
  </si>
  <si>
    <t>BIBLIOTECA ESPECIALIZADA</t>
  </si>
  <si>
    <t>CENTROS DE DOCUMENTACIÓN</t>
  </si>
  <si>
    <t>ESTUDIO DE GRABACIÓN</t>
  </si>
  <si>
    <t>HEMEROTECA</t>
  </si>
  <si>
    <t>HERBARIO FORESTAL</t>
  </si>
  <si>
    <t>INVERNADERO</t>
  </si>
  <si>
    <t>INVESTIGACIÓN</t>
  </si>
  <si>
    <t>LABORATORIOS Y ESPACIOS DE APOYO</t>
  </si>
  <si>
    <t>MUSEO</t>
  </si>
  <si>
    <t>OBSERVATORIO</t>
  </si>
  <si>
    <t>SALAS DE EXPOSICIONES</t>
  </si>
  <si>
    <t>SALAS DE PROFESORES</t>
  </si>
  <si>
    <t>SALAS DE SISTEMAS</t>
  </si>
  <si>
    <t>SALAS DE TRABAJO AUTONOMO</t>
  </si>
  <si>
    <t>SALAS DE TRABAJO GRUPAL</t>
  </si>
  <si>
    <t>SALAS DE TUTORÍAS</t>
  </si>
  <si>
    <t>SOPORTE LABORATORIOS</t>
  </si>
  <si>
    <t>TALLERES</t>
  </si>
  <si>
    <t>VIVERO</t>
  </si>
  <si>
    <t>XILOTECA</t>
  </si>
  <si>
    <t>TOTAL ACADÉMICO</t>
  </si>
  <si>
    <t>ADMINISTRATIVO</t>
  </si>
  <si>
    <t>ARCHIVO</t>
  </si>
  <si>
    <t>OFICINAS</t>
  </si>
  <si>
    <t>SALA DE AUDIENCIAS</t>
  </si>
  <si>
    <t>SALAS DE JUNTAS</t>
  </si>
  <si>
    <t>TOTAL ADMINISTRATIVO</t>
  </si>
  <si>
    <t>COMUN</t>
  </si>
  <si>
    <t>BALCONES</t>
  </si>
  <si>
    <t>CIRCULACIONES</t>
  </si>
  <si>
    <t>GRADERÍAS</t>
  </si>
  <si>
    <t>JARDINES</t>
  </si>
  <si>
    <t>PATIOS INTERIORES</t>
  </si>
  <si>
    <t>PLAZOLETAS</t>
  </si>
  <si>
    <t>SALAS DE ESPERA</t>
  </si>
  <si>
    <t>SALAS DE ESTAR</t>
  </si>
  <si>
    <t>TERRAZAS</t>
  </si>
  <si>
    <t>TOTAL COMUN</t>
  </si>
  <si>
    <t>SERVICIOS</t>
  </si>
  <si>
    <t>ARRENDAMIENTOS</t>
  </si>
  <si>
    <t>BAÑOS GENERALES</t>
  </si>
  <si>
    <t>BAÑOS PRIVADOS</t>
  </si>
  <si>
    <t>BIENESTAR UNIVERSITARIO</t>
  </si>
  <si>
    <t>BODEGA DE INSUMOS</t>
  </si>
  <si>
    <t>BODEGAJE Y ALMACENAMIENTO</t>
  </si>
  <si>
    <t>CAFETERIA</t>
  </si>
  <si>
    <t>CAFETERÍA UNIVERSITARIA</t>
  </si>
  <si>
    <t>CAMERINOS</t>
  </si>
  <si>
    <t>CENTRO DE ACOPIO</t>
  </si>
  <si>
    <t>CENTRO DE COPIADO</t>
  </si>
  <si>
    <t>COCINETAS</t>
  </si>
  <si>
    <t>CUARTOS DE ASEO</t>
  </si>
  <si>
    <t>CUARTOS DE PERSONAL</t>
  </si>
  <si>
    <t>CUARTOS DE RESIDUOS</t>
  </si>
  <si>
    <t>CUARTOS TÉCNICOS</t>
  </si>
  <si>
    <t>DUCHAS DE EMERGENCIA</t>
  </si>
  <si>
    <t>INSTALACIONES DEPORTIVAS</t>
  </si>
  <si>
    <t>LOCKERS</t>
  </si>
  <si>
    <t>PARQUEADEROS</t>
  </si>
  <si>
    <t>PORTERÍA - VIGILANCIA</t>
  </si>
  <si>
    <t>RECEPCIONES</t>
  </si>
  <si>
    <t>SHUT</t>
  </si>
  <si>
    <t>VESTIERES</t>
  </si>
  <si>
    <t>TOTAL SERVICIOS</t>
  </si>
  <si>
    <t>SIN USO</t>
  </si>
  <si>
    <t>TOTAL SIN USO</t>
  </si>
  <si>
    <r>
      <rPr>
        <b/>
        <sz val="10"/>
        <color rgb="FFFFFFFF"/>
        <rFont val="Arial Narrow"/>
        <family val="2"/>
      </rPr>
      <t>TOTAL GENERAL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</si>
</sst>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6">
    <font>
      <sz val="10"/>
      <color rgb="FF000000"/>
      <name val="Times New Roman"/>
      <charset val="204"/>
    </font>
    <font>
      <sz val="10"/>
      <color rgb="FF000000"/>
      <name val="Arial Narrow"/>
      <family val="2"/>
    </font>
    <font>
      <b/>
      <sz val="10"/>
      <name val="Arial Narrow"/>
      <family val="2"/>
    </font>
    <font>
      <b/>
      <sz val="10"/>
      <color rgb="FFFFFFFF"/>
      <name val="Arial Narrow"/>
      <family val="2"/>
    </font>
    <font>
      <b/>
      <vertAlign val="superscript"/>
      <sz val="10"/>
      <color rgb="FFFFFFFF"/>
      <name val="Arial Narrow"/>
      <family val="2"/>
    </font>
    <font>
      <sz val="10"/>
      <name val="Arial Narrow"/>
      <family val="2"/>
    </font>
    <font>
      <b/>
      <sz val="10"/>
      <color rgb="FF000000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rial Narrow"/>
      <family val="2"/>
    </font>
    <font>
      <b/>
      <sz val="10"/>
      <color rgb="FF0070C0"/>
      <name val="Arial Narrow"/>
      <family val="2"/>
    </font>
    <font>
      <b/>
      <sz val="10"/>
      <color rgb="FF00B050"/>
      <name val="Arial Narrow"/>
      <family val="2"/>
    </font>
    <font>
      <b/>
      <sz val="10"/>
      <color theme="9" tint="-0.249977111117893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8" tint="-0.499984740745262"/>
      <name val="Arial Narrow"/>
      <family val="2"/>
    </font>
    <font>
      <sz val="10"/>
      <color rgb="FF000000"/>
      <name val="Times New Roman"/>
      <charset val="204"/>
    </font>
    <font>
      <b/>
      <sz val="24"/>
      <color theme="1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60">
    <xf numFmtId="0" fontId="0" fillId="0" borderId="0" xfId="0" applyAlignment="1">
      <alignment horizontal="left" vertical="top"/>
    </xf>
    <xf numFmtId="2" fontId="1" fillId="0" borderId="1" xfId="0" applyNumberFormat="1" applyFont="1" applyBorder="1" applyAlignment="1">
      <alignment horizontal="center" vertical="center" shrinkToFit="1"/>
    </xf>
    <xf numFmtId="1" fontId="1" fillId="0" borderId="1" xfId="0" applyNumberFormat="1" applyFont="1" applyBorder="1" applyAlignment="1">
      <alignment horizontal="center" vertical="center" shrinkToFit="1"/>
    </xf>
    <xf numFmtId="2" fontId="6" fillId="0" borderId="1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1" fillId="1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shrinkToFit="1"/>
    </xf>
    <xf numFmtId="2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shrinkToFit="1"/>
    </xf>
    <xf numFmtId="1" fontId="7" fillId="3" borderId="1" xfId="0" applyNumberFormat="1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shrinkToFit="1"/>
    </xf>
    <xf numFmtId="1" fontId="7" fillId="2" borderId="1" xfId="0" applyNumberFormat="1" applyFont="1" applyFill="1" applyBorder="1" applyAlignment="1">
      <alignment horizontal="center" vertical="center" shrinkToFit="1"/>
    </xf>
    <xf numFmtId="4" fontId="7" fillId="2" borderId="1" xfId="0" applyNumberFormat="1" applyFont="1" applyFill="1" applyBorder="1" applyAlignment="1">
      <alignment horizontal="center" vertical="center" shrinkToFit="1"/>
    </xf>
    <xf numFmtId="3" fontId="7" fillId="2" borderId="1" xfId="0" applyNumberFormat="1" applyFont="1" applyFill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 wrapText="1"/>
    </xf>
    <xf numFmtId="2" fontId="7" fillId="6" borderId="1" xfId="0" applyNumberFormat="1" applyFont="1" applyFill="1" applyBorder="1" applyAlignment="1">
      <alignment horizontal="center" vertical="center" shrinkToFit="1"/>
    </xf>
    <xf numFmtId="1" fontId="7" fillId="6" borderId="1" xfId="0" applyNumberFormat="1" applyFont="1" applyFill="1" applyBorder="1" applyAlignment="1">
      <alignment horizontal="center" vertical="center" shrinkToFit="1"/>
    </xf>
    <xf numFmtId="4" fontId="7" fillId="6" borderId="1" xfId="0" applyNumberFormat="1" applyFont="1" applyFill="1" applyBorder="1" applyAlignment="1">
      <alignment horizontal="center" vertical="center" shrinkToFit="1"/>
    </xf>
    <xf numFmtId="0" fontId="7" fillId="10" borderId="1" xfId="0" applyFont="1" applyFill="1" applyBorder="1" applyAlignment="1">
      <alignment horizontal="center" vertical="center" wrapText="1"/>
    </xf>
    <xf numFmtId="1" fontId="7" fillId="10" borderId="1" xfId="0" applyNumberFormat="1" applyFont="1" applyFill="1" applyBorder="1" applyAlignment="1">
      <alignment horizontal="center" vertical="center" shrinkToFit="1"/>
    </xf>
    <xf numFmtId="2" fontId="7" fillId="10" borderId="1" xfId="0" applyNumberFormat="1" applyFont="1" applyFill="1" applyBorder="1" applyAlignment="1">
      <alignment horizontal="center" vertical="center" shrinkToFit="1"/>
    </xf>
    <xf numFmtId="4" fontId="7" fillId="10" borderId="1" xfId="0" applyNumberFormat="1" applyFont="1" applyFill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horizontal="center" vertical="center" wrapText="1"/>
    </xf>
    <xf numFmtId="43" fontId="0" fillId="0" borderId="0" xfId="1" applyFont="1" applyFill="1" applyBorder="1" applyAlignment="1">
      <alignment horizontal="left" vertical="top"/>
    </xf>
    <xf numFmtId="0" fontId="9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11" fillId="14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13" fillId="11" borderId="2" xfId="0" applyFont="1" applyFill="1" applyBorder="1" applyAlignment="1">
      <alignment vertical="center" wrapText="1"/>
    </xf>
    <xf numFmtId="0" fontId="2" fillId="11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82"/>
  <sheetViews>
    <sheetView tabSelected="1" zoomScale="70" zoomScaleNormal="70" workbookViewId="0">
      <selection activeCell="F4" sqref="F4"/>
    </sheetView>
  </sheetViews>
  <sheetFormatPr defaultColWidth="12" defaultRowHeight="18" customHeight="1"/>
  <cols>
    <col min="1" max="1" width="12" style="9" customWidth="1"/>
    <col min="2" max="2" width="56.6640625" style="9" customWidth="1"/>
    <col min="3" max="3" width="14" style="9" customWidth="1"/>
    <col min="4" max="4" width="20.1640625" style="9" customWidth="1"/>
    <col min="5" max="5" width="17.5" style="9" customWidth="1"/>
    <col min="6" max="6" width="14.1640625" style="9" customWidth="1"/>
    <col min="7" max="7" width="23.5" style="9" customWidth="1"/>
    <col min="8" max="8" width="24.33203125" style="9" customWidth="1"/>
    <col min="9" max="10" width="14.83203125" style="9" customWidth="1"/>
    <col min="11" max="12" width="18.5" style="9" customWidth="1"/>
    <col min="13" max="13" width="24.5" style="9" customWidth="1"/>
    <col min="14" max="16384" width="12" style="9"/>
  </cols>
  <sheetData>
    <row r="2" spans="2:12" ht="107.25" customHeight="1">
      <c r="B2" s="57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9"/>
    </row>
    <row r="3" spans="2:12" ht="15" customHeight="1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2:12" ht="39.75" customHeight="1">
      <c r="B4" s="37" t="s">
        <v>1</v>
      </c>
      <c r="C4" s="54" t="s">
        <v>2</v>
      </c>
      <c r="D4" s="54"/>
      <c r="F4" s="40"/>
      <c r="G4" s="55" t="s">
        <v>3</v>
      </c>
      <c r="H4" s="56" t="s">
        <v>4</v>
      </c>
      <c r="I4" s="53" t="s">
        <v>5</v>
      </c>
      <c r="J4" s="53"/>
      <c r="K4" s="52" t="s">
        <v>5</v>
      </c>
      <c r="L4" s="52"/>
    </row>
    <row r="5" spans="2:12" ht="42.75" customHeight="1">
      <c r="B5" s="37" t="s">
        <v>6</v>
      </c>
      <c r="C5" s="54" t="s">
        <v>7</v>
      </c>
      <c r="D5" s="54"/>
      <c r="E5" s="54" t="s">
        <v>8</v>
      </c>
      <c r="F5" s="54"/>
      <c r="G5" s="55"/>
      <c r="H5" s="56"/>
      <c r="I5" s="53" t="s">
        <v>9</v>
      </c>
      <c r="J5" s="53"/>
      <c r="K5" s="52" t="s">
        <v>10</v>
      </c>
      <c r="L5" s="52"/>
    </row>
    <row r="6" spans="2:12" ht="42" customHeight="1">
      <c r="B6" s="37" t="s">
        <v>11</v>
      </c>
      <c r="C6" s="39" t="s">
        <v>12</v>
      </c>
      <c r="D6" s="38" t="s">
        <v>13</v>
      </c>
      <c r="E6" s="39" t="s">
        <v>14</v>
      </c>
      <c r="F6" s="38" t="s">
        <v>13</v>
      </c>
      <c r="G6" s="55"/>
      <c r="H6" s="56"/>
      <c r="I6" s="7" t="s">
        <v>14</v>
      </c>
      <c r="J6" s="7" t="s">
        <v>13</v>
      </c>
      <c r="K6" s="7" t="s">
        <v>14</v>
      </c>
      <c r="L6" s="14" t="s">
        <v>13</v>
      </c>
    </row>
    <row r="7" spans="2:12" ht="21.75" customHeight="1">
      <c r="B7" s="43" t="s">
        <v>15</v>
      </c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2:12" ht="21.75" customHeight="1">
      <c r="B8" s="11" t="s">
        <v>16</v>
      </c>
      <c r="C8" s="1">
        <v>177.54</v>
      </c>
      <c r="D8" s="2">
        <v>1</v>
      </c>
      <c r="E8" s="5">
        <v>74.010000000000005</v>
      </c>
      <c r="F8" s="5">
        <v>1</v>
      </c>
      <c r="G8" s="3">
        <f>C8</f>
        <v>177.54</v>
      </c>
      <c r="H8" s="4">
        <f>D8</f>
        <v>1</v>
      </c>
      <c r="I8" s="5">
        <v>267.39</v>
      </c>
      <c r="J8" s="5">
        <v>2</v>
      </c>
      <c r="K8" s="5"/>
      <c r="L8" s="5"/>
    </row>
    <row r="9" spans="2:12" ht="32.25" customHeight="1">
      <c r="B9" s="11" t="s">
        <v>17</v>
      </c>
      <c r="C9" s="1">
        <v>275.61</v>
      </c>
      <c r="D9" s="2">
        <v>8</v>
      </c>
      <c r="E9" s="5"/>
      <c r="F9" s="5"/>
      <c r="G9" s="3">
        <f>C9</f>
        <v>275.61</v>
      </c>
      <c r="H9" s="4">
        <f>D9</f>
        <v>8</v>
      </c>
      <c r="I9" s="5"/>
      <c r="J9" s="5"/>
      <c r="K9" s="5"/>
      <c r="L9" s="5"/>
    </row>
    <row r="10" spans="2:12" ht="18" customHeight="1">
      <c r="B10" s="11" t="s">
        <v>18</v>
      </c>
      <c r="C10" s="1">
        <v>280.33</v>
      </c>
      <c r="D10" s="2">
        <v>4</v>
      </c>
      <c r="E10" s="5"/>
      <c r="F10" s="5"/>
      <c r="G10" s="3">
        <f>C10</f>
        <v>280.33</v>
      </c>
      <c r="H10" s="4">
        <f t="shared" ref="H10:H13" si="0">D10</f>
        <v>4</v>
      </c>
      <c r="I10" s="5"/>
      <c r="J10" s="5"/>
      <c r="K10" s="5"/>
      <c r="L10" s="5"/>
    </row>
    <row r="11" spans="2:12" ht="18" customHeight="1">
      <c r="B11" s="11" t="s">
        <v>19</v>
      </c>
      <c r="C11" s="1"/>
      <c r="D11" s="2"/>
      <c r="E11" s="1">
        <v>73.540000000000006</v>
      </c>
      <c r="F11" s="2">
        <v>1</v>
      </c>
      <c r="G11" s="3">
        <f t="shared" ref="G11:G13" si="1">C11</f>
        <v>0</v>
      </c>
      <c r="H11" s="4">
        <f t="shared" si="0"/>
        <v>0</v>
      </c>
      <c r="I11" s="3">
        <v>267.39</v>
      </c>
      <c r="J11" s="4">
        <v>2</v>
      </c>
      <c r="K11" s="5"/>
      <c r="L11" s="5"/>
    </row>
    <row r="12" spans="2:12" ht="18" customHeight="1">
      <c r="B12" s="11" t="s">
        <v>20</v>
      </c>
      <c r="C12" s="1">
        <v>1490.22</v>
      </c>
      <c r="D12" s="2">
        <v>29</v>
      </c>
      <c r="E12" s="1">
        <v>233.16</v>
      </c>
      <c r="F12" s="2">
        <v>6</v>
      </c>
      <c r="G12" s="3">
        <f t="shared" si="1"/>
        <v>1490.22</v>
      </c>
      <c r="H12" s="4">
        <f t="shared" si="0"/>
        <v>29</v>
      </c>
      <c r="I12" s="3">
        <v>113.86</v>
      </c>
      <c r="J12" s="4">
        <v>3</v>
      </c>
      <c r="K12" s="5"/>
      <c r="L12" s="5"/>
    </row>
    <row r="13" spans="2:12" ht="18" customHeight="1">
      <c r="B13" s="11" t="s">
        <v>21</v>
      </c>
      <c r="C13" s="1">
        <v>73.78</v>
      </c>
      <c r="D13" s="2">
        <v>2</v>
      </c>
      <c r="E13" s="1">
        <v>97.26</v>
      </c>
      <c r="F13" s="2">
        <v>1</v>
      </c>
      <c r="G13" s="3">
        <f t="shared" si="1"/>
        <v>73.78</v>
      </c>
      <c r="H13" s="4">
        <f t="shared" si="0"/>
        <v>2</v>
      </c>
      <c r="I13" s="3">
        <v>7006</v>
      </c>
      <c r="J13" s="4">
        <v>1</v>
      </c>
      <c r="K13" s="5"/>
      <c r="L13" s="5"/>
    </row>
    <row r="14" spans="2:12" ht="18" customHeight="1">
      <c r="B14" s="11" t="s">
        <v>22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27.75" customHeight="1">
      <c r="B15" s="11" t="s">
        <v>23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ht="18" customHeight="1">
      <c r="B16" s="11" t="s">
        <v>24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ht="18" customHeight="1">
      <c r="B17" s="11" t="s">
        <v>25</v>
      </c>
      <c r="C17" s="1">
        <v>24.57</v>
      </c>
      <c r="D17" s="2">
        <v>1</v>
      </c>
      <c r="E17" s="5"/>
      <c r="F17" s="5"/>
      <c r="G17" s="3">
        <f>C17</f>
        <v>24.57</v>
      </c>
      <c r="H17" s="4">
        <f>D17</f>
        <v>1</v>
      </c>
      <c r="I17" s="3">
        <v>355.25</v>
      </c>
      <c r="J17" s="4">
        <v>5</v>
      </c>
      <c r="K17" s="5"/>
      <c r="L17" s="5"/>
    </row>
    <row r="18" spans="2:12" ht="18" customHeight="1">
      <c r="B18" s="11" t="s">
        <v>26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2" ht="18" customHeight="1">
      <c r="B19" s="11" t="s">
        <v>27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18" customHeight="1">
      <c r="B20" s="11" t="s">
        <v>28</v>
      </c>
      <c r="C20" s="1">
        <v>194.87</v>
      </c>
      <c r="D20" s="2">
        <v>8</v>
      </c>
      <c r="E20" s="5"/>
      <c r="F20" s="5"/>
      <c r="G20" s="3">
        <f>C20</f>
        <v>194.87</v>
      </c>
      <c r="H20" s="4">
        <f>D20</f>
        <v>8</v>
      </c>
      <c r="I20" s="3">
        <v>105.18</v>
      </c>
      <c r="J20" s="4">
        <v>4</v>
      </c>
      <c r="K20" s="5"/>
      <c r="L20" s="5"/>
    </row>
    <row r="21" spans="2:12" ht="27" customHeight="1">
      <c r="B21" s="11" t="s">
        <v>29</v>
      </c>
      <c r="C21" s="1">
        <v>716.4</v>
      </c>
      <c r="D21" s="2">
        <v>18</v>
      </c>
      <c r="E21" s="5"/>
      <c r="F21" s="5"/>
      <c r="G21" s="3">
        <f>C21</f>
        <v>716.4</v>
      </c>
      <c r="H21" s="4">
        <f>D21</f>
        <v>18</v>
      </c>
      <c r="I21" s="5"/>
      <c r="J21" s="5"/>
      <c r="K21" s="5"/>
      <c r="L21" s="5"/>
    </row>
    <row r="22" spans="2:12" ht="18" customHeight="1">
      <c r="B22" s="11" t="s">
        <v>30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ht="18" customHeight="1">
      <c r="B23" s="11" t="s">
        <v>31</v>
      </c>
      <c r="C23" s="5"/>
      <c r="D23" s="5"/>
      <c r="E23" s="5"/>
      <c r="F23" s="5"/>
      <c r="G23" s="5"/>
      <c r="H23" s="5"/>
      <c r="I23" s="3">
        <v>121.67</v>
      </c>
      <c r="J23" s="4">
        <v>3</v>
      </c>
      <c r="K23" s="5"/>
      <c r="L23" s="5"/>
    </row>
    <row r="24" spans="2:12" ht="18" customHeight="1">
      <c r="B24" s="11" t="s">
        <v>32</v>
      </c>
      <c r="C24" s="5">
        <v>22.71</v>
      </c>
      <c r="D24" s="5">
        <v>1</v>
      </c>
      <c r="E24" s="5"/>
      <c r="F24" s="5"/>
      <c r="G24" s="5"/>
      <c r="H24" s="5"/>
      <c r="I24" s="3">
        <v>154.55000000000001</v>
      </c>
      <c r="J24" s="4">
        <v>2</v>
      </c>
      <c r="K24" s="5"/>
      <c r="L24" s="5"/>
    </row>
    <row r="25" spans="2:12" ht="18" customHeight="1">
      <c r="B25" s="11" t="s">
        <v>33</v>
      </c>
      <c r="C25" s="1">
        <v>222.64</v>
      </c>
      <c r="D25" s="2">
        <v>9</v>
      </c>
      <c r="E25" s="1">
        <v>38.25</v>
      </c>
      <c r="F25" s="2">
        <v>1</v>
      </c>
      <c r="G25" s="3">
        <f t="shared" ref="G25:H29" si="2">C25</f>
        <v>222.64</v>
      </c>
      <c r="H25" s="4">
        <f t="shared" si="2"/>
        <v>9</v>
      </c>
      <c r="I25" s="5"/>
      <c r="J25" s="5"/>
      <c r="K25" s="5"/>
      <c r="L25" s="5"/>
    </row>
    <row r="26" spans="2:12" ht="18" customHeight="1">
      <c r="B26" s="11" t="s">
        <v>34</v>
      </c>
      <c r="C26" s="1">
        <v>983.37</v>
      </c>
      <c r="D26" s="2">
        <v>21</v>
      </c>
      <c r="E26" s="1">
        <v>49.99</v>
      </c>
      <c r="F26" s="2">
        <v>1</v>
      </c>
      <c r="G26" s="3">
        <f t="shared" si="2"/>
        <v>983.37</v>
      </c>
      <c r="H26" s="4">
        <f t="shared" si="2"/>
        <v>21</v>
      </c>
      <c r="I26" s="3">
        <v>198.81</v>
      </c>
      <c r="J26" s="4">
        <v>5</v>
      </c>
      <c r="K26" s="5"/>
      <c r="L26" s="5"/>
    </row>
    <row r="27" spans="2:12" ht="33" customHeight="1">
      <c r="B27" s="11" t="s">
        <v>35</v>
      </c>
      <c r="C27" s="1">
        <v>112.35</v>
      </c>
      <c r="D27" s="2">
        <v>1</v>
      </c>
      <c r="E27" s="1">
        <v>22</v>
      </c>
      <c r="F27" s="2">
        <v>2</v>
      </c>
      <c r="G27" s="3">
        <f t="shared" si="2"/>
        <v>112.35</v>
      </c>
      <c r="H27" s="4">
        <f t="shared" si="2"/>
        <v>1</v>
      </c>
      <c r="I27" s="5"/>
      <c r="J27" s="5"/>
      <c r="K27" s="5"/>
      <c r="L27" s="5"/>
    </row>
    <row r="28" spans="2:12" ht="18" customHeight="1">
      <c r="B28" s="11" t="s">
        <v>36</v>
      </c>
      <c r="C28" s="1"/>
      <c r="D28" s="2"/>
      <c r="E28" s="5"/>
      <c r="F28" s="5"/>
      <c r="G28" s="3">
        <f t="shared" si="2"/>
        <v>0</v>
      </c>
      <c r="H28" s="4">
        <f t="shared" si="2"/>
        <v>0</v>
      </c>
      <c r="I28" s="3">
        <v>59.37</v>
      </c>
      <c r="J28" s="4">
        <v>4</v>
      </c>
      <c r="K28" s="5"/>
      <c r="L28" s="5"/>
    </row>
    <row r="29" spans="2:12" ht="18" customHeight="1">
      <c r="B29" s="11" t="s">
        <v>37</v>
      </c>
      <c r="C29" s="1"/>
      <c r="D29" s="2"/>
      <c r="E29" s="5"/>
      <c r="F29" s="5"/>
      <c r="G29" s="3">
        <f t="shared" si="2"/>
        <v>0</v>
      </c>
      <c r="H29" s="4">
        <f t="shared" si="2"/>
        <v>0</v>
      </c>
      <c r="I29" s="5"/>
      <c r="J29" s="5"/>
      <c r="K29" s="5"/>
      <c r="L29" s="5"/>
    </row>
    <row r="30" spans="2:12" ht="18" customHeight="1">
      <c r="B30" s="11" t="s">
        <v>38</v>
      </c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2:12" ht="18" customHeight="1">
      <c r="B31" s="11" t="s">
        <v>39</v>
      </c>
      <c r="C31" s="5">
        <v>70.319999999999993</v>
      </c>
      <c r="D31" s="5">
        <v>2</v>
      </c>
      <c r="E31" s="5"/>
      <c r="F31" s="5"/>
      <c r="G31" s="5"/>
      <c r="H31" s="5"/>
      <c r="I31" s="5"/>
      <c r="J31" s="5"/>
      <c r="K31" s="5"/>
      <c r="L31" s="5"/>
    </row>
    <row r="32" spans="2:12" ht="18" customHeight="1">
      <c r="B32" s="11" t="s">
        <v>40</v>
      </c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2:13" ht="18" customHeight="1">
      <c r="B33" s="11" t="s">
        <v>41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13"/>
    </row>
    <row r="34" spans="2:13" ht="18" customHeight="1">
      <c r="B34" s="17" t="s">
        <v>42</v>
      </c>
      <c r="C34" s="18">
        <f>C9+C10+C11+C12+C13+C17+C20+C21+C25+C26+C27+C28+C29+C8</f>
        <v>4551.68</v>
      </c>
      <c r="D34" s="18">
        <f>D9+D10+D11+D12+D13+D17+D20+D21+D25+D26+D27+D28+D29+D8</f>
        <v>102</v>
      </c>
      <c r="E34" s="18">
        <f>E27+E26+E25+E13+E12+E11+E8</f>
        <v>588.20999999999992</v>
      </c>
      <c r="F34" s="19">
        <f>F27+F26+F25+F13+F12+F11+F8</f>
        <v>13</v>
      </c>
      <c r="G34" s="19">
        <f>G9+G10+G11+G12+G13+G17+G20+G21+G25+G26+G27+G28+G29+G8</f>
        <v>4551.68</v>
      </c>
      <c r="H34" s="19">
        <f>H9+H10+H11+H12+H13+H17+H20+H21+H25+H26+H27+H28+H29+H8</f>
        <v>102</v>
      </c>
      <c r="I34" s="18">
        <f>I28+I26+I24+I23+I20+I17+I13+I12+I11+I8</f>
        <v>8649.4699999999993</v>
      </c>
      <c r="J34" s="19">
        <f>J28+J26+J24+J23+J20+J17+J13+J12+J11+J8</f>
        <v>31</v>
      </c>
      <c r="K34" s="20"/>
      <c r="L34" s="20"/>
      <c r="M34" s="16"/>
    </row>
    <row r="35" spans="2:13" ht="18" customHeight="1">
      <c r="B35" s="45" t="s">
        <v>43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</row>
    <row r="36" spans="2:13" ht="18" customHeight="1">
      <c r="B36" s="11" t="s">
        <v>44</v>
      </c>
      <c r="C36" s="1">
        <v>153</v>
      </c>
      <c r="D36" s="2">
        <v>10</v>
      </c>
      <c r="E36" s="1">
        <v>25.43</v>
      </c>
      <c r="F36" s="2">
        <v>2</v>
      </c>
      <c r="G36" s="3">
        <f>C36</f>
        <v>153</v>
      </c>
      <c r="H36" s="4">
        <f>D36</f>
        <v>10</v>
      </c>
      <c r="I36" s="3">
        <v>12.27</v>
      </c>
      <c r="J36" s="4">
        <v>1</v>
      </c>
      <c r="K36" s="3">
        <v>1.61</v>
      </c>
      <c r="L36" s="4">
        <v>1</v>
      </c>
    </row>
    <row r="37" spans="2:13" ht="18" customHeight="1">
      <c r="B37" s="11" t="s">
        <v>45</v>
      </c>
      <c r="C37" s="1">
        <v>949.24</v>
      </c>
      <c r="D37" s="2">
        <v>64</v>
      </c>
      <c r="E37" s="1">
        <v>61.1</v>
      </c>
      <c r="F37" s="2">
        <v>5</v>
      </c>
      <c r="G37" s="3">
        <f t="shared" ref="G37:G39" si="3">C37</f>
        <v>949.24</v>
      </c>
      <c r="H37" s="4">
        <f t="shared" ref="H37:H39" si="4">D37</f>
        <v>64</v>
      </c>
      <c r="I37" s="3">
        <v>751.83</v>
      </c>
      <c r="J37" s="4">
        <v>28</v>
      </c>
      <c r="K37" s="3">
        <v>83.05</v>
      </c>
      <c r="L37" s="4">
        <v>5</v>
      </c>
    </row>
    <row r="38" spans="2:13" ht="18" customHeight="1">
      <c r="B38" s="11" t="s">
        <v>46</v>
      </c>
      <c r="C38" s="1">
        <v>22.71</v>
      </c>
      <c r="D38" s="2">
        <v>1</v>
      </c>
      <c r="E38" s="5"/>
      <c r="F38" s="5"/>
      <c r="G38" s="3">
        <f t="shared" si="3"/>
        <v>22.71</v>
      </c>
      <c r="H38" s="4">
        <f t="shared" si="4"/>
        <v>1</v>
      </c>
      <c r="I38" s="5"/>
      <c r="J38" s="5"/>
      <c r="K38" s="5"/>
      <c r="L38" s="5"/>
    </row>
    <row r="39" spans="2:13" ht="18" customHeight="1">
      <c r="B39" s="11" t="s">
        <v>47</v>
      </c>
      <c r="C39" s="1">
        <v>162.61000000000001</v>
      </c>
      <c r="D39" s="2">
        <v>8</v>
      </c>
      <c r="E39" s="1">
        <v>13.4</v>
      </c>
      <c r="F39" s="2">
        <v>1</v>
      </c>
      <c r="G39" s="3">
        <f t="shared" si="3"/>
        <v>162.61000000000001</v>
      </c>
      <c r="H39" s="4">
        <f t="shared" si="4"/>
        <v>8</v>
      </c>
      <c r="I39" s="3">
        <v>91.45</v>
      </c>
      <c r="J39" s="4">
        <v>3</v>
      </c>
      <c r="K39" s="5"/>
      <c r="L39" s="5"/>
    </row>
    <row r="40" spans="2:13" ht="18" customHeight="1">
      <c r="B40" s="21" t="s">
        <v>48</v>
      </c>
      <c r="C40" s="24">
        <f>SUM(C36:C39)</f>
        <v>1287.56</v>
      </c>
      <c r="D40" s="25">
        <f>SUM(D36:D39)</f>
        <v>83</v>
      </c>
      <c r="E40" s="22">
        <f t="shared" ref="E40:F40" si="5">E36+E37+E39</f>
        <v>99.93</v>
      </c>
      <c r="F40" s="23">
        <f t="shared" si="5"/>
        <v>8</v>
      </c>
      <c r="G40" s="24">
        <f>SUM(G36:G39)</f>
        <v>1287.56</v>
      </c>
      <c r="H40" s="23">
        <f>SUM(H36:H39)</f>
        <v>83</v>
      </c>
      <c r="I40" s="22">
        <f t="shared" ref="I40:J40" si="6">I36+I37+I39</f>
        <v>855.55000000000007</v>
      </c>
      <c r="J40" s="23">
        <f t="shared" si="6"/>
        <v>32</v>
      </c>
      <c r="K40" s="22">
        <f>K37+K36</f>
        <v>84.66</v>
      </c>
      <c r="L40" s="23">
        <f>L37+L36</f>
        <v>6</v>
      </c>
    </row>
    <row r="41" spans="2:13" ht="18" customHeight="1">
      <c r="B41" s="47" t="s">
        <v>49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</row>
    <row r="42" spans="2:13" ht="18" customHeight="1">
      <c r="B42" s="41" t="s">
        <v>50</v>
      </c>
      <c r="C42" s="5"/>
      <c r="D42" s="5"/>
      <c r="E42" s="1">
        <v>5.54</v>
      </c>
      <c r="F42" s="2">
        <v>2</v>
      </c>
      <c r="G42" s="5"/>
      <c r="H42" s="5"/>
      <c r="I42" s="5"/>
      <c r="J42" s="5"/>
      <c r="K42" s="5"/>
      <c r="L42" s="5"/>
    </row>
    <row r="43" spans="2:13" ht="18" customHeight="1">
      <c r="B43" s="41" t="s">
        <v>51</v>
      </c>
      <c r="C43" s="1">
        <v>7026.73</v>
      </c>
      <c r="D43" s="2">
        <v>153</v>
      </c>
      <c r="E43" s="1">
        <v>160.71</v>
      </c>
      <c r="F43" s="2">
        <v>11</v>
      </c>
      <c r="G43" s="3">
        <f>C43</f>
        <v>7026.73</v>
      </c>
      <c r="H43" s="3">
        <f>D43</f>
        <v>153</v>
      </c>
      <c r="I43" s="3">
        <v>1553.69</v>
      </c>
      <c r="J43" s="4">
        <v>47</v>
      </c>
      <c r="K43" s="3">
        <v>22.79</v>
      </c>
      <c r="L43" s="4">
        <v>5</v>
      </c>
    </row>
    <row r="44" spans="2:13" ht="18" customHeight="1">
      <c r="B44" s="41" t="s">
        <v>52</v>
      </c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2:13" ht="18" customHeight="1">
      <c r="B45" s="41" t="s">
        <v>53</v>
      </c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2:13" ht="18" customHeight="1">
      <c r="B46" s="41" t="s">
        <v>54</v>
      </c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2:13" ht="18" customHeight="1">
      <c r="B47" s="41" t="s">
        <v>55</v>
      </c>
      <c r="C47" s="1">
        <v>206.58</v>
      </c>
      <c r="D47" s="2">
        <v>1</v>
      </c>
      <c r="E47" s="5"/>
      <c r="F47" s="5"/>
      <c r="G47" s="3">
        <f>C47</f>
        <v>206.58</v>
      </c>
      <c r="H47" s="3">
        <f>D47</f>
        <v>1</v>
      </c>
      <c r="I47" s="5"/>
      <c r="J47" s="5"/>
      <c r="K47" s="5"/>
      <c r="L47" s="5"/>
    </row>
    <row r="48" spans="2:13" ht="18" customHeight="1">
      <c r="B48" s="41" t="s">
        <v>56</v>
      </c>
      <c r="C48" s="1">
        <v>42.58</v>
      </c>
      <c r="D48" s="2">
        <v>2</v>
      </c>
      <c r="E48" s="5"/>
      <c r="F48" s="5"/>
      <c r="G48" s="3">
        <f>C48</f>
        <v>42.58</v>
      </c>
      <c r="H48" s="3">
        <f>D48</f>
        <v>2</v>
      </c>
      <c r="I48" s="3">
        <v>41.69</v>
      </c>
      <c r="J48" s="4">
        <v>1</v>
      </c>
      <c r="K48" s="5"/>
      <c r="L48" s="5"/>
    </row>
    <row r="49" spans="2:12" ht="18" customHeight="1">
      <c r="B49" s="41" t="s">
        <v>57</v>
      </c>
      <c r="C49" s="5"/>
      <c r="D49" s="5"/>
      <c r="E49" s="5"/>
      <c r="F49" s="5"/>
      <c r="G49" s="5"/>
      <c r="H49" s="5"/>
      <c r="I49" s="3">
        <v>75.650000000000006</v>
      </c>
      <c r="J49" s="4">
        <v>6</v>
      </c>
      <c r="K49" s="5"/>
      <c r="L49" s="5"/>
    </row>
    <row r="50" spans="2:12" ht="18" customHeight="1">
      <c r="B50" s="41" t="s">
        <v>58</v>
      </c>
      <c r="C50" s="1">
        <v>721.41</v>
      </c>
      <c r="D50" s="2">
        <v>3</v>
      </c>
      <c r="E50" s="5"/>
      <c r="F50" s="5"/>
      <c r="G50" s="3">
        <f>C50</f>
        <v>721.41</v>
      </c>
      <c r="H50" s="3">
        <f>D50</f>
        <v>3</v>
      </c>
      <c r="I50" s="5"/>
      <c r="J50" s="5"/>
      <c r="K50" s="3">
        <v>95.89</v>
      </c>
      <c r="L50" s="4">
        <v>1</v>
      </c>
    </row>
    <row r="51" spans="2:12" ht="18" customHeight="1">
      <c r="B51" s="26" t="s">
        <v>59</v>
      </c>
      <c r="C51" s="29">
        <v>7997.3</v>
      </c>
      <c r="D51" s="29">
        <v>159</v>
      </c>
      <c r="E51" s="27">
        <f>E42+E43</f>
        <v>166.25</v>
      </c>
      <c r="F51" s="28">
        <f>F42+F43</f>
        <v>13</v>
      </c>
      <c r="G51" s="29">
        <v>7997.3</v>
      </c>
      <c r="H51" s="29">
        <v>159</v>
      </c>
      <c r="I51" s="29">
        <f>I49+I48+I43</f>
        <v>1671.03</v>
      </c>
      <c r="J51" s="28">
        <f>J49+J48+J43</f>
        <v>54</v>
      </c>
      <c r="K51" s="27">
        <v>118.68</v>
      </c>
      <c r="L51" s="28">
        <f>L50+L43</f>
        <v>6</v>
      </c>
    </row>
    <row r="52" spans="2:12" ht="18" customHeight="1">
      <c r="B52" s="48" t="s">
        <v>60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</row>
    <row r="53" spans="2:12" ht="18" customHeight="1">
      <c r="B53" s="11" t="s">
        <v>61</v>
      </c>
      <c r="C53" s="1">
        <v>91.87</v>
      </c>
      <c r="D53" s="2">
        <v>4</v>
      </c>
      <c r="E53" s="5"/>
      <c r="F53" s="5"/>
      <c r="G53" s="3">
        <f t="shared" ref="G53:H58" si="7">C53</f>
        <v>91.87</v>
      </c>
      <c r="H53" s="4">
        <f t="shared" si="7"/>
        <v>4</v>
      </c>
      <c r="I53" s="5"/>
      <c r="J53" s="5"/>
      <c r="K53" s="5"/>
      <c r="L53" s="5"/>
    </row>
    <row r="54" spans="2:12" ht="18" customHeight="1">
      <c r="B54" s="11" t="s">
        <v>62</v>
      </c>
      <c r="C54" s="1">
        <v>302.88</v>
      </c>
      <c r="D54" s="2">
        <v>29</v>
      </c>
      <c r="E54" s="1">
        <v>55.48</v>
      </c>
      <c r="F54" s="2">
        <v>9</v>
      </c>
      <c r="G54" s="3">
        <f t="shared" si="7"/>
        <v>302.88</v>
      </c>
      <c r="H54" s="4">
        <f t="shared" si="7"/>
        <v>29</v>
      </c>
      <c r="I54" s="3">
        <v>180.69</v>
      </c>
      <c r="J54" s="4">
        <v>18</v>
      </c>
      <c r="K54" s="3">
        <v>1.73</v>
      </c>
      <c r="L54" s="4">
        <v>1</v>
      </c>
    </row>
    <row r="55" spans="2:12" ht="18" customHeight="1">
      <c r="B55" s="11" t="s">
        <v>63</v>
      </c>
      <c r="C55" s="1">
        <v>192.25</v>
      </c>
      <c r="D55" s="2">
        <v>29</v>
      </c>
      <c r="E55" s="5"/>
      <c r="F55" s="5"/>
      <c r="G55" s="3">
        <f t="shared" si="7"/>
        <v>192.25</v>
      </c>
      <c r="H55" s="4">
        <f t="shared" si="7"/>
        <v>29</v>
      </c>
      <c r="I55" s="3">
        <v>33.450000000000003</v>
      </c>
      <c r="J55" s="4">
        <v>6</v>
      </c>
      <c r="K55" s="3">
        <v>1.69</v>
      </c>
      <c r="L55" s="4">
        <v>1</v>
      </c>
    </row>
    <row r="56" spans="2:12" ht="15.75" customHeight="1">
      <c r="B56" s="11" t="s">
        <v>64</v>
      </c>
      <c r="C56" s="1">
        <v>136.24</v>
      </c>
      <c r="D56" s="2">
        <v>14</v>
      </c>
      <c r="E56" s="1">
        <v>16.79</v>
      </c>
      <c r="F56" s="2">
        <v>1</v>
      </c>
      <c r="G56" s="3">
        <f t="shared" si="7"/>
        <v>136.24</v>
      </c>
      <c r="H56" s="4">
        <f t="shared" si="7"/>
        <v>14</v>
      </c>
      <c r="I56" s="3">
        <v>29.49</v>
      </c>
      <c r="J56" s="4">
        <v>2</v>
      </c>
      <c r="K56" s="5"/>
      <c r="L56" s="5"/>
    </row>
    <row r="57" spans="2:12" ht="18" customHeight="1">
      <c r="B57" s="11" t="s">
        <v>65</v>
      </c>
      <c r="C57" s="1">
        <v>107.81</v>
      </c>
      <c r="D57" s="2">
        <v>2</v>
      </c>
      <c r="E57" s="5"/>
      <c r="F57" s="5"/>
      <c r="G57" s="3">
        <f t="shared" si="7"/>
        <v>107.81</v>
      </c>
      <c r="H57" s="4">
        <f t="shared" si="7"/>
        <v>2</v>
      </c>
      <c r="I57" s="3">
        <v>11.23</v>
      </c>
      <c r="J57" s="4">
        <v>2</v>
      </c>
      <c r="K57" s="5"/>
      <c r="L57" s="5"/>
    </row>
    <row r="58" spans="2:12" ht="30" customHeight="1">
      <c r="B58" s="11" t="s">
        <v>66</v>
      </c>
      <c r="C58" s="1">
        <v>222.39</v>
      </c>
      <c r="D58" s="2">
        <v>17</v>
      </c>
      <c r="E58" s="5"/>
      <c r="F58" s="5"/>
      <c r="G58" s="3">
        <f t="shared" si="7"/>
        <v>222.39</v>
      </c>
      <c r="H58" s="4">
        <f t="shared" si="7"/>
        <v>17</v>
      </c>
      <c r="I58" s="3">
        <v>442.27</v>
      </c>
      <c r="J58" s="4">
        <v>16</v>
      </c>
      <c r="K58" s="3">
        <v>2.12</v>
      </c>
      <c r="L58" s="4">
        <v>1</v>
      </c>
    </row>
    <row r="59" spans="2:12" ht="18" customHeight="1">
      <c r="B59" s="11" t="s">
        <v>67</v>
      </c>
      <c r="C59" s="5"/>
      <c r="D59" s="5"/>
      <c r="E59" s="5"/>
      <c r="F59" s="5"/>
      <c r="G59" s="5"/>
      <c r="H59" s="6"/>
      <c r="I59" s="3">
        <v>167.65</v>
      </c>
      <c r="J59" s="4">
        <v>1</v>
      </c>
      <c r="K59" s="5"/>
      <c r="L59" s="5"/>
    </row>
    <row r="60" spans="2:12" ht="18" customHeight="1">
      <c r="B60" s="11" t="s">
        <v>68</v>
      </c>
      <c r="C60" s="1">
        <v>395.43</v>
      </c>
      <c r="D60" s="2">
        <v>2</v>
      </c>
      <c r="E60" s="1">
        <v>55.08</v>
      </c>
      <c r="F60" s="2">
        <v>1</v>
      </c>
      <c r="G60" s="3">
        <f>C60</f>
        <v>395.43</v>
      </c>
      <c r="H60" s="4">
        <f>D60</f>
        <v>2</v>
      </c>
      <c r="I60" s="3">
        <v>22.38</v>
      </c>
      <c r="J60" s="4">
        <v>1</v>
      </c>
      <c r="K60" s="5"/>
      <c r="L60" s="5"/>
    </row>
    <row r="61" spans="2:12" ht="18" customHeight="1">
      <c r="B61" s="11" t="s">
        <v>69</v>
      </c>
      <c r="C61" s="5"/>
      <c r="D61" s="5"/>
      <c r="E61" s="5"/>
      <c r="F61" s="5"/>
      <c r="G61" s="5"/>
      <c r="H61" s="6"/>
      <c r="I61" s="5"/>
      <c r="J61" s="5"/>
      <c r="K61" s="5"/>
      <c r="L61" s="5"/>
    </row>
    <row r="62" spans="2:12" ht="18" customHeight="1">
      <c r="B62" s="11" t="s">
        <v>70</v>
      </c>
      <c r="C62" s="1">
        <v>11.21</v>
      </c>
      <c r="D62" s="2">
        <v>1</v>
      </c>
      <c r="E62" s="5"/>
      <c r="F62" s="5"/>
      <c r="G62" s="3">
        <f>C62</f>
        <v>11.21</v>
      </c>
      <c r="H62" s="4">
        <f>D62</f>
        <v>1</v>
      </c>
      <c r="I62" s="5"/>
      <c r="J62" s="5"/>
      <c r="K62" s="5"/>
      <c r="L62" s="5"/>
    </row>
    <row r="63" spans="2:12" ht="18" customHeight="1">
      <c r="B63" s="11" t="s">
        <v>71</v>
      </c>
      <c r="C63" s="5"/>
      <c r="D63" s="5"/>
      <c r="E63" s="5"/>
      <c r="F63" s="5"/>
      <c r="G63" s="5"/>
      <c r="H63" s="6"/>
      <c r="I63" s="5"/>
      <c r="J63" s="5"/>
      <c r="K63" s="5"/>
      <c r="L63" s="5"/>
    </row>
    <row r="64" spans="2:12" ht="18" customHeight="1">
      <c r="B64" s="11" t="s">
        <v>72</v>
      </c>
      <c r="C64" s="1">
        <v>54.56</v>
      </c>
      <c r="D64" s="2">
        <v>13</v>
      </c>
      <c r="E64" s="1">
        <v>8.4</v>
      </c>
      <c r="F64" s="2">
        <v>1</v>
      </c>
      <c r="G64" s="3">
        <f t="shared" ref="G64:G65" si="8">C64</f>
        <v>54.56</v>
      </c>
      <c r="H64" s="4">
        <f t="shared" ref="H64:H65" si="9">D64</f>
        <v>13</v>
      </c>
      <c r="I64" s="5"/>
      <c r="J64" s="5"/>
      <c r="K64" s="3">
        <v>2.23</v>
      </c>
      <c r="L64" s="4">
        <v>1</v>
      </c>
    </row>
    <row r="65" spans="2:12" ht="18" customHeight="1">
      <c r="B65" s="11" t="s">
        <v>73</v>
      </c>
      <c r="C65" s="1">
        <v>61.59</v>
      </c>
      <c r="D65" s="2">
        <v>21</v>
      </c>
      <c r="E65" s="1">
        <v>3.47</v>
      </c>
      <c r="F65" s="2">
        <v>1</v>
      </c>
      <c r="G65" s="3">
        <f t="shared" si="8"/>
        <v>61.59</v>
      </c>
      <c r="H65" s="4">
        <f t="shared" si="9"/>
        <v>21</v>
      </c>
      <c r="I65" s="3">
        <v>14.31</v>
      </c>
      <c r="J65" s="4">
        <v>7</v>
      </c>
      <c r="K65" s="5"/>
      <c r="L65" s="5"/>
    </row>
    <row r="66" spans="2:12" ht="18" customHeight="1">
      <c r="B66" s="11" t="s">
        <v>74</v>
      </c>
      <c r="C66" s="5"/>
      <c r="D66" s="5"/>
      <c r="E66" s="1">
        <v>2.79</v>
      </c>
      <c r="F66" s="2">
        <v>1</v>
      </c>
      <c r="G66" s="5"/>
      <c r="H66" s="6"/>
      <c r="I66" s="5"/>
      <c r="J66" s="5"/>
      <c r="K66" s="5"/>
      <c r="L66" s="5"/>
    </row>
    <row r="67" spans="2:12" ht="18" customHeight="1">
      <c r="B67" s="11" t="s">
        <v>75</v>
      </c>
      <c r="C67" s="1">
        <v>29.12</v>
      </c>
      <c r="D67" s="2">
        <v>1</v>
      </c>
      <c r="E67" s="5"/>
      <c r="F67" s="5"/>
      <c r="G67" s="3">
        <f t="shared" ref="G67:G68" si="10">C67</f>
        <v>29.12</v>
      </c>
      <c r="H67" s="4">
        <f t="shared" ref="H67:H68" si="11">D67</f>
        <v>1</v>
      </c>
      <c r="I67" s="3">
        <v>9.77</v>
      </c>
      <c r="J67" s="4">
        <v>1</v>
      </c>
      <c r="K67" s="5"/>
      <c r="L67" s="5"/>
    </row>
    <row r="68" spans="2:12" ht="18" customHeight="1">
      <c r="B68" s="11" t="s">
        <v>76</v>
      </c>
      <c r="C68" s="1">
        <v>699.82</v>
      </c>
      <c r="D68" s="2">
        <v>52</v>
      </c>
      <c r="E68" s="1">
        <v>17.61</v>
      </c>
      <c r="F68" s="2">
        <v>4</v>
      </c>
      <c r="G68" s="3">
        <f t="shared" si="10"/>
        <v>699.82</v>
      </c>
      <c r="H68" s="4">
        <f t="shared" si="11"/>
        <v>52</v>
      </c>
      <c r="I68" s="3">
        <v>178.69</v>
      </c>
      <c r="J68" s="4">
        <v>14</v>
      </c>
      <c r="K68" s="5"/>
      <c r="L68" s="5"/>
    </row>
    <row r="69" spans="2:12" ht="18" customHeight="1">
      <c r="B69" s="11" t="s">
        <v>77</v>
      </c>
      <c r="C69" s="5"/>
      <c r="D69" s="5"/>
      <c r="E69" s="5"/>
      <c r="F69" s="5"/>
      <c r="G69" s="5"/>
      <c r="H69" s="6"/>
      <c r="I69" s="5"/>
      <c r="J69" s="5"/>
      <c r="K69" s="5"/>
      <c r="L69" s="5"/>
    </row>
    <row r="70" spans="2:12" ht="18" customHeight="1">
      <c r="B70" s="11" t="s">
        <v>78</v>
      </c>
      <c r="C70" s="1">
        <v>119.99</v>
      </c>
      <c r="D70" s="2">
        <v>1</v>
      </c>
      <c r="E70" s="5"/>
      <c r="F70" s="5"/>
      <c r="G70" s="3">
        <f>C70</f>
        <v>119.99</v>
      </c>
      <c r="H70" s="4">
        <f>D70</f>
        <v>1</v>
      </c>
      <c r="I70" s="5"/>
      <c r="J70" s="5"/>
      <c r="K70" s="5"/>
      <c r="L70" s="5"/>
    </row>
    <row r="71" spans="2:12" ht="18" customHeight="1">
      <c r="B71" s="11" t="s">
        <v>79</v>
      </c>
      <c r="C71" s="5"/>
      <c r="D71" s="5"/>
      <c r="E71" s="5"/>
      <c r="F71" s="5"/>
      <c r="G71" s="5"/>
      <c r="H71" s="6"/>
      <c r="I71" s="3">
        <v>112.18</v>
      </c>
      <c r="J71" s="4">
        <v>3</v>
      </c>
      <c r="K71" s="5"/>
      <c r="L71" s="5"/>
    </row>
    <row r="72" spans="2:12" ht="18" customHeight="1">
      <c r="B72" s="11" t="s">
        <v>80</v>
      </c>
      <c r="C72" s="1">
        <v>1606.08</v>
      </c>
      <c r="D72" s="2">
        <v>17</v>
      </c>
      <c r="E72" s="5"/>
      <c r="F72" s="5"/>
      <c r="G72" s="3">
        <f t="shared" ref="G72:G77" si="12">C72</f>
        <v>1606.08</v>
      </c>
      <c r="H72" s="4">
        <f t="shared" ref="H72:H77" si="13">D72</f>
        <v>17</v>
      </c>
      <c r="I72" s="5"/>
      <c r="J72" s="5"/>
      <c r="K72" s="5"/>
      <c r="L72" s="5"/>
    </row>
    <row r="73" spans="2:12" ht="18" customHeight="1">
      <c r="B73" s="11" t="s">
        <v>81</v>
      </c>
      <c r="C73" s="1">
        <v>3.19</v>
      </c>
      <c r="D73" s="2">
        <v>1</v>
      </c>
      <c r="E73" s="5"/>
      <c r="F73" s="5"/>
      <c r="G73" s="3">
        <f t="shared" si="12"/>
        <v>3.19</v>
      </c>
      <c r="H73" s="4">
        <f t="shared" si="13"/>
        <v>1</v>
      </c>
      <c r="I73" s="5"/>
      <c r="J73" s="5"/>
      <c r="K73" s="5"/>
      <c r="L73" s="5"/>
    </row>
    <row r="74" spans="2:12" ht="18" customHeight="1">
      <c r="B74" s="11" t="s">
        <v>82</v>
      </c>
      <c r="C74" s="1">
        <v>12.85</v>
      </c>
      <c r="D74" s="2">
        <v>1</v>
      </c>
      <c r="E74" s="5"/>
      <c r="F74" s="5"/>
      <c r="G74" s="3">
        <f t="shared" si="12"/>
        <v>12.85</v>
      </c>
      <c r="H74" s="4">
        <f t="shared" si="13"/>
        <v>1</v>
      </c>
      <c r="I74" s="12">
        <v>16.7</v>
      </c>
      <c r="J74" s="4">
        <v>2</v>
      </c>
      <c r="K74" s="5"/>
      <c r="L74" s="5"/>
    </row>
    <row r="75" spans="2:12" ht="18" customHeight="1">
      <c r="B75" s="11" t="s">
        <v>83</v>
      </c>
      <c r="C75" s="1">
        <v>10.11</v>
      </c>
      <c r="D75" s="2">
        <v>11</v>
      </c>
      <c r="E75" s="5"/>
      <c r="F75" s="5"/>
      <c r="G75" s="3">
        <f t="shared" si="12"/>
        <v>10.11</v>
      </c>
      <c r="H75" s="4">
        <f t="shared" si="13"/>
        <v>11</v>
      </c>
      <c r="I75" s="5"/>
      <c r="J75" s="5"/>
      <c r="K75" s="5"/>
      <c r="L75" s="5"/>
    </row>
    <row r="76" spans="2:12" ht="18" customHeight="1">
      <c r="B76" s="11" t="s">
        <v>39</v>
      </c>
      <c r="C76" s="1">
        <v>39.65</v>
      </c>
      <c r="D76" s="2">
        <v>1</v>
      </c>
      <c r="E76" s="5"/>
      <c r="F76" s="5"/>
      <c r="G76" s="3">
        <f t="shared" si="12"/>
        <v>39.65</v>
      </c>
      <c r="H76" s="4">
        <f t="shared" si="13"/>
        <v>1</v>
      </c>
      <c r="I76" s="5"/>
      <c r="J76" s="5"/>
      <c r="K76" s="5"/>
      <c r="L76" s="5"/>
    </row>
    <row r="77" spans="2:12" ht="18" customHeight="1">
      <c r="B77" s="11" t="s">
        <v>84</v>
      </c>
      <c r="C77" s="1">
        <v>14.5</v>
      </c>
      <c r="D77" s="2">
        <v>1</v>
      </c>
      <c r="E77" s="5"/>
      <c r="F77" s="5"/>
      <c r="G77" s="3">
        <f t="shared" si="12"/>
        <v>14.5</v>
      </c>
      <c r="H77" s="4">
        <f t="shared" si="13"/>
        <v>1</v>
      </c>
      <c r="I77" s="3">
        <v>13.82</v>
      </c>
      <c r="J77" s="4">
        <v>2</v>
      </c>
      <c r="K77" s="5"/>
      <c r="L77" s="5"/>
    </row>
    <row r="78" spans="2:12" ht="18" customHeight="1">
      <c r="B78" s="30" t="s">
        <v>85</v>
      </c>
      <c r="C78" s="33">
        <f>C77+C76+C75+C74+C73+C72+C70+C68+C67+C65+C64+C62+C60+C58+C57+C56+C55+C54+C53</f>
        <v>4111.54</v>
      </c>
      <c r="D78" s="33">
        <f>D77+D76+D75+D74+D73+D72+D70+D68+D67+D65+D64+D62+D60+D58+D57+D56+D55+D54+D53</f>
        <v>218</v>
      </c>
      <c r="E78" s="32">
        <f>E68+E66+E65+E64+E60+E56+E54</f>
        <v>159.61999999999998</v>
      </c>
      <c r="F78" s="31">
        <f>F68+F66+F65+F64+F60+F56+F54</f>
        <v>18</v>
      </c>
      <c r="G78" s="33">
        <f>G77+G76+G75+G74+G73+G72+G70+G68+G67+G65+G64+G62+G60+G58+G57+G56+G55+G54+G53</f>
        <v>4111.54</v>
      </c>
      <c r="H78" s="33">
        <f>H77+H76+H75+H74+H73+H72+H70+H68+H67+H65+H64+H62+H60+H58+H57+H56+H55+H54+H53</f>
        <v>218</v>
      </c>
      <c r="I78" s="33">
        <f>I77+I74+I71+I68+I67+I65+I60+I59+I58+I57+I56+I55+I54</f>
        <v>1232.6300000000001</v>
      </c>
      <c r="J78" s="31">
        <f>J77+J74+J71+J68+J67+J65+J60++J59+J58+J57+J56+J55+J54</f>
        <v>75</v>
      </c>
      <c r="K78" s="32">
        <f>K64+K58+K54+K55</f>
        <v>7.77</v>
      </c>
      <c r="L78" s="31">
        <f>L64+L58+L55+L54</f>
        <v>4</v>
      </c>
    </row>
    <row r="79" spans="2:12" ht="18" customHeight="1">
      <c r="B79" s="50" t="s">
        <v>86</v>
      </c>
      <c r="C79" s="51"/>
      <c r="D79" s="51"/>
      <c r="E79" s="51"/>
      <c r="F79" s="51"/>
      <c r="G79" s="51"/>
      <c r="H79" s="51"/>
      <c r="I79" s="51"/>
      <c r="J79" s="51"/>
      <c r="K79" s="51"/>
      <c r="L79" s="51"/>
    </row>
    <row r="80" spans="2:12" ht="18" customHeight="1">
      <c r="B80" s="11" t="s">
        <v>86</v>
      </c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2:12" ht="18" customHeight="1">
      <c r="B81" s="34" t="s">
        <v>87</v>
      </c>
      <c r="C81" s="36"/>
      <c r="D81" s="36"/>
      <c r="E81" s="35"/>
      <c r="F81" s="35"/>
      <c r="G81" s="36"/>
      <c r="H81" s="36"/>
      <c r="I81" s="35"/>
      <c r="J81" s="35"/>
      <c r="K81" s="35"/>
      <c r="L81" s="35"/>
    </row>
    <row r="82" spans="2:12" ht="18" customHeight="1">
      <c r="B82" s="15" t="s">
        <v>88</v>
      </c>
      <c r="C82" s="8">
        <f t="shared" ref="C82:L82" si="14">+C78+C51+C40+C34</f>
        <v>17948.080000000002</v>
      </c>
      <c r="D82" s="8">
        <f t="shared" si="14"/>
        <v>562</v>
      </c>
      <c r="E82" s="8">
        <f t="shared" si="14"/>
        <v>1014.01</v>
      </c>
      <c r="F82" s="8">
        <f t="shared" si="14"/>
        <v>52</v>
      </c>
      <c r="G82" s="8">
        <f t="shared" si="14"/>
        <v>17948.080000000002</v>
      </c>
      <c r="H82" s="8">
        <f t="shared" si="14"/>
        <v>562</v>
      </c>
      <c r="I82" s="8">
        <f t="shared" si="14"/>
        <v>12408.68</v>
      </c>
      <c r="J82" s="8">
        <f t="shared" si="14"/>
        <v>192</v>
      </c>
      <c r="K82" s="8">
        <f t="shared" si="14"/>
        <v>211.11</v>
      </c>
      <c r="L82" s="8">
        <f t="shared" si="14"/>
        <v>16</v>
      </c>
    </row>
  </sheetData>
  <mergeCells count="10">
    <mergeCell ref="B2:L2"/>
    <mergeCell ref="I4:J4"/>
    <mergeCell ref="K4:L4"/>
    <mergeCell ref="K5:L5"/>
    <mergeCell ref="I5:J5"/>
    <mergeCell ref="C5:D5"/>
    <mergeCell ref="E5:F5"/>
    <mergeCell ref="C4:D4"/>
    <mergeCell ref="G4:G6"/>
    <mergeCell ref="H4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K29"/>
  <sheetViews>
    <sheetView workbookViewId="0">
      <selection activeCell="K13" sqref="K6:K13"/>
    </sheetView>
  </sheetViews>
  <sheetFormatPr defaultColWidth="12" defaultRowHeight="12.75"/>
  <cols>
    <col min="3" max="3" width="26.83203125" customWidth="1"/>
    <col min="11" max="11" width="14.6640625" bestFit="1" customWidth="1"/>
  </cols>
  <sheetData>
    <row r="3" spans="3:11">
      <c r="C3" s="11" t="s">
        <v>16</v>
      </c>
      <c r="D3">
        <v>535.91</v>
      </c>
    </row>
    <row r="4" spans="3:11" ht="25.5">
      <c r="C4" s="11" t="s">
        <v>17</v>
      </c>
    </row>
    <row r="5" spans="3:11">
      <c r="C5" s="11" t="s">
        <v>18</v>
      </c>
      <c r="D5">
        <v>392.08</v>
      </c>
    </row>
    <row r="6" spans="3:11">
      <c r="C6" s="11" t="s">
        <v>19</v>
      </c>
      <c r="D6">
        <v>535.91</v>
      </c>
    </row>
    <row r="7" spans="3:11">
      <c r="C7" s="11" t="s">
        <v>20</v>
      </c>
      <c r="D7">
        <v>3304.0899999999997</v>
      </c>
    </row>
    <row r="8" spans="3:11">
      <c r="C8" s="11" t="s">
        <v>21</v>
      </c>
      <c r="D8">
        <v>143.76</v>
      </c>
      <c r="K8" s="42"/>
    </row>
    <row r="9" spans="3:11">
      <c r="C9" s="11" t="s">
        <v>22</v>
      </c>
      <c r="K9" s="42"/>
    </row>
    <row r="10" spans="3:11" ht="25.5">
      <c r="C10" s="11" t="s">
        <v>23</v>
      </c>
      <c r="D10">
        <v>108.76</v>
      </c>
      <c r="K10" s="42"/>
    </row>
    <row r="11" spans="3:11">
      <c r="C11" s="11" t="s">
        <v>24</v>
      </c>
      <c r="D11">
        <v>19.13</v>
      </c>
    </row>
    <row r="12" spans="3:11">
      <c r="C12" s="11" t="s">
        <v>25</v>
      </c>
    </row>
    <row r="13" spans="3:11">
      <c r="C13" s="11" t="s">
        <v>26</v>
      </c>
    </row>
    <row r="14" spans="3:11">
      <c r="C14" s="11" t="s">
        <v>27</v>
      </c>
    </row>
    <row r="15" spans="3:11">
      <c r="C15" s="11" t="s">
        <v>28</v>
      </c>
    </row>
    <row r="16" spans="3:11" ht="25.5">
      <c r="C16" s="11" t="s">
        <v>29</v>
      </c>
      <c r="D16">
        <v>235.46</v>
      </c>
    </row>
    <row r="17" spans="3:4">
      <c r="C17" s="11" t="s">
        <v>30</v>
      </c>
    </row>
    <row r="18" spans="3:4">
      <c r="C18" s="11" t="s">
        <v>31</v>
      </c>
    </row>
    <row r="19" spans="3:4">
      <c r="C19" s="11" t="s">
        <v>32</v>
      </c>
      <c r="D19">
        <v>253.63</v>
      </c>
    </row>
    <row r="20" spans="3:4">
      <c r="C20" s="11" t="s">
        <v>33</v>
      </c>
      <c r="D20">
        <v>75.959999999999994</v>
      </c>
    </row>
    <row r="21" spans="3:4">
      <c r="C21" s="11" t="s">
        <v>34</v>
      </c>
      <c r="D21">
        <v>183.52999999999997</v>
      </c>
    </row>
    <row r="22" spans="3:4" ht="25.5">
      <c r="C22" s="11" t="s">
        <v>35</v>
      </c>
    </row>
    <row r="23" spans="3:4">
      <c r="C23" s="11" t="s">
        <v>36</v>
      </c>
    </row>
    <row r="24" spans="3:4">
      <c r="C24" s="11" t="s">
        <v>37</v>
      </c>
      <c r="D24">
        <v>27.04</v>
      </c>
    </row>
    <row r="25" spans="3:4">
      <c r="C25" s="11" t="s">
        <v>38</v>
      </c>
    </row>
    <row r="26" spans="3:4">
      <c r="C26" s="11" t="s">
        <v>39</v>
      </c>
      <c r="D26">
        <v>710.25</v>
      </c>
    </row>
    <row r="27" spans="3:4">
      <c r="C27" s="11" t="s">
        <v>40</v>
      </c>
    </row>
    <row r="28" spans="3:4">
      <c r="C28" s="11" t="s">
        <v>41</v>
      </c>
    </row>
    <row r="29" spans="3:4">
      <c r="C29" s="17" t="s">
        <v>42</v>
      </c>
      <c r="D29">
        <v>6525.5099999999993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CAIMAN URQUIJO CAMILO ANDRES</cp:lastModifiedBy>
  <cp:revision/>
  <dcterms:created xsi:type="dcterms:W3CDTF">2019-09-10T14:04:44Z</dcterms:created>
  <dcterms:modified xsi:type="dcterms:W3CDTF">2025-07-01T15:49:16Z</dcterms:modified>
  <cp:category/>
  <cp:contentStatus/>
</cp:coreProperties>
</file>