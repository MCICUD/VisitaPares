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2"/>
  <workbookPr/>
  <mc:AlternateContent xmlns:mc="http://schemas.openxmlformats.org/markup-compatibility/2006">
    <mc:Choice Requires="x15">
      <x15ac:absPath xmlns:x15ac="http://schemas.microsoft.com/office/spreadsheetml/2010/11/ac" url="C:\Users\AdministradorUD\Desktop\Nuxeo\Esp SIG\6 - Infraestructura y Bienestar\Espacios Fisicos\"/>
    </mc:Choice>
  </mc:AlternateContent>
  <xr:revisionPtr revIDLastSave="0" documentId="8_{F95154BC-6E6E-437E-8071-5D01AA8B2C90}" xr6:coauthVersionLast="47" xr6:coauthVersionMax="47" xr10:uidLastSave="{00000000-0000-0000-0000-000000000000}"/>
  <bookViews>
    <workbookView xWindow="0" yWindow="0" windowWidth="20490" windowHeight="6945" firstSheet="1" activeTab="1" xr2:uid="{00000000-000D-0000-FFFF-FFFF00000000}"/>
  </bookViews>
  <sheets>
    <sheet name="Contenido" sheetId="4" r:id="rId1"/>
    <sheet name="a. Infraestructura Biblioteca" sheetId="3" r:id="rId2"/>
    <sheet name="b. Indicadores" sheetId="1" r:id="rId3"/>
  </sheets>
  <definedNames>
    <definedName name="_xlnm._FilterDatabase" localSheetId="1" hidden="1">'a. Infraestructura Biblioteca'!$B$6:$N$32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I22" i="1"/>
  <c r="G18" i="3" l="1"/>
  <c r="H18" i="3"/>
  <c r="I18" i="3"/>
  <c r="F18" i="3"/>
  <c r="E22" i="3"/>
  <c r="D53" i="3"/>
  <c r="E53" i="3"/>
  <c r="F53" i="3"/>
  <c r="G53" i="3"/>
  <c r="H53" i="3"/>
  <c r="I53" i="3"/>
  <c r="J53" i="3"/>
  <c r="K53" i="3"/>
  <c r="L53" i="3"/>
  <c r="M53" i="3"/>
  <c r="O53" i="3"/>
  <c r="C53" i="3"/>
  <c r="N32" i="3"/>
  <c r="M32" i="3"/>
  <c r="N52" i="3" l="1"/>
  <c r="N51" i="3"/>
  <c r="N50" i="3"/>
  <c r="N49" i="3"/>
  <c r="N48" i="3"/>
  <c r="N47" i="3"/>
  <c r="N46" i="3"/>
  <c r="N45" i="3"/>
  <c r="N44" i="3"/>
  <c r="N43" i="3"/>
  <c r="N42" i="3"/>
  <c r="N41" i="3"/>
  <c r="N40" i="3"/>
  <c r="N39" i="3"/>
  <c r="N38" i="3"/>
  <c r="N37" i="3"/>
  <c r="N36" i="3"/>
  <c r="E32" i="3"/>
  <c r="F32" i="3"/>
  <c r="G32" i="3"/>
  <c r="H32" i="3"/>
  <c r="I32" i="3"/>
  <c r="J32" i="3"/>
  <c r="K32" i="3"/>
  <c r="L32" i="3"/>
  <c r="D32" i="3"/>
  <c r="I24" i="1"/>
  <c r="I25" i="1"/>
  <c r="I26" i="1"/>
  <c r="I27" i="1"/>
  <c r="H24" i="1"/>
  <c r="H26" i="1"/>
  <c r="H25" i="1"/>
  <c r="C22" i="1"/>
  <c r="D22" i="1"/>
  <c r="E22" i="1"/>
  <c r="F22" i="1"/>
  <c r="C23" i="1"/>
  <c r="D23" i="1"/>
  <c r="E23" i="1"/>
  <c r="F23" i="1"/>
  <c r="C24" i="1"/>
  <c r="D24" i="1"/>
  <c r="E24" i="1"/>
  <c r="F24" i="1"/>
  <c r="C25" i="1"/>
  <c r="D25" i="1"/>
  <c r="E25" i="1"/>
  <c r="F25" i="1"/>
  <c r="C26" i="1"/>
  <c r="D26" i="1"/>
  <c r="E26" i="1"/>
  <c r="F26" i="1"/>
  <c r="C27" i="1"/>
  <c r="D27" i="1"/>
  <c r="E27" i="1"/>
  <c r="F27" i="1"/>
  <c r="N53" i="3" l="1"/>
  <c r="G26" i="1"/>
  <c r="G24" i="1"/>
  <c r="G25" i="1"/>
  <c r="G27" i="1"/>
  <c r="H27" i="1" l="1"/>
  <c r="G22" i="1"/>
  <c r="G23" i="1"/>
  <c r="H22" i="1" l="1"/>
  <c r="H23" i="1"/>
</calcChain>
</file>

<file path=xl/sharedStrings.xml><?xml version="1.0" encoding="utf-8"?>
<sst xmlns="http://schemas.openxmlformats.org/spreadsheetml/2006/main" count="151" uniqueCount="118">
  <si>
    <t>UNIDAD DE BIBLIOTECA</t>
  </si>
  <si>
    <t>BIBLIOTECA INFRAESTRUCTURA FÍSICA</t>
  </si>
  <si>
    <t>Contenido</t>
  </si>
  <si>
    <t>Ir a la fecha que requiera información. Dar clic</t>
  </si>
  <si>
    <t>UNIVERSIDAD DISTRITAL FRANCISCO JOSÉ DE CALDAS</t>
  </si>
  <si>
    <t>INFRAESTRUCTURA FÍSICA BIBLIOTECAS</t>
  </si>
  <si>
    <t>SEDE</t>
  </si>
  <si>
    <t>BIBLIOTECAS</t>
  </si>
  <si>
    <t>DIRECCIÓN</t>
  </si>
  <si>
    <t>Año que entró en funcionamiento</t>
  </si>
  <si>
    <t>2020 Total Área Mts2</t>
  </si>
  <si>
    <t>2022 Total Área Mts2</t>
  </si>
  <si>
    <t>2023 Total Área Mts2</t>
  </si>
  <si>
    <t>2024 Total Área Mts2</t>
  </si>
  <si>
    <t>Facultad Medio Ambiente y Recursos Naturales - Porvenir</t>
  </si>
  <si>
    <t>Biblioeca Heliodoro Sánchez Páez</t>
  </si>
  <si>
    <t>Calle 52 Sur # 88b-37</t>
  </si>
  <si>
    <t>2018 Creación Nueva</t>
  </si>
  <si>
    <t>Facultad de Tecnológica - Ensueño</t>
  </si>
  <si>
    <t>Biblioteca Ricardo Piraján Cantillo -Edificio Lectus</t>
  </si>
  <si>
    <t>Calle 68D Bis A Sur # 49F-70 Candelaria La Nueva IV</t>
  </si>
  <si>
    <t>2010 - Nueva 2023
2021 Edificio Ensueño (1300Mt2 aprox)</t>
  </si>
  <si>
    <t>Aduanilla de Paiba</t>
  </si>
  <si>
    <t>Biblioteca Ramón Eduardo D’Luyz Nieto</t>
  </si>
  <si>
    <t>Carrera 13 # 31 – 75</t>
  </si>
  <si>
    <t>2013 Creación Nueva</t>
  </si>
  <si>
    <t>Facultad Ciencias y Educación - Macarena A</t>
  </si>
  <si>
    <t xml:space="preserve">Biblioteca Comandante Camilo Torres Restrepo </t>
  </si>
  <si>
    <t>Carrera 3 # 26A – 40</t>
  </si>
  <si>
    <t>Creación
 2013 Remodelada</t>
  </si>
  <si>
    <t>Facultad Medio Ambiente y Recursos Naturales - Vivero</t>
  </si>
  <si>
    <t>Biblioteca Hipólito Camargo</t>
  </si>
  <si>
    <t>Carrera 5 Este # 15-82</t>
  </si>
  <si>
    <t>Remodelada 2012</t>
  </si>
  <si>
    <t xml:space="preserve">Facultad de Ingeniería - </t>
  </si>
  <si>
    <t xml:space="preserve">Biblioteca Vytautas Gabriunas </t>
  </si>
  <si>
    <t>Carrera 7 # 40-53 Edificio Sabio Caldas</t>
  </si>
  <si>
    <t>2010 - Remodelada</t>
  </si>
  <si>
    <t>Facultad de Artes - Sede ASAB</t>
  </si>
  <si>
    <t>BIblioteca Antonio Nariño</t>
  </si>
  <si>
    <t>Carrera 13 # 14-69</t>
  </si>
  <si>
    <t>Creación año 2005 - 2012- Remodelada
 2018- Remodelada</t>
  </si>
  <si>
    <t>Facultad Ciencias y Educación - Macarena B</t>
  </si>
  <si>
    <t>Biblioteca Jairo Aníbal Niño</t>
  </si>
  <si>
    <t>Carrera 4 # 26B – 54</t>
  </si>
  <si>
    <t>Centro de Documentación Ciencias Sociales - CDSO</t>
  </si>
  <si>
    <t>1996 creación
 2013 Remodelada</t>
  </si>
  <si>
    <t>Centro de Documentación de las Artes "Gabriel Esquinas"</t>
  </si>
  <si>
    <t>Facultad Ciencias y Educación - Posgrados</t>
  </si>
  <si>
    <t>Biblioteca Posgrados</t>
  </si>
  <si>
    <t>Carrera 6 #10-72, Bogotá - La Candelaria</t>
  </si>
  <si>
    <t>Creación 1994 traslado sede posgrados año 2005. Traslado 2023</t>
  </si>
  <si>
    <t>TOTAL</t>
  </si>
  <si>
    <t>Datos propios de biblioteca. Corte 30/12/2024. En la vigencia 2022 la Biblioteca Administración Deportiva fue cerrada por condiciones de infraestructura de la Universidad Distrital Francisco Jose de Caldas
En la vigencia 2023 la Biblioteca Posgrados fue reubicada de lugar por tanto la disminución en metros cuadrados.</t>
  </si>
  <si>
    <t>SALAS DE LECTURA</t>
  </si>
  <si>
    <t>PUESTOS DE LECTURA</t>
  </si>
  <si>
    <t>COMPUTADORES FUNCIONARIOS (puestos de trabajo)</t>
  </si>
  <si>
    <t>COMPUTADORES CONSULTA CATALOGO</t>
  </si>
  <si>
    <t>COMPUTADORES PRESTAMO-USUARIOS</t>
  </si>
  <si>
    <t xml:space="preserve">PORTATILES </t>
  </si>
  <si>
    <t>TABLETS</t>
  </si>
  <si>
    <t>CARTELERAS DIGITALES</t>
  </si>
  <si>
    <t>TV</t>
  </si>
  <si>
    <t>AUDIFONOS</t>
  </si>
  <si>
    <t>VIDEO JUEGOS</t>
  </si>
  <si>
    <t xml:space="preserve">SALAS / ESPACIOS </t>
  </si>
  <si>
    <t>Comandante Camilo Torres Restrepo - Sede Macarena A-</t>
  </si>
  <si>
    <t>Jairo Aníbal Niño -Sede Macarena B</t>
  </si>
  <si>
    <t>Ramón Eduardo D’Luyz Nieto . Sede Aduanilla de Paiba</t>
  </si>
  <si>
    <t>Vytautas Gabriunas -Facultad Ingeniería</t>
  </si>
  <si>
    <t>Hipólito Camargo -Sede Medio Ambiente Vivero-</t>
  </si>
  <si>
    <t xml:space="preserve">Heliodoro Sánchez Páez - Sede Porvenir </t>
  </si>
  <si>
    <t>Ensueño - Facultad Tecnológica-</t>
  </si>
  <si>
    <t>ASAB - Antonio Nariño</t>
  </si>
  <si>
    <t>CDOSO - Centro de documentación de sociales</t>
  </si>
  <si>
    <t>CDARTES - Centro de documentación de Artes</t>
  </si>
  <si>
    <t>Posgrados</t>
  </si>
  <si>
    <t>Proyección</t>
  </si>
  <si>
    <t>SALA DE LECTURA</t>
  </si>
  <si>
    <t>AUDITORIOS</t>
  </si>
  <si>
    <t>TEATRO - AUDITORIO</t>
  </si>
  <si>
    <t>SALA GRUPAL - SALA DE REUNIONES</t>
  </si>
  <si>
    <t>SALA DE EXPOSICIÓN ARTE</t>
  </si>
  <si>
    <t>SALA MULTIFUNCIONAL</t>
  </si>
  <si>
    <t xml:space="preserve">SALAS DE INFORMATICA - </t>
  </si>
  <si>
    <t>SALAS MULTIMEDIA</t>
  </si>
  <si>
    <t>SALA MAKERSPACE</t>
  </si>
  <si>
    <t>MEDIATECA SONOTECA - VIDEOTECA -MEDIALAB</t>
  </si>
  <si>
    <t>SALA DE CAPACITACIÓN</t>
  </si>
  <si>
    <t xml:space="preserve">COWORKING / SALA DE INNOVACION </t>
  </si>
  <si>
    <t>CLUB BILINGÜE</t>
  </si>
  <si>
    <t xml:space="preserve">FABLAB </t>
  </si>
  <si>
    <t xml:space="preserve">CAFÉ LIBRO </t>
  </si>
  <si>
    <t>SALONES</t>
  </si>
  <si>
    <t>SALA BIBLIOTECA INCLUSIÓN</t>
  </si>
  <si>
    <t>INDICADORES DE IMPACTO UNIDAD BIBLIOTECA</t>
  </si>
  <si>
    <t>Indicador de Impacto</t>
  </si>
  <si>
    <t>Número de bibliotecas</t>
  </si>
  <si>
    <t>Número de puestos de lectura</t>
  </si>
  <si>
    <t>M2 biblioteca*</t>
  </si>
  <si>
    <t>Numero de Computadores (Consulta Catalogo) disponibles para la búsqueda de material bibliográfico por los usuarios.</t>
  </si>
  <si>
    <t>Numero de Computadores y Clientes (Consulta y Administrativo) disponibles para la atención de los usuarios.</t>
  </si>
  <si>
    <t>Puestos de trabajo</t>
  </si>
  <si>
    <t>Total de ejemplares (impresos)</t>
  </si>
  <si>
    <t>Numero de base de datos multidisciplinarias</t>
  </si>
  <si>
    <t>Numero de base de datos especializadas</t>
  </si>
  <si>
    <t>Bases de Datos Suscritas</t>
  </si>
  <si>
    <t>Bases de Datos en Acceso abierto</t>
  </si>
  <si>
    <t>Total Usuarios atendidos que consultaron recursos bibliográficos (libros - bases de datos)</t>
  </si>
  <si>
    <t>Total Comunidad Académica</t>
  </si>
  <si>
    <t>Mts2 estándar por usuario</t>
  </si>
  <si>
    <t>Puestos de trabajo vs Usuarios atendidos</t>
  </si>
  <si>
    <t>Puestos de lectura vs Usuarios atendidos</t>
  </si>
  <si>
    <t>Usuarios atendidos vs Comunidad Académica</t>
  </si>
  <si>
    <t>Mts2 vs Usuarios atendidos</t>
  </si>
  <si>
    <t>Ejemplares Vs Usuarios Atendidos</t>
  </si>
  <si>
    <t>Computadores disponibles vs usuarios atendidos</t>
  </si>
  <si>
    <t>*Se ajusta datos de M2 biblioteca, ya que se ajustó el total de metros de la Biblioteca Aduanilla de Paiba son 600, antes se había colocado el dato de toda le Sede Aduanilla de Paiba 2.115. Aumenta los metros cuadrados 2019 por la nueva Biblioteca Ensueño, pero disminuirá en años siguientes por la definiciones que se puedan tomar de los espacios en la Sede Tecnológica, Posgrados y Administración Deportiva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</si>
</sst>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64" formatCode="0.0000"/>
    <numFmt numFmtId="165" formatCode="0.000"/>
    <numFmt numFmtId="166" formatCode="#,##0;[Red]#,##0"/>
  </numFmts>
  <fonts count="35">
    <font>
      <sz val="11"/>
      <color theme="1"/>
      <name val="Calibri"/>
      <scheme val="minor"/>
    </font>
    <font>
      <sz val="11"/>
      <color theme="1"/>
      <name val="Calibri"/>
      <family val="2"/>
      <scheme val="minor"/>
    </font>
    <font>
      <sz val="11"/>
      <color theme="1"/>
      <name val="Calibri"/>
      <family val="2"/>
    </font>
    <font>
      <sz val="10"/>
      <color rgb="FF000000"/>
      <name val="Calibri"/>
      <family val="2"/>
    </font>
    <font>
      <sz val="11"/>
      <color rgb="FF000000"/>
      <name val="Calibri"/>
      <family val="2"/>
    </font>
    <font>
      <b/>
      <sz val="11"/>
      <color theme="1"/>
      <name val="Calibri"/>
      <family val="2"/>
    </font>
    <font>
      <b/>
      <sz val="11"/>
      <color rgb="FF000000"/>
      <name val="Calibri"/>
      <family val="2"/>
    </font>
    <font>
      <b/>
      <sz val="10"/>
      <color rgb="FF000000"/>
      <name val="Arial"/>
      <family val="2"/>
    </font>
    <font>
      <b/>
      <sz val="11"/>
      <name val="Calibri"/>
      <family val="2"/>
    </font>
    <font>
      <sz val="9"/>
      <color rgb="FF000000"/>
      <name val="Arial"/>
      <family val="2"/>
    </font>
    <font>
      <sz val="10"/>
      <color rgb="FF000000"/>
      <name val="Arial"/>
      <family val="2"/>
    </font>
    <font>
      <b/>
      <sz val="9"/>
      <color rgb="FF000000"/>
      <name val="Arial"/>
      <family val="2"/>
    </font>
    <font>
      <sz val="11"/>
      <color rgb="FF000000"/>
      <name val="Arial"/>
      <family val="2"/>
    </font>
    <font>
      <sz val="8"/>
      <color rgb="FF000000"/>
      <name val="Arial"/>
      <family val="2"/>
    </font>
    <font>
      <sz val="8"/>
      <color rgb="FF000000"/>
      <name val="Calibri"/>
      <family val="2"/>
      <scheme val="minor"/>
    </font>
    <font>
      <sz val="10"/>
      <color theme="0"/>
      <name val="Arial"/>
      <family val="2"/>
    </font>
    <font>
      <b/>
      <sz val="10"/>
      <color theme="0"/>
      <name val="Arial"/>
      <family val="2"/>
    </font>
    <font>
      <b/>
      <sz val="12"/>
      <color theme="0"/>
      <name val="Arial"/>
      <family val="2"/>
    </font>
    <font>
      <sz val="10"/>
      <color rgb="FFFF0000"/>
      <name val="Arial"/>
      <family val="2"/>
    </font>
    <font>
      <sz val="14"/>
      <color rgb="FF000000"/>
      <name val="Arial"/>
      <family val="2"/>
    </font>
    <font>
      <sz val="12"/>
      <color theme="0"/>
      <name val="Arial"/>
      <family val="2"/>
    </font>
    <font>
      <b/>
      <sz val="10"/>
      <name val="Arial"/>
      <family val="2"/>
    </font>
    <font>
      <b/>
      <sz val="9"/>
      <name val="Arial"/>
      <family val="2"/>
    </font>
    <font>
      <sz val="10"/>
      <color theme="1"/>
      <name val="Arial Narrow"/>
      <family val="2"/>
    </font>
    <font>
      <b/>
      <sz val="14"/>
      <color theme="1"/>
      <name val="Arial Narrow"/>
      <family val="2"/>
    </font>
    <font>
      <sz val="14"/>
      <color theme="1"/>
      <name val="Arial Narrow"/>
      <family val="2"/>
    </font>
    <font>
      <b/>
      <sz val="10"/>
      <color theme="1"/>
      <name val="Arial Narrow"/>
      <family val="2"/>
    </font>
    <font>
      <u/>
      <sz val="11"/>
      <color theme="10"/>
      <name val="Calibri"/>
      <family val="2"/>
      <scheme val="minor"/>
    </font>
    <font>
      <u/>
      <sz val="10"/>
      <color theme="10"/>
      <name val="Arial Narrow"/>
      <family val="2"/>
    </font>
    <font>
      <sz val="12"/>
      <color theme="1"/>
      <name val="Arial Narrow"/>
      <family val="2"/>
    </font>
    <font>
      <b/>
      <sz val="12"/>
      <color theme="1"/>
      <name val="Arial Narrow"/>
      <family val="2"/>
    </font>
    <font>
      <sz val="11"/>
      <color theme="1"/>
      <name val="Arial Narrow"/>
      <family val="2"/>
    </font>
    <font>
      <b/>
      <sz val="12"/>
      <name val="Arial Narrow"/>
      <family val="2"/>
    </font>
    <font>
      <sz val="11"/>
      <color rgb="FF000000"/>
      <name val="Arial Narrow"/>
      <family val="2"/>
    </font>
    <font>
      <sz val="11"/>
      <name val="Arial Narrow"/>
      <family val="2"/>
    </font>
  </fonts>
  <fills count="12">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theme="0"/>
        <bgColor theme="0"/>
      </patternFill>
    </fill>
    <fill>
      <patternFill patternType="solid">
        <fgColor rgb="FFFFF2CC"/>
        <bgColor indexed="64"/>
      </patternFill>
    </fill>
    <fill>
      <patternFill patternType="solid">
        <fgColor rgb="FFFFFFFF"/>
        <bgColor indexed="64"/>
      </patternFill>
    </fill>
    <fill>
      <patternFill patternType="solid">
        <fgColor theme="0"/>
        <bgColor indexed="64"/>
      </patternFill>
    </fill>
    <fill>
      <patternFill patternType="solid">
        <fgColor rgb="FFC00000"/>
        <bgColor indexed="64"/>
      </patternFill>
    </fill>
    <fill>
      <patternFill patternType="solid">
        <fgColor theme="0"/>
        <bgColor rgb="FFFFFFFF"/>
      </patternFill>
    </fill>
    <fill>
      <patternFill patternType="solid">
        <fgColor theme="0" tint="-4.9989318521683403E-2"/>
        <bgColor indexed="64"/>
      </patternFill>
    </fill>
    <fill>
      <patternFill patternType="solid">
        <fgColor theme="0" tint="-0.249977111117893"/>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41" fontId="1" fillId="0" borderId="0" applyFont="0" applyFill="0" applyBorder="0" applyAlignment="0" applyProtection="0"/>
    <xf numFmtId="0" fontId="27" fillId="0" borderId="0" applyNumberFormat="0" applyFill="0" applyBorder="0" applyAlignment="0" applyProtection="0"/>
  </cellStyleXfs>
  <cellXfs count="124">
    <xf numFmtId="0" fontId="0" fillId="0" borderId="0" xfId="0"/>
    <xf numFmtId="0" fontId="2" fillId="0" borderId="0" xfId="0" applyFont="1" applyAlignment="1">
      <alignment vertical="center"/>
    </xf>
    <xf numFmtId="0" fontId="2" fillId="0" borderId="0" xfId="0" applyFont="1" applyAlignment="1">
      <alignment vertical="center" wrapText="1"/>
    </xf>
    <xf numFmtId="0" fontId="4" fillId="0" borderId="0" xfId="0" applyFont="1" applyAlignment="1">
      <alignment vertical="center" wrapText="1"/>
    </xf>
    <xf numFmtId="3" fontId="4" fillId="0" borderId="0" xfId="0" applyNumberFormat="1" applyFont="1" applyAlignment="1">
      <alignment vertical="center" wrapText="1"/>
    </xf>
    <xf numFmtId="0" fontId="4" fillId="4" borderId="0" xfId="0" applyFont="1" applyFill="1" applyAlignment="1">
      <alignment vertical="center" wrapText="1"/>
    </xf>
    <xf numFmtId="0" fontId="2" fillId="4" borderId="0" xfId="0" applyFont="1" applyFill="1" applyAlignment="1">
      <alignment vertical="center"/>
    </xf>
    <xf numFmtId="0" fontId="7" fillId="7" borderId="0" xfId="0" applyFont="1" applyFill="1" applyAlignment="1">
      <alignment horizontal="center" vertical="center" wrapText="1"/>
    </xf>
    <xf numFmtId="0" fontId="10" fillId="7" borderId="0" xfId="0" applyFont="1" applyFill="1" applyAlignment="1">
      <alignment vertical="center" wrapText="1"/>
    </xf>
    <xf numFmtId="166" fontId="3" fillId="7" borderId="0" xfId="0" applyNumberFormat="1" applyFont="1" applyFill="1" applyAlignment="1">
      <alignment vertical="center"/>
    </xf>
    <xf numFmtId="0" fontId="15" fillId="7" borderId="0" xfId="0" applyFont="1" applyFill="1" applyAlignment="1">
      <alignment horizontal="center" vertical="center" wrapText="1"/>
    </xf>
    <xf numFmtId="0" fontId="4" fillId="7" borderId="0" xfId="0" applyFont="1" applyFill="1" applyAlignment="1">
      <alignment vertical="center" wrapText="1"/>
    </xf>
    <xf numFmtId="0" fontId="13" fillId="7" borderId="0" xfId="0" applyFont="1" applyFill="1" applyAlignment="1">
      <alignment vertical="center" wrapText="1"/>
    </xf>
    <xf numFmtId="0" fontId="14" fillId="7" borderId="0" xfId="0" applyFont="1" applyFill="1" applyAlignment="1">
      <alignment vertical="center"/>
    </xf>
    <xf numFmtId="166" fontId="3" fillId="7" borderId="1" xfId="0" applyNumberFormat="1" applyFont="1" applyFill="1" applyBorder="1" applyAlignment="1">
      <alignment horizontal="center" vertical="center"/>
    </xf>
    <xf numFmtId="0" fontId="10"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7" borderId="1" xfId="0" applyFont="1" applyFill="1" applyBorder="1" applyAlignment="1">
      <alignment horizontal="left" vertical="center" wrapText="1"/>
    </xf>
    <xf numFmtId="0" fontId="10" fillId="0" borderId="1" xfId="0" applyFont="1" applyBorder="1" applyAlignment="1">
      <alignment horizontal="center" vertical="center" wrapText="1"/>
    </xf>
    <xf numFmtId="0" fontId="16" fillId="8" borderId="1" xfId="0" applyFont="1" applyFill="1" applyBorder="1" applyAlignment="1">
      <alignment horizontal="center" vertical="center" wrapText="1"/>
    </xf>
    <xf numFmtId="0" fontId="16" fillId="7" borderId="0" xfId="0" applyFont="1" applyFill="1" applyAlignment="1">
      <alignment horizontal="center" vertical="center" wrapText="1"/>
    </xf>
    <xf numFmtId="0" fontId="6" fillId="4" borderId="0" xfId="0" applyFont="1" applyFill="1" applyAlignment="1">
      <alignment vertical="center" wrapText="1"/>
    </xf>
    <xf numFmtId="0" fontId="5" fillId="4" borderId="0" xfId="0" applyFont="1" applyFill="1" applyAlignment="1">
      <alignment vertical="center"/>
    </xf>
    <xf numFmtId="0" fontId="17" fillId="8" borderId="1" xfId="0" applyFont="1" applyFill="1" applyBorder="1" applyAlignment="1">
      <alignment horizontal="center" vertical="center" wrapText="1"/>
    </xf>
    <xf numFmtId="0" fontId="2" fillId="0" borderId="1" xfId="0" applyFont="1" applyBorder="1" applyAlignment="1">
      <alignment horizontal="center" vertical="center"/>
    </xf>
    <xf numFmtId="0" fontId="4" fillId="0" borderId="1" xfId="0" applyFont="1" applyBorder="1" applyAlignment="1">
      <alignment vertical="center" wrapText="1"/>
    </xf>
    <xf numFmtId="0" fontId="7" fillId="0" borderId="0" xfId="0" applyFont="1" applyAlignment="1">
      <alignment horizontal="center" vertical="center" wrapText="1"/>
    </xf>
    <xf numFmtId="0" fontId="4" fillId="7" borderId="1" xfId="0" applyFont="1" applyFill="1" applyBorder="1" applyAlignment="1">
      <alignment vertical="center" wrapText="1"/>
    </xf>
    <xf numFmtId="166" fontId="6" fillId="7" borderId="0" xfId="0" applyNumberFormat="1" applyFont="1" applyFill="1" applyAlignment="1">
      <alignment horizontal="center" vertical="center"/>
    </xf>
    <xf numFmtId="0" fontId="5" fillId="0" borderId="0" xfId="0" applyFont="1" applyAlignment="1">
      <alignment vertical="center"/>
    </xf>
    <xf numFmtId="0" fontId="11" fillId="5" borderId="1" xfId="0" applyFont="1" applyFill="1" applyBorder="1" applyAlignment="1">
      <alignment horizontal="left" vertical="center" wrapText="1"/>
    </xf>
    <xf numFmtId="0" fontId="12" fillId="0" borderId="1" xfId="0" applyFont="1" applyBorder="1" applyAlignment="1">
      <alignment horizontal="center" vertical="center" wrapText="1"/>
    </xf>
    <xf numFmtId="0" fontId="0" fillId="0" borderId="1" xfId="0" applyBorder="1" applyAlignment="1">
      <alignment horizontal="center" vertical="center"/>
    </xf>
    <xf numFmtId="0" fontId="12" fillId="7"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2" fillId="0" borderId="13" xfId="0" applyFont="1" applyBorder="1" applyAlignment="1">
      <alignment horizontal="center" vertical="center"/>
    </xf>
    <xf numFmtId="0" fontId="20" fillId="8" borderId="1" xfId="0" applyFont="1" applyFill="1" applyBorder="1" applyAlignment="1">
      <alignment horizontal="right" vertical="center" wrapText="1"/>
    </xf>
    <xf numFmtId="0" fontId="18" fillId="7" borderId="0" xfId="0" applyFont="1" applyFill="1" applyAlignment="1">
      <alignment horizontal="center" vertical="center" wrapText="1"/>
    </xf>
    <xf numFmtId="0" fontId="19" fillId="7" borderId="0" xfId="0" applyFont="1" applyFill="1" applyAlignment="1">
      <alignment horizontal="center" vertical="center" wrapText="1"/>
    </xf>
    <xf numFmtId="0" fontId="4" fillId="0" borderId="14" xfId="0" applyFont="1" applyBorder="1" applyAlignment="1">
      <alignment vertical="center" wrapText="1"/>
    </xf>
    <xf numFmtId="0" fontId="4" fillId="7" borderId="14" xfId="0" applyFont="1" applyFill="1" applyBorder="1" applyAlignment="1">
      <alignment vertical="center" wrapText="1"/>
    </xf>
    <xf numFmtId="0" fontId="4" fillId="7" borderId="14" xfId="0" applyFont="1" applyFill="1" applyBorder="1" applyAlignment="1">
      <alignment vertical="center"/>
    </xf>
    <xf numFmtId="0" fontId="4" fillId="7" borderId="14" xfId="0" applyFont="1" applyFill="1" applyBorder="1" applyAlignment="1">
      <alignment horizontal="left" vertical="center" wrapText="1"/>
    </xf>
    <xf numFmtId="3" fontId="3" fillId="7" borderId="14" xfId="0" applyNumberFormat="1" applyFont="1" applyFill="1" applyBorder="1" applyAlignment="1">
      <alignment horizontal="center" vertical="center"/>
    </xf>
    <xf numFmtId="3" fontId="10" fillId="7" borderId="14" xfId="0" applyNumberFormat="1" applyFont="1" applyFill="1" applyBorder="1" applyAlignment="1">
      <alignment horizontal="center" vertical="center" wrapText="1"/>
    </xf>
    <xf numFmtId="0" fontId="9" fillId="7" borderId="14" xfId="0" applyFont="1" applyFill="1" applyBorder="1" applyAlignment="1">
      <alignment vertical="center" wrapText="1"/>
    </xf>
    <xf numFmtId="0" fontId="4" fillId="0" borderId="14" xfId="0" applyFont="1" applyBorder="1" applyAlignment="1">
      <alignment vertical="center"/>
    </xf>
    <xf numFmtId="3" fontId="3" fillId="0" borderId="14" xfId="0" applyNumberFormat="1" applyFont="1" applyBorder="1" applyAlignment="1">
      <alignment horizontal="center" vertical="center"/>
    </xf>
    <xf numFmtId="3" fontId="10" fillId="0" borderId="14" xfId="0" applyNumberFormat="1" applyFont="1" applyBorder="1" applyAlignment="1">
      <alignment horizontal="center" vertical="center" wrapText="1"/>
    </xf>
    <xf numFmtId="0" fontId="4" fillId="0" borderId="14" xfId="0" applyFont="1" applyBorder="1" applyAlignment="1">
      <alignment horizontal="left" vertical="center" wrapText="1"/>
    </xf>
    <xf numFmtId="0" fontId="4" fillId="7" borderId="14" xfId="0" applyFont="1" applyFill="1" applyBorder="1" applyAlignment="1">
      <alignment horizontal="left" vertical="center"/>
    </xf>
    <xf numFmtId="166" fontId="6" fillId="3" borderId="14" xfId="0" applyNumberFormat="1" applyFont="1" applyFill="1" applyBorder="1" applyAlignment="1">
      <alignment horizontal="center" vertical="center"/>
    </xf>
    <xf numFmtId="0" fontId="10" fillId="9"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7" borderId="1" xfId="0" applyFont="1" applyFill="1" applyBorder="1" applyAlignment="1">
      <alignment horizontal="center" vertical="center"/>
    </xf>
    <xf numFmtId="0" fontId="16" fillId="8" borderId="5" xfId="0" applyFont="1" applyFill="1" applyBorder="1" applyAlignment="1">
      <alignment horizontal="center" vertical="center" wrapText="1"/>
    </xf>
    <xf numFmtId="0" fontId="10" fillId="0" borderId="5" xfId="0" applyFont="1" applyBorder="1" applyAlignment="1">
      <alignment horizontal="center" vertical="center" wrapText="1"/>
    </xf>
    <xf numFmtId="0" fontId="2" fillId="7" borderId="14" xfId="0" applyFont="1" applyFill="1" applyBorder="1" applyAlignment="1">
      <alignment vertical="center" wrapText="1"/>
    </xf>
    <xf numFmtId="0" fontId="2" fillId="0" borderId="14" xfId="0" applyFont="1" applyBorder="1" applyAlignment="1">
      <alignment vertical="center" wrapText="1"/>
    </xf>
    <xf numFmtId="0" fontId="21" fillId="11" borderId="14"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4" fillId="0" borderId="12" xfId="0" applyFont="1" applyBorder="1" applyAlignment="1">
      <alignment vertical="center" wrapText="1"/>
    </xf>
    <xf numFmtId="0" fontId="4" fillId="7" borderId="12" xfId="0" applyFont="1" applyFill="1" applyBorder="1" applyAlignment="1">
      <alignment vertical="center" wrapText="1"/>
    </xf>
    <xf numFmtId="0" fontId="10" fillId="0" borderId="12" xfId="0" applyFont="1" applyBorder="1" applyAlignment="1">
      <alignment horizontal="center" vertical="center" wrapText="1"/>
    </xf>
    <xf numFmtId="0" fontId="10" fillId="9" borderId="12" xfId="0" applyFont="1" applyFill="1" applyBorder="1" applyAlignment="1">
      <alignment horizontal="center" vertical="center" wrapText="1"/>
    </xf>
    <xf numFmtId="0" fontId="10" fillId="7" borderId="12" xfId="0" applyFont="1" applyFill="1" applyBorder="1" applyAlignment="1">
      <alignment horizontal="center" vertical="center" wrapText="1"/>
    </xf>
    <xf numFmtId="0" fontId="10" fillId="0" borderId="6" xfId="0" applyFont="1" applyBorder="1" applyAlignment="1">
      <alignment horizontal="center" vertical="center" wrapText="1"/>
    </xf>
    <xf numFmtId="0" fontId="2" fillId="7" borderId="15" xfId="0" applyFont="1" applyFill="1" applyBorder="1" applyAlignment="1">
      <alignment vertical="center" wrapText="1"/>
    </xf>
    <xf numFmtId="0" fontId="23" fillId="0" borderId="0" xfId="1" applyFont="1"/>
    <xf numFmtId="0" fontId="24" fillId="7" borderId="0" xfId="1" applyFont="1" applyFill="1" applyAlignment="1">
      <alignment horizontal="center"/>
    </xf>
    <xf numFmtId="0" fontId="25" fillId="7" borderId="0" xfId="1" applyFont="1" applyFill="1"/>
    <xf numFmtId="0" fontId="23" fillId="7" borderId="0" xfId="1" applyFont="1" applyFill="1"/>
    <xf numFmtId="0" fontId="26" fillId="0" borderId="0" xfId="1" applyFont="1"/>
    <xf numFmtId="1" fontId="23" fillId="0" borderId="0" xfId="2" applyNumberFormat="1" applyFont="1" applyBorder="1"/>
    <xf numFmtId="0" fontId="28" fillId="0" borderId="0" xfId="3" applyFont="1"/>
    <xf numFmtId="0" fontId="29" fillId="0" borderId="0" xfId="0" applyFont="1"/>
    <xf numFmtId="0" fontId="30" fillId="0" borderId="0" xfId="0" applyFont="1" applyAlignment="1">
      <alignment vertical="center"/>
    </xf>
    <xf numFmtId="0" fontId="29" fillId="0" borderId="0" xfId="0" applyFont="1" applyAlignment="1">
      <alignment vertical="center"/>
    </xf>
    <xf numFmtId="0" fontId="30" fillId="0" borderId="0" xfId="0" applyFont="1" applyAlignment="1">
      <alignment vertical="center" wrapText="1"/>
    </xf>
    <xf numFmtId="0" fontId="31" fillId="0" borderId="0" xfId="0" applyFont="1" applyAlignment="1">
      <alignment vertical="center" wrapText="1"/>
    </xf>
    <xf numFmtId="0" fontId="31" fillId="0" borderId="0" xfId="0" applyFont="1" applyAlignment="1">
      <alignment vertical="center"/>
    </xf>
    <xf numFmtId="0" fontId="31" fillId="0" borderId="0" xfId="0" applyFont="1"/>
    <xf numFmtId="0" fontId="32" fillId="11" borderId="1" xfId="0" applyFont="1" applyFill="1" applyBorder="1" applyAlignment="1">
      <alignment horizontal="center" vertical="center" wrapText="1"/>
    </xf>
    <xf numFmtId="0" fontId="33" fillId="0" borderId="0" xfId="0" applyFont="1" applyAlignment="1">
      <alignment vertical="center" wrapText="1"/>
    </xf>
    <xf numFmtId="0" fontId="33" fillId="6" borderId="1" xfId="0" applyFont="1" applyFill="1" applyBorder="1" applyAlignment="1">
      <alignment vertical="top" wrapText="1"/>
    </xf>
    <xf numFmtId="0" fontId="33" fillId="2" borderId="1" xfId="0" applyFont="1" applyFill="1" applyBorder="1" applyAlignment="1">
      <alignment horizontal="right" vertical="top"/>
    </xf>
    <xf numFmtId="3" fontId="33" fillId="2" borderId="1" xfId="0" applyNumberFormat="1" applyFont="1" applyFill="1" applyBorder="1" applyAlignment="1">
      <alignment horizontal="right" vertical="top"/>
    </xf>
    <xf numFmtId="166" fontId="33" fillId="2" borderId="1" xfId="0" applyNumberFormat="1" applyFont="1" applyFill="1" applyBorder="1" applyAlignment="1">
      <alignment horizontal="right" vertical="top"/>
    </xf>
    <xf numFmtId="0" fontId="33" fillId="6" borderId="12" xfId="0" applyFont="1" applyFill="1" applyBorder="1" applyAlignment="1">
      <alignment vertical="top" wrapText="1"/>
    </xf>
    <xf numFmtId="3" fontId="33" fillId="2" borderId="12" xfId="0" applyNumberFormat="1" applyFont="1" applyFill="1" applyBorder="1" applyAlignment="1">
      <alignment horizontal="right" vertical="top"/>
    </xf>
    <xf numFmtId="0" fontId="33" fillId="2" borderId="1" xfId="0" applyFont="1" applyFill="1" applyBorder="1" applyAlignment="1">
      <alignment vertical="top" wrapText="1"/>
    </xf>
    <xf numFmtId="0" fontId="33" fillId="0" borderId="0" xfId="0" applyFont="1" applyAlignment="1">
      <alignment vertical="top" wrapText="1"/>
    </xf>
    <xf numFmtId="0" fontId="33" fillId="0" borderId="0" xfId="0" applyFont="1" applyAlignment="1">
      <alignment horizontal="right" vertical="top"/>
    </xf>
    <xf numFmtId="0" fontId="33" fillId="0" borderId="0" xfId="0" applyFont="1" applyAlignment="1">
      <alignment vertical="top"/>
    </xf>
    <xf numFmtId="0" fontId="32" fillId="11" borderId="14" xfId="0" applyFont="1" applyFill="1" applyBorder="1" applyAlignment="1">
      <alignment horizontal="center" vertical="center" wrapText="1"/>
    </xf>
    <xf numFmtId="0" fontId="33" fillId="2" borderId="2" xfId="0" applyFont="1" applyFill="1" applyBorder="1" applyAlignment="1">
      <alignment vertical="top" wrapText="1"/>
    </xf>
    <xf numFmtId="165" fontId="33" fillId="2" borderId="2" xfId="0" applyNumberFormat="1" applyFont="1" applyFill="1" applyBorder="1" applyAlignment="1">
      <alignment horizontal="right" vertical="top"/>
    </xf>
    <xf numFmtId="165" fontId="33" fillId="2" borderId="1" xfId="0" applyNumberFormat="1" applyFont="1" applyFill="1" applyBorder="1" applyAlignment="1">
      <alignment horizontal="right" vertical="top"/>
    </xf>
    <xf numFmtId="0" fontId="33" fillId="2" borderId="1" xfId="0" applyFont="1" applyFill="1" applyBorder="1" applyAlignment="1">
      <alignment wrapText="1"/>
    </xf>
    <xf numFmtId="164" fontId="33" fillId="2" borderId="1" xfId="0" applyNumberFormat="1" applyFont="1" applyFill="1" applyBorder="1" applyAlignment="1">
      <alignment horizontal="right"/>
    </xf>
    <xf numFmtId="1" fontId="33" fillId="2" borderId="1" xfId="0" applyNumberFormat="1" applyFont="1" applyFill="1" applyBorder="1" applyAlignment="1">
      <alignment horizontal="right" vertical="top"/>
    </xf>
    <xf numFmtId="2" fontId="33" fillId="2" borderId="1" xfId="0" applyNumberFormat="1" applyFont="1" applyFill="1" applyBorder="1" applyAlignment="1">
      <alignment horizontal="right" vertical="top"/>
    </xf>
    <xf numFmtId="164" fontId="33" fillId="2" borderId="1" xfId="0" applyNumberFormat="1" applyFont="1" applyFill="1" applyBorder="1" applyAlignment="1">
      <alignment horizontal="right" vertical="top"/>
    </xf>
    <xf numFmtId="0" fontId="33" fillId="2" borderId="0" xfId="0" applyFont="1" applyFill="1" applyAlignment="1">
      <alignment horizontal="right" vertical="center" wrapText="1"/>
    </xf>
    <xf numFmtId="3" fontId="33" fillId="0" borderId="0" xfId="0" applyNumberFormat="1" applyFont="1" applyAlignment="1">
      <alignment vertical="center" wrapText="1"/>
    </xf>
    <xf numFmtId="0" fontId="23" fillId="0" borderId="0" xfId="1" applyFont="1" applyAlignment="1">
      <alignment horizontal="center"/>
    </xf>
    <xf numFmtId="0" fontId="24" fillId="10" borderId="0" xfId="1" applyFont="1" applyFill="1" applyAlignment="1">
      <alignment horizontal="center"/>
    </xf>
    <xf numFmtId="0" fontId="5" fillId="0" borderId="0" xfId="0" applyFont="1" applyAlignment="1">
      <alignment horizontal="center" vertical="center"/>
    </xf>
    <xf numFmtId="0" fontId="4" fillId="4" borderId="0" xfId="0" applyFont="1" applyFill="1" applyAlignment="1">
      <alignment horizontal="left" vertical="center" wrapText="1"/>
    </xf>
    <xf numFmtId="0" fontId="6" fillId="3" borderId="14" xfId="0" applyFont="1" applyFill="1" applyBorder="1" applyAlignment="1">
      <alignment horizontal="right" vertical="center"/>
    </xf>
    <xf numFmtId="0" fontId="6" fillId="3" borderId="14" xfId="0" applyFont="1" applyFill="1" applyBorder="1" applyAlignment="1">
      <alignment horizontal="center" vertical="center"/>
    </xf>
    <xf numFmtId="0" fontId="8" fillId="0" borderId="14" xfId="0" applyFont="1" applyBorder="1" applyAlignment="1">
      <alignment vertical="center"/>
    </xf>
    <xf numFmtId="0" fontId="33" fillId="0" borderId="11" xfId="0" applyFont="1" applyBorder="1" applyAlignment="1">
      <alignment vertical="center" wrapText="1"/>
    </xf>
    <xf numFmtId="0" fontId="33" fillId="0" borderId="6" xfId="0" applyFont="1" applyBorder="1" applyAlignment="1">
      <alignment vertical="center" wrapText="1"/>
    </xf>
    <xf numFmtId="0" fontId="24" fillId="0" borderId="0" xfId="0" applyFont="1" applyAlignment="1">
      <alignment horizontal="center" vertical="center"/>
    </xf>
    <xf numFmtId="0" fontId="24" fillId="0" borderId="0" xfId="0" applyFont="1" applyAlignment="1">
      <alignment horizontal="center" vertical="center" wrapText="1"/>
    </xf>
    <xf numFmtId="0" fontId="34" fillId="0" borderId="4" xfId="0" applyFont="1" applyBorder="1" applyAlignment="1"/>
    <xf numFmtId="0" fontId="34" fillId="0" borderId="3" xfId="0" applyFont="1" applyBorder="1" applyAlignment="1"/>
    <xf numFmtId="0" fontId="34" fillId="0" borderId="7" xfId="0" applyFont="1" applyBorder="1" applyAlignment="1"/>
    <xf numFmtId="0" fontId="34" fillId="0" borderId="8" xfId="0" applyFont="1" applyBorder="1" applyAlignment="1"/>
    <xf numFmtId="0" fontId="34" fillId="0" borderId="9" xfId="0" applyFont="1" applyBorder="1" applyAlignment="1"/>
    <xf numFmtId="0" fontId="31" fillId="0" borderId="0" xfId="0" applyFont="1" applyAlignment="1"/>
    <xf numFmtId="0" fontId="34" fillId="0" borderId="10" xfId="0" applyFont="1" applyBorder="1" applyAlignment="1"/>
    <xf numFmtId="0" fontId="34" fillId="0" borderId="11" xfId="0" applyFont="1" applyBorder="1" applyAlignment="1"/>
  </cellXfs>
  <cellStyles count="4">
    <cellStyle name="Hipervínculo 2" xfId="3" xr:uid="{00000000-0005-0000-0000-000000000000}"/>
    <cellStyle name="Millares [0] 2" xfId="2" xr:uid="{00000000-0005-0000-0000-000001000000}"/>
    <cellStyle name="Normal" xfId="0" builtinId="0"/>
    <cellStyle name="Normal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b. Indicadores'!A1"/><Relationship Id="rId2" Type="http://schemas.openxmlformats.org/officeDocument/2006/relationships/hyperlink" Target="#'a. Infraestructura Biblioteca'!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0</xdr:row>
      <xdr:rowOff>180975</xdr:rowOff>
    </xdr:from>
    <xdr:to>
      <xdr:col>2</xdr:col>
      <xdr:colOff>2209800</xdr:colOff>
      <xdr:row>3</xdr:row>
      <xdr:rowOff>152061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180975"/>
          <a:ext cx="2028825" cy="514011"/>
        </a:xfrm>
        <a:prstGeom prst="rect">
          <a:avLst/>
        </a:prstGeom>
      </xdr:spPr>
    </xdr:pic>
    <xdr:clientData/>
  </xdr:twoCellAnchor>
  <xdr:twoCellAnchor>
    <xdr:from>
      <xdr:col>2</xdr:col>
      <xdr:colOff>2297417</xdr:colOff>
      <xdr:row>10</xdr:row>
      <xdr:rowOff>11151</xdr:rowOff>
    </xdr:from>
    <xdr:to>
      <xdr:col>4</xdr:col>
      <xdr:colOff>261235</xdr:colOff>
      <xdr:row>17</xdr:row>
      <xdr:rowOff>71436</xdr:rowOff>
    </xdr:to>
    <xdr:sp macro="" textlink="">
      <xdr:nvSpPr>
        <xdr:cNvPr id="4" name="Flecha a la derecha con bandas 3">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2726042" y="1797089"/>
          <a:ext cx="3238287" cy="1227097"/>
        </a:xfrm>
        <a:prstGeom prst="stripedRigh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2400" b="1">
              <a:solidFill>
                <a:sysClr val="windowText" lastClr="000000"/>
              </a:solidFill>
              <a:latin typeface="Arial Narrow" panose="020B0606020202030204" pitchFamily="34" charset="0"/>
            </a:rPr>
            <a:t>A</a:t>
          </a:r>
          <a:r>
            <a:rPr lang="en-US" sz="1100" b="1">
              <a:solidFill>
                <a:sysClr val="windowText" lastClr="000000"/>
              </a:solidFill>
              <a:latin typeface="Arial Narrow" panose="020B0606020202030204" pitchFamily="34" charset="0"/>
            </a:rPr>
            <a:t>.</a:t>
          </a:r>
          <a:r>
            <a:rPr lang="en-US" sz="1100" b="1" baseline="0">
              <a:solidFill>
                <a:sysClr val="windowText" lastClr="000000"/>
              </a:solidFill>
              <a:latin typeface="Arial Narrow" panose="020B0606020202030204" pitchFamily="34" charset="0"/>
            </a:rPr>
            <a:t> INFRAESTRUCTURA FÍSICA BIBLIOTECAS</a:t>
          </a:r>
          <a:endParaRPr lang="en-US" sz="1100" b="1">
            <a:solidFill>
              <a:sysClr val="windowText" lastClr="000000"/>
            </a:solidFill>
            <a:latin typeface="Arial Narrow" panose="020B0606020202030204" pitchFamily="34" charset="0"/>
          </a:endParaRPr>
        </a:p>
      </xdr:txBody>
    </xdr:sp>
    <xdr:clientData/>
  </xdr:twoCellAnchor>
  <xdr:twoCellAnchor>
    <xdr:from>
      <xdr:col>5</xdr:col>
      <xdr:colOff>625362</xdr:colOff>
      <xdr:row>10</xdr:row>
      <xdr:rowOff>51531</xdr:rowOff>
    </xdr:from>
    <xdr:to>
      <xdr:col>10</xdr:col>
      <xdr:colOff>342481</xdr:colOff>
      <xdr:row>17</xdr:row>
      <xdr:rowOff>42022</xdr:rowOff>
    </xdr:to>
    <xdr:sp macro="" textlink="">
      <xdr:nvSpPr>
        <xdr:cNvPr id="6" name="Flecha a la derecha con bandas 5">
          <a:hlinkClick xmlns:r="http://schemas.openxmlformats.org/officeDocument/2006/relationships" r:id="rId3"/>
          <a:extLst>
            <a:ext uri="{FF2B5EF4-FFF2-40B4-BE49-F238E27FC236}">
              <a16:creationId xmlns:a16="http://schemas.microsoft.com/office/drawing/2014/main" id="{00000000-0008-0000-0000-000006000000}"/>
            </a:ext>
          </a:extLst>
        </xdr:cNvPr>
        <xdr:cNvSpPr/>
      </xdr:nvSpPr>
      <xdr:spPr>
        <a:xfrm>
          <a:off x="7578612" y="1837469"/>
          <a:ext cx="3527119" cy="1157303"/>
        </a:xfrm>
        <a:prstGeom prst="stripedRightArrow">
          <a:avLst/>
        </a:prstGeom>
        <a:solidFill>
          <a:schemeClr val="accent2">
            <a:lumMod val="60000"/>
            <a:lumOff val="40000"/>
          </a:schemeClr>
        </a:solidFill>
        <a:ln>
          <a:solidFill>
            <a:schemeClr val="bg1"/>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2400" b="1">
              <a:solidFill>
                <a:sysClr val="windowText" lastClr="000000"/>
              </a:solidFill>
              <a:latin typeface="Arial Narrow" panose="020B0606020202030204" pitchFamily="34" charset="0"/>
            </a:rPr>
            <a:t>B</a:t>
          </a:r>
          <a:r>
            <a:rPr lang="en-US" sz="1200" b="1">
              <a:solidFill>
                <a:sysClr val="windowText" lastClr="000000"/>
              </a:solidFill>
              <a:latin typeface="Arial Narrow" panose="020B0606020202030204" pitchFamily="34" charset="0"/>
            </a:rPr>
            <a:t>.</a:t>
          </a:r>
          <a:r>
            <a:rPr lang="en-US" sz="1200" b="1" baseline="0">
              <a:solidFill>
                <a:sysClr val="windowText" lastClr="000000"/>
              </a:solidFill>
              <a:latin typeface="Arial Narrow" panose="020B0606020202030204" pitchFamily="34" charset="0"/>
            </a:rPr>
            <a:t> INDICADORES GENERALES</a:t>
          </a:r>
          <a:endParaRPr lang="en-US" sz="1200" b="1">
            <a:solidFill>
              <a:sysClr val="windowText" lastClr="000000"/>
            </a:solidFill>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0</xdr:row>
      <xdr:rowOff>152400</xdr:rowOff>
    </xdr:from>
    <xdr:to>
      <xdr:col>2</xdr:col>
      <xdr:colOff>1990724</xdr:colOff>
      <xdr:row>3</xdr:row>
      <xdr:rowOff>47625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0" y="152400"/>
          <a:ext cx="1952624" cy="409575"/>
        </a:xfrm>
        <a:prstGeom prst="rect">
          <a:avLst/>
        </a:prstGeom>
      </xdr:spPr>
    </xdr:pic>
    <xdr:clientData/>
  </xdr:twoCellAnchor>
  <xdr:twoCellAnchor>
    <xdr:from>
      <xdr:col>1</xdr:col>
      <xdr:colOff>161926</xdr:colOff>
      <xdr:row>1</xdr:row>
      <xdr:rowOff>0</xdr:rowOff>
    </xdr:from>
    <xdr:to>
      <xdr:col>1</xdr:col>
      <xdr:colOff>1495426</xdr:colOff>
      <xdr:row>3</xdr:row>
      <xdr:rowOff>28575</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771526" y="190500"/>
          <a:ext cx="1333500" cy="352425"/>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2490107</xdr:colOff>
      <xdr:row>1</xdr:row>
      <xdr:rowOff>95249</xdr:rowOff>
    </xdr:from>
    <xdr:to>
      <xdr:col>2</xdr:col>
      <xdr:colOff>2149927</xdr:colOff>
      <xdr:row>2</xdr:row>
      <xdr:rowOff>246288</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8321" y="285749"/>
          <a:ext cx="2190749" cy="409575"/>
        </a:xfrm>
        <a:prstGeom prst="rect">
          <a:avLst/>
        </a:prstGeom>
      </xdr:spPr>
    </xdr:pic>
    <xdr:clientData/>
  </xdr:twoCellAnchor>
  <xdr:twoCellAnchor>
    <xdr:from>
      <xdr:col>1</xdr:col>
      <xdr:colOff>598715</xdr:colOff>
      <xdr:row>0</xdr:row>
      <xdr:rowOff>136071</xdr:rowOff>
    </xdr:from>
    <xdr:to>
      <xdr:col>1</xdr:col>
      <xdr:colOff>2141765</xdr:colOff>
      <xdr:row>2</xdr:row>
      <xdr:rowOff>229960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1006929" y="136071"/>
          <a:ext cx="1543050" cy="542925"/>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XFC25"/>
  <sheetViews>
    <sheetView showGridLines="0" zoomScale="80" zoomScaleNormal="80" workbookViewId="0">
      <selection activeCell="A23" sqref="A23:XFD37"/>
    </sheetView>
  </sheetViews>
  <sheetFormatPr defaultColWidth="0" defaultRowHeight="15" customHeight="1" zeroHeight="1"/>
  <cols>
    <col min="1" max="1" width="2.42578125" style="68" customWidth="1"/>
    <col min="2" max="2" width="3.85546875" style="68" customWidth="1"/>
    <col min="3" max="3" width="34.42578125" style="68" customWidth="1"/>
    <col min="4" max="4" width="44.7109375" style="68" customWidth="1"/>
    <col min="5" max="5" width="18.7109375" style="68" customWidth="1"/>
    <col min="6" max="12" width="11.42578125" style="68" customWidth="1"/>
    <col min="13" max="16381" width="11.42578125" style="68" hidden="1" customWidth="1"/>
    <col min="16382" max="16382" width="6" style="68" hidden="1" customWidth="1"/>
    <col min="16383" max="16383" width="12.140625" style="68" hidden="1" customWidth="1"/>
    <col min="16384" max="16384" width="3" style="68" hidden="1" customWidth="1"/>
  </cols>
  <sheetData>
    <row r="1" spans="3:11" ht="15" customHeight="1"/>
    <row r="2" spans="3:11" ht="18">
      <c r="C2" s="105"/>
      <c r="D2" s="106" t="s">
        <v>0</v>
      </c>
      <c r="E2" s="106"/>
      <c r="F2" s="106"/>
      <c r="G2" s="106"/>
      <c r="H2" s="106"/>
      <c r="I2" s="106"/>
      <c r="J2" s="106"/>
      <c r="K2" s="106"/>
    </row>
    <row r="3" spans="3:11" s="71" customFormat="1" ht="9.75" customHeight="1">
      <c r="C3" s="105"/>
      <c r="D3" s="69"/>
      <c r="E3" s="69"/>
      <c r="F3" s="69"/>
      <c r="G3" s="69"/>
      <c r="H3" s="69"/>
      <c r="I3" s="70"/>
      <c r="J3" s="70"/>
      <c r="K3" s="70"/>
    </row>
    <row r="4" spans="3:11" ht="18">
      <c r="C4" s="105"/>
      <c r="D4" s="106" t="s">
        <v>1</v>
      </c>
      <c r="E4" s="106"/>
      <c r="F4" s="106"/>
      <c r="G4" s="106"/>
      <c r="H4" s="106"/>
      <c r="I4" s="106"/>
      <c r="J4" s="106"/>
      <c r="K4" s="106"/>
    </row>
    <row r="5" spans="3:11" ht="15" customHeight="1"/>
    <row r="6" spans="3:11" ht="12.75">
      <c r="C6" s="72" t="s">
        <v>2</v>
      </c>
      <c r="E6" s="73"/>
    </row>
    <row r="7" spans="3:11" ht="12.75">
      <c r="C7" s="68" t="s">
        <v>3</v>
      </c>
    </row>
    <row r="8" spans="3:11" ht="12.75"/>
    <row r="9" spans="3:11" ht="12.75">
      <c r="C9" s="72"/>
    </row>
    <row r="10" spans="3:11" ht="12.75">
      <c r="C10" s="72"/>
    </row>
    <row r="11" spans="3:11" ht="12.75">
      <c r="C11" s="72"/>
      <c r="D11" s="72"/>
      <c r="E11" s="72"/>
    </row>
    <row r="12" spans="3:11" ht="12.75">
      <c r="C12" s="72"/>
    </row>
    <row r="13" spans="3:11" ht="12.75">
      <c r="C13" s="72"/>
    </row>
    <row r="14" spans="3:11" ht="12.75">
      <c r="C14" s="72"/>
    </row>
    <row r="15" spans="3:11" ht="12.75">
      <c r="C15" s="72"/>
    </row>
    <row r="16" spans="3:11" ht="12.75">
      <c r="C16" s="72"/>
    </row>
    <row r="17" spans="3:3" ht="12.75">
      <c r="C17" s="72"/>
    </row>
    <row r="18" spans="3:3" ht="12.75">
      <c r="C18" s="72"/>
    </row>
    <row r="19" spans="3:3" ht="12.75">
      <c r="C19" s="74"/>
    </row>
    <row r="20" spans="3:3" ht="12.75">
      <c r="C20" s="74"/>
    </row>
    <row r="21" spans="3:3" ht="12.75">
      <c r="C21" s="74"/>
    </row>
    <row r="22" spans="3:3" ht="12.75">
      <c r="C22" s="74"/>
    </row>
    <row r="23" spans="3:3" ht="12.75" hidden="1">
      <c r="C23" s="74"/>
    </row>
    <row r="24" spans="3:3" ht="12.75" hidden="1">
      <c r="C24" s="74"/>
    </row>
    <row r="25" spans="3:3" ht="12.75" hidden="1">
      <c r="C25" s="74"/>
    </row>
  </sheetData>
  <mergeCells count="3">
    <mergeCell ref="C2:C4"/>
    <mergeCell ref="D2:K2"/>
    <mergeCell ref="D4:K4"/>
  </mergeCells>
  <pageMargins left="0.7" right="0.7" top="0.75" bottom="0.75" header="0.3" footer="0.3"/>
  <pageSetup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B2:AA656"/>
  <sheetViews>
    <sheetView showGridLines="0" tabSelected="1" zoomScaleNormal="100" workbookViewId="0">
      <selection activeCell="B6" sqref="B6"/>
    </sheetView>
  </sheetViews>
  <sheetFormatPr defaultColWidth="9.140625" defaultRowHeight="15" customHeight="1"/>
  <cols>
    <col min="1" max="1" width="9.140625" style="1"/>
    <col min="2" max="2" width="34.5703125" style="1" customWidth="1"/>
    <col min="3" max="3" width="36.7109375" style="1" customWidth="1"/>
    <col min="4" max="4" width="32.42578125" style="1" customWidth="1"/>
    <col min="5" max="5" width="35" style="1" customWidth="1"/>
    <col min="6" max="12" width="19.5703125" style="1" customWidth="1"/>
    <col min="13" max="13" width="19.7109375" style="1" customWidth="1"/>
    <col min="14" max="14" width="16" style="1" customWidth="1"/>
    <col min="15" max="26" width="12.140625" style="1" customWidth="1"/>
    <col min="27" max="16384" width="9.140625" style="1"/>
  </cols>
  <sheetData>
    <row r="2" spans="2:26" ht="12.75" customHeight="1">
      <c r="C2" s="29"/>
      <c r="D2" s="107" t="s">
        <v>4</v>
      </c>
      <c r="E2" s="107"/>
      <c r="F2" s="107"/>
      <c r="G2" s="107"/>
    </row>
    <row r="3" spans="2:26" ht="12.75" customHeight="1">
      <c r="C3" s="29"/>
      <c r="D3" s="107" t="s">
        <v>5</v>
      </c>
      <c r="E3" s="107"/>
      <c r="F3" s="107"/>
      <c r="G3" s="107"/>
    </row>
    <row r="4" spans="2:26" ht="12.75" customHeight="1">
      <c r="B4" s="2"/>
    </row>
    <row r="5" spans="2:26">
      <c r="B5" s="3"/>
      <c r="C5" s="3"/>
      <c r="D5" s="3"/>
      <c r="E5" s="3"/>
      <c r="F5" s="4"/>
      <c r="G5" s="3"/>
      <c r="H5" s="3"/>
      <c r="I5" s="3"/>
      <c r="J5" s="3"/>
      <c r="K5" s="3"/>
      <c r="L5" s="3"/>
      <c r="M5" s="3"/>
      <c r="N5" s="3"/>
      <c r="O5" s="3"/>
      <c r="P5" s="3"/>
      <c r="Q5" s="3"/>
      <c r="R5" s="3"/>
      <c r="S5" s="3"/>
      <c r="T5" s="3"/>
      <c r="U5" s="3"/>
      <c r="V5" s="3"/>
      <c r="W5" s="3"/>
      <c r="X5" s="3"/>
      <c r="Y5" s="3"/>
      <c r="Z5" s="3"/>
    </row>
    <row r="6" spans="2:26" s="2" customFormat="1" ht="25.5">
      <c r="B6" s="59" t="s">
        <v>6</v>
      </c>
      <c r="C6" s="59" t="s">
        <v>7</v>
      </c>
      <c r="D6" s="59" t="s">
        <v>8</v>
      </c>
      <c r="E6" s="59" t="s">
        <v>9</v>
      </c>
      <c r="F6" s="59" t="s">
        <v>10</v>
      </c>
      <c r="G6" s="59" t="s">
        <v>11</v>
      </c>
      <c r="H6" s="59" t="s">
        <v>12</v>
      </c>
      <c r="I6" s="59" t="s">
        <v>13</v>
      </c>
      <c r="J6" s="37"/>
      <c r="K6" s="10"/>
      <c r="L6" s="10"/>
      <c r="M6" s="10"/>
      <c r="N6" s="10"/>
      <c r="O6" s="10"/>
      <c r="P6" s="10"/>
      <c r="Q6" s="10"/>
      <c r="R6" s="10"/>
      <c r="S6" s="10"/>
      <c r="T6" s="11"/>
      <c r="U6" s="3"/>
      <c r="V6" s="3"/>
      <c r="W6" s="3"/>
      <c r="X6" s="3"/>
      <c r="Y6" s="3"/>
      <c r="Z6" s="3"/>
    </row>
    <row r="7" spans="2:26" ht="34.5" hidden="1" customHeight="1">
      <c r="B7" s="39" t="s">
        <v>14</v>
      </c>
      <c r="C7" s="40" t="s">
        <v>15</v>
      </c>
      <c r="D7" s="41" t="s">
        <v>16</v>
      </c>
      <c r="E7" s="42" t="s">
        <v>17</v>
      </c>
      <c r="F7" s="43">
        <v>1945</v>
      </c>
      <c r="G7" s="44">
        <v>1945</v>
      </c>
      <c r="H7" s="44">
        <v>1945</v>
      </c>
      <c r="I7" s="44">
        <v>1945</v>
      </c>
      <c r="J7" s="8"/>
      <c r="K7" s="8"/>
      <c r="L7" s="8"/>
      <c r="M7" s="8"/>
      <c r="N7" s="8"/>
      <c r="O7" s="12"/>
      <c r="P7" s="8"/>
      <c r="Q7" s="8"/>
      <c r="R7" s="8"/>
      <c r="S7" s="7"/>
      <c r="T7" s="11"/>
      <c r="U7" s="3"/>
      <c r="V7" s="3"/>
      <c r="W7" s="3"/>
      <c r="X7" s="3"/>
      <c r="Y7" s="3"/>
      <c r="Z7" s="3"/>
    </row>
    <row r="8" spans="2:26" ht="34.5" hidden="1" customHeight="1">
      <c r="B8" s="39" t="s">
        <v>18</v>
      </c>
      <c r="C8" s="40" t="s">
        <v>19</v>
      </c>
      <c r="D8" s="41" t="s">
        <v>20</v>
      </c>
      <c r="E8" s="42" t="s">
        <v>21</v>
      </c>
      <c r="F8" s="43">
        <v>662</v>
      </c>
      <c r="G8" s="44">
        <v>662</v>
      </c>
      <c r="H8" s="44">
        <v>1300</v>
      </c>
      <c r="I8" s="44">
        <v>1300</v>
      </c>
      <c r="J8" s="8"/>
      <c r="K8" s="8"/>
      <c r="L8" s="8"/>
      <c r="M8" s="8"/>
      <c r="N8" s="8"/>
      <c r="O8" s="12"/>
      <c r="P8" s="8"/>
      <c r="Q8" s="8"/>
      <c r="R8" s="8"/>
      <c r="S8" s="7"/>
      <c r="T8" s="11"/>
      <c r="U8" s="3"/>
      <c r="V8" s="3"/>
      <c r="W8" s="3"/>
      <c r="X8" s="3"/>
      <c r="Y8" s="3"/>
      <c r="Z8" s="3"/>
    </row>
    <row r="9" spans="2:26" ht="34.5" hidden="1" customHeight="1">
      <c r="B9" s="39" t="s">
        <v>22</v>
      </c>
      <c r="C9" s="40" t="s">
        <v>23</v>
      </c>
      <c r="D9" s="41" t="s">
        <v>24</v>
      </c>
      <c r="E9" s="42" t="s">
        <v>25</v>
      </c>
      <c r="F9" s="43">
        <v>600</v>
      </c>
      <c r="G9" s="44">
        <v>600</v>
      </c>
      <c r="H9" s="44">
        <v>600</v>
      </c>
      <c r="I9" s="44">
        <v>600</v>
      </c>
      <c r="J9" s="8"/>
      <c r="K9" s="8"/>
      <c r="L9" s="8"/>
      <c r="M9" s="8"/>
      <c r="N9" s="8"/>
      <c r="O9" s="12"/>
      <c r="P9" s="8"/>
      <c r="Q9" s="8"/>
      <c r="R9" s="8"/>
      <c r="S9" s="7"/>
      <c r="T9" s="11"/>
      <c r="U9" s="3"/>
      <c r="V9" s="3"/>
      <c r="W9" s="3"/>
      <c r="X9" s="3"/>
      <c r="Y9" s="3"/>
      <c r="Z9" s="3"/>
    </row>
    <row r="10" spans="2:26" ht="34.5" hidden="1" customHeight="1">
      <c r="B10" s="39" t="s">
        <v>26</v>
      </c>
      <c r="C10" s="40" t="s">
        <v>27</v>
      </c>
      <c r="D10" s="41" t="s">
        <v>28</v>
      </c>
      <c r="E10" s="42" t="s">
        <v>29</v>
      </c>
      <c r="F10" s="43">
        <v>444</v>
      </c>
      <c r="G10" s="44">
        <v>444</v>
      </c>
      <c r="H10" s="44">
        <v>444</v>
      </c>
      <c r="I10" s="44">
        <v>444</v>
      </c>
      <c r="J10" s="8"/>
      <c r="K10" s="8"/>
      <c r="L10" s="8"/>
      <c r="M10" s="8"/>
      <c r="N10" s="8"/>
      <c r="O10" s="12"/>
      <c r="P10" s="8"/>
      <c r="Q10" s="8"/>
      <c r="R10" s="8"/>
      <c r="S10" s="7"/>
      <c r="T10" s="11"/>
      <c r="U10" s="3"/>
      <c r="V10" s="3"/>
      <c r="W10" s="3"/>
      <c r="X10" s="3"/>
      <c r="Y10" s="3"/>
      <c r="Z10" s="3"/>
    </row>
    <row r="11" spans="2:26" ht="34.5" hidden="1" customHeight="1">
      <c r="B11" s="39" t="s">
        <v>30</v>
      </c>
      <c r="C11" s="40" t="s">
        <v>31</v>
      </c>
      <c r="D11" s="45" t="s">
        <v>32</v>
      </c>
      <c r="E11" s="42" t="s">
        <v>33</v>
      </c>
      <c r="F11" s="43">
        <v>380</v>
      </c>
      <c r="G11" s="43">
        <v>380</v>
      </c>
      <c r="H11" s="43">
        <v>380</v>
      </c>
      <c r="I11" s="43">
        <v>380</v>
      </c>
      <c r="J11" s="9"/>
      <c r="K11" s="9"/>
      <c r="L11" s="9"/>
      <c r="M11" s="9"/>
      <c r="N11" s="9"/>
      <c r="O11" s="13"/>
      <c r="P11" s="8"/>
      <c r="Q11" s="8"/>
      <c r="R11" s="8"/>
      <c r="S11" s="7"/>
      <c r="T11" s="11"/>
      <c r="U11" s="3"/>
      <c r="V11" s="3"/>
      <c r="W11" s="3"/>
      <c r="X11" s="3"/>
      <c r="Y11" s="3"/>
      <c r="Z11" s="3"/>
    </row>
    <row r="12" spans="2:26" ht="34.5" customHeight="1">
      <c r="B12" s="39" t="s">
        <v>34</v>
      </c>
      <c r="C12" s="39" t="s">
        <v>35</v>
      </c>
      <c r="D12" s="46" t="s">
        <v>36</v>
      </c>
      <c r="E12" s="42" t="s">
        <v>37</v>
      </c>
      <c r="F12" s="47">
        <v>261</v>
      </c>
      <c r="G12" s="48">
        <v>261</v>
      </c>
      <c r="H12" s="48">
        <v>261</v>
      </c>
      <c r="I12" s="48">
        <v>261</v>
      </c>
      <c r="J12" s="38"/>
      <c r="K12" s="8"/>
      <c r="L12" s="8"/>
      <c r="M12" s="8"/>
      <c r="N12" s="8"/>
      <c r="O12" s="12"/>
      <c r="P12" s="8"/>
      <c r="Q12" s="8"/>
      <c r="R12" s="8"/>
      <c r="S12" s="7"/>
      <c r="T12" s="11"/>
      <c r="U12" s="3"/>
      <c r="V12" s="3"/>
      <c r="W12" s="3"/>
      <c r="X12" s="3"/>
      <c r="Y12" s="3"/>
      <c r="Z12" s="3"/>
    </row>
    <row r="13" spans="2:26" ht="34.5" hidden="1" customHeight="1">
      <c r="B13" s="39" t="s">
        <v>38</v>
      </c>
      <c r="C13" s="40" t="s">
        <v>39</v>
      </c>
      <c r="D13" s="41" t="s">
        <v>40</v>
      </c>
      <c r="E13" s="42" t="s">
        <v>41</v>
      </c>
      <c r="F13" s="43">
        <v>255</v>
      </c>
      <c r="G13" s="44">
        <v>255</v>
      </c>
      <c r="H13" s="44">
        <v>255</v>
      </c>
      <c r="I13" s="44">
        <v>255</v>
      </c>
      <c r="J13" s="8"/>
      <c r="K13" s="8"/>
      <c r="L13" s="8"/>
      <c r="M13" s="8"/>
      <c r="N13" s="8"/>
      <c r="O13" s="12"/>
      <c r="P13" s="8"/>
      <c r="Q13" s="8"/>
      <c r="R13" s="8"/>
      <c r="S13" s="7"/>
      <c r="T13" s="11"/>
      <c r="U13" s="3"/>
      <c r="V13" s="3"/>
      <c r="W13" s="3"/>
      <c r="X13" s="3"/>
      <c r="Y13" s="3"/>
      <c r="Z13" s="3"/>
    </row>
    <row r="14" spans="2:26" ht="34.5" hidden="1" customHeight="1">
      <c r="B14" s="39" t="s">
        <v>42</v>
      </c>
      <c r="C14" s="40" t="s">
        <v>43</v>
      </c>
      <c r="D14" s="41" t="s">
        <v>44</v>
      </c>
      <c r="E14" s="42"/>
      <c r="F14" s="43">
        <v>100</v>
      </c>
      <c r="G14" s="44">
        <v>100</v>
      </c>
      <c r="H14" s="44">
        <v>100</v>
      </c>
      <c r="I14" s="44">
        <v>100</v>
      </c>
      <c r="J14" s="8"/>
      <c r="K14" s="8"/>
      <c r="L14" s="8"/>
      <c r="M14" s="8"/>
      <c r="N14" s="8"/>
      <c r="O14" s="12"/>
      <c r="P14" s="8"/>
      <c r="Q14" s="8"/>
      <c r="R14" s="8"/>
      <c r="S14" s="7"/>
      <c r="T14" s="11"/>
      <c r="U14" s="3"/>
      <c r="V14" s="3"/>
      <c r="W14" s="3"/>
      <c r="X14" s="3"/>
      <c r="Y14" s="3"/>
      <c r="Z14" s="3"/>
    </row>
    <row r="15" spans="2:26" ht="34.5" hidden="1" customHeight="1">
      <c r="B15" s="49" t="s">
        <v>26</v>
      </c>
      <c r="C15" s="42" t="s">
        <v>45</v>
      </c>
      <c r="D15" s="50" t="s">
        <v>28</v>
      </c>
      <c r="E15" s="42" t="s">
        <v>46</v>
      </c>
      <c r="F15" s="43">
        <v>72</v>
      </c>
      <c r="G15" s="44">
        <v>72</v>
      </c>
      <c r="H15" s="44">
        <v>72</v>
      </c>
      <c r="I15" s="44">
        <v>72</v>
      </c>
      <c r="J15" s="8"/>
      <c r="K15" s="8"/>
      <c r="L15" s="8"/>
      <c r="M15" s="8"/>
      <c r="N15" s="8"/>
      <c r="O15" s="12"/>
      <c r="P15" s="8"/>
      <c r="Q15" s="8"/>
      <c r="R15" s="8"/>
      <c r="S15" s="7"/>
      <c r="T15" s="11"/>
      <c r="U15" s="3"/>
      <c r="V15" s="3"/>
      <c r="W15" s="3"/>
      <c r="X15" s="3"/>
      <c r="Y15" s="3"/>
      <c r="Z15" s="3"/>
    </row>
    <row r="16" spans="2:26" ht="34.5" hidden="1" customHeight="1">
      <c r="B16" s="39" t="s">
        <v>38</v>
      </c>
      <c r="C16" s="40" t="s">
        <v>47</v>
      </c>
      <c r="D16" s="41" t="s">
        <v>40</v>
      </c>
      <c r="E16" s="42"/>
      <c r="F16" s="43">
        <v>70</v>
      </c>
      <c r="G16" s="44">
        <v>70</v>
      </c>
      <c r="H16" s="44">
        <v>70</v>
      </c>
      <c r="I16" s="44">
        <v>70</v>
      </c>
      <c r="J16" s="8"/>
      <c r="K16" s="8"/>
      <c r="L16" s="8"/>
      <c r="M16" s="8"/>
      <c r="N16" s="8"/>
      <c r="O16" s="12"/>
      <c r="P16" s="8"/>
      <c r="Q16" s="8"/>
      <c r="R16" s="8"/>
      <c r="S16" s="7"/>
      <c r="T16" s="11"/>
      <c r="U16" s="3"/>
      <c r="V16" s="3"/>
      <c r="W16" s="3"/>
      <c r="X16" s="3"/>
      <c r="Y16" s="3"/>
      <c r="Z16" s="3"/>
    </row>
    <row r="17" spans="2:27" ht="34.5" hidden="1" customHeight="1">
      <c r="B17" s="39" t="s">
        <v>48</v>
      </c>
      <c r="C17" s="40" t="s">
        <v>49</v>
      </c>
      <c r="D17" s="41" t="s">
        <v>50</v>
      </c>
      <c r="E17" s="42" t="s">
        <v>51</v>
      </c>
      <c r="F17" s="43">
        <v>121</v>
      </c>
      <c r="G17" s="44">
        <v>121</v>
      </c>
      <c r="H17" s="44">
        <v>62</v>
      </c>
      <c r="I17" s="44">
        <v>62</v>
      </c>
      <c r="J17" s="8"/>
      <c r="K17" s="8"/>
      <c r="L17" s="8"/>
      <c r="M17" s="8"/>
      <c r="N17" s="8"/>
      <c r="O17" s="12"/>
      <c r="P17" s="8"/>
      <c r="Q17" s="8"/>
      <c r="R17" s="8"/>
      <c r="S17" s="7"/>
      <c r="T17" s="11"/>
      <c r="U17" s="3"/>
      <c r="V17" s="3"/>
      <c r="W17" s="3"/>
      <c r="X17" s="3"/>
      <c r="Y17" s="3"/>
      <c r="Z17" s="3"/>
    </row>
    <row r="18" spans="2:27">
      <c r="B18" s="110" t="s">
        <v>52</v>
      </c>
      <c r="C18" s="111"/>
      <c r="D18" s="111"/>
      <c r="E18" s="111"/>
      <c r="F18" s="51">
        <f>SUM(F7:F17)</f>
        <v>4910</v>
      </c>
      <c r="G18" s="51">
        <f t="shared" ref="G18:I18" si="0">SUM(G7:G17)</f>
        <v>4910</v>
      </c>
      <c r="H18" s="51">
        <f t="shared" si="0"/>
        <v>5489</v>
      </c>
      <c r="I18" s="51">
        <f t="shared" si="0"/>
        <v>5489</v>
      </c>
      <c r="J18" s="28"/>
      <c r="K18" s="28"/>
      <c r="L18" s="28"/>
      <c r="M18" s="28"/>
      <c r="N18" s="28"/>
      <c r="O18" s="28"/>
      <c r="P18" s="28"/>
      <c r="Q18" s="28"/>
      <c r="R18" s="28"/>
      <c r="S18" s="28"/>
      <c r="T18" s="11"/>
      <c r="U18" s="3"/>
      <c r="V18" s="3"/>
      <c r="W18" s="3"/>
      <c r="X18" s="3"/>
      <c r="Y18" s="3"/>
      <c r="Z18" s="3"/>
    </row>
    <row r="19" spans="2:27" ht="78.75" hidden="1" customHeight="1">
      <c r="B19" s="108" t="s">
        <v>53</v>
      </c>
      <c r="C19" s="108"/>
      <c r="D19" s="108"/>
      <c r="E19" s="108"/>
      <c r="F19" s="5"/>
      <c r="G19" s="5"/>
      <c r="H19" s="5"/>
      <c r="I19" s="5"/>
      <c r="J19" s="11"/>
      <c r="K19" s="11"/>
      <c r="L19" s="11"/>
      <c r="M19" s="11"/>
      <c r="N19" s="11"/>
      <c r="O19" s="11"/>
      <c r="P19" s="11"/>
      <c r="Q19" s="11"/>
      <c r="R19" s="11"/>
      <c r="S19" s="7"/>
      <c r="T19" s="11"/>
      <c r="U19" s="5"/>
      <c r="V19" s="5"/>
      <c r="W19" s="5"/>
      <c r="X19" s="5"/>
      <c r="Y19" s="5"/>
      <c r="Z19" s="5"/>
      <c r="AA19" s="6"/>
    </row>
    <row r="20" spans="2:27" s="29" customFormat="1" ht="66" customHeight="1">
      <c r="B20" s="19" t="s">
        <v>6</v>
      </c>
      <c r="C20" s="19" t="s">
        <v>7</v>
      </c>
      <c r="D20" s="19" t="s">
        <v>54</v>
      </c>
      <c r="E20" s="19" t="s">
        <v>55</v>
      </c>
      <c r="F20" s="19" t="s">
        <v>56</v>
      </c>
      <c r="G20" s="19" t="s">
        <v>57</v>
      </c>
      <c r="H20" s="19" t="s">
        <v>58</v>
      </c>
      <c r="I20" s="19" t="s">
        <v>59</v>
      </c>
      <c r="J20" s="19" t="s">
        <v>60</v>
      </c>
      <c r="K20" s="19" t="s">
        <v>61</v>
      </c>
      <c r="L20" s="19" t="s">
        <v>62</v>
      </c>
      <c r="M20" s="55" t="s">
        <v>63</v>
      </c>
      <c r="N20" s="55" t="s">
        <v>64</v>
      </c>
      <c r="O20" s="20"/>
      <c r="T20" s="21"/>
      <c r="U20" s="21"/>
      <c r="V20" s="21"/>
      <c r="W20" s="21"/>
      <c r="X20" s="21"/>
      <c r="Y20" s="21"/>
      <c r="Z20" s="21"/>
      <c r="AA20" s="22"/>
    </row>
    <row r="21" spans="2:27" ht="30.75" hidden="1" customHeight="1">
      <c r="B21" s="25" t="s">
        <v>14</v>
      </c>
      <c r="C21" s="27" t="s">
        <v>15</v>
      </c>
      <c r="D21" s="15">
        <v>4</v>
      </c>
      <c r="E21" s="15">
        <v>488</v>
      </c>
      <c r="F21" s="15">
        <v>17</v>
      </c>
      <c r="G21" s="15">
        <v>3</v>
      </c>
      <c r="H21" s="15">
        <v>21</v>
      </c>
      <c r="I21" s="52">
        <v>60</v>
      </c>
      <c r="J21" s="53">
        <v>215</v>
      </c>
      <c r="K21" s="15">
        <v>1</v>
      </c>
      <c r="L21" s="18">
        <v>6</v>
      </c>
      <c r="M21" s="56">
        <v>22</v>
      </c>
      <c r="N21" s="57"/>
      <c r="O21" s="7"/>
      <c r="T21" s="5"/>
      <c r="U21" s="5"/>
      <c r="V21" s="5"/>
      <c r="W21" s="5"/>
      <c r="X21" s="5"/>
      <c r="Y21" s="5"/>
      <c r="Z21" s="5"/>
      <c r="AA21" s="6"/>
    </row>
    <row r="22" spans="2:27" ht="30.75" hidden="1" customHeight="1">
      <c r="B22" s="25" t="s">
        <v>22</v>
      </c>
      <c r="C22" s="27" t="s">
        <v>23</v>
      </c>
      <c r="D22" s="15">
        <v>3</v>
      </c>
      <c r="E22" s="15">
        <f>364/2</f>
        <v>182</v>
      </c>
      <c r="F22" s="15">
        <v>16</v>
      </c>
      <c r="G22" s="15">
        <v>3</v>
      </c>
      <c r="H22" s="15">
        <v>0</v>
      </c>
      <c r="I22" s="52">
        <v>156</v>
      </c>
      <c r="J22" s="53">
        <v>46</v>
      </c>
      <c r="K22" s="15">
        <v>1</v>
      </c>
      <c r="L22" s="18">
        <v>3</v>
      </c>
      <c r="M22" s="56">
        <v>22</v>
      </c>
      <c r="N22" s="57"/>
      <c r="O22" s="7"/>
      <c r="T22" s="5"/>
      <c r="U22" s="5"/>
      <c r="V22" s="5"/>
      <c r="W22" s="5"/>
      <c r="X22" s="5"/>
      <c r="Y22" s="5"/>
      <c r="Z22" s="5"/>
      <c r="AA22" s="6"/>
    </row>
    <row r="23" spans="2:27" ht="30.75" hidden="1" customHeight="1">
      <c r="B23" s="25" t="s">
        <v>26</v>
      </c>
      <c r="C23" s="27" t="s">
        <v>27</v>
      </c>
      <c r="D23" s="15">
        <v>3</v>
      </c>
      <c r="E23" s="15">
        <v>148</v>
      </c>
      <c r="F23" s="15">
        <v>6</v>
      </c>
      <c r="G23" s="15">
        <v>6</v>
      </c>
      <c r="H23" s="52">
        <v>3</v>
      </c>
      <c r="I23" s="52">
        <v>60</v>
      </c>
      <c r="J23" s="53">
        <v>287</v>
      </c>
      <c r="K23" s="15">
        <v>1</v>
      </c>
      <c r="L23" s="18"/>
      <c r="M23" s="56">
        <v>22</v>
      </c>
      <c r="N23" s="57"/>
      <c r="O23" s="7"/>
      <c r="T23" s="5"/>
      <c r="U23" s="5"/>
      <c r="V23" s="5"/>
      <c r="W23" s="5"/>
      <c r="X23" s="5"/>
      <c r="Y23" s="5"/>
      <c r="Z23" s="5"/>
      <c r="AA23" s="6"/>
    </row>
    <row r="24" spans="2:27" ht="30.75" hidden="1" customHeight="1">
      <c r="B24" s="25" t="s">
        <v>18</v>
      </c>
      <c r="C24" s="27" t="s">
        <v>19</v>
      </c>
      <c r="D24" s="15">
        <v>2</v>
      </c>
      <c r="E24" s="15">
        <v>141</v>
      </c>
      <c r="F24" s="15">
        <v>5</v>
      </c>
      <c r="G24" s="15">
        <v>4</v>
      </c>
      <c r="H24" s="15">
        <v>11</v>
      </c>
      <c r="I24" s="52">
        <v>79</v>
      </c>
      <c r="J24" s="53">
        <v>320</v>
      </c>
      <c r="K24" s="15">
        <v>1</v>
      </c>
      <c r="L24" s="18">
        <v>0</v>
      </c>
      <c r="M24" s="56">
        <v>7</v>
      </c>
      <c r="N24" s="57">
        <v>2</v>
      </c>
      <c r="O24" s="7"/>
      <c r="T24" s="5"/>
      <c r="U24" s="5"/>
      <c r="V24" s="5"/>
      <c r="W24" s="5"/>
      <c r="X24" s="5"/>
      <c r="Y24" s="5"/>
      <c r="Z24" s="5"/>
      <c r="AA24" s="6"/>
    </row>
    <row r="25" spans="2:27" ht="30.75" hidden="1" customHeight="1">
      <c r="B25" s="25" t="s">
        <v>30</v>
      </c>
      <c r="C25" s="27" t="s">
        <v>31</v>
      </c>
      <c r="D25" s="14">
        <v>2</v>
      </c>
      <c r="E25" s="14">
        <v>114</v>
      </c>
      <c r="F25" s="14">
        <v>4</v>
      </c>
      <c r="G25" s="14">
        <v>4</v>
      </c>
      <c r="H25" s="14">
        <v>0</v>
      </c>
      <c r="I25" s="14">
        <v>49</v>
      </c>
      <c r="J25" s="54">
        <v>391</v>
      </c>
      <c r="K25" s="15">
        <v>1</v>
      </c>
      <c r="L25" s="18">
        <v>2</v>
      </c>
      <c r="M25" s="56">
        <v>9</v>
      </c>
      <c r="N25" s="57"/>
      <c r="O25" s="7"/>
      <c r="T25" s="5"/>
      <c r="U25" s="5"/>
      <c r="V25" s="5"/>
      <c r="W25" s="5"/>
      <c r="X25" s="5"/>
      <c r="Y25" s="5"/>
      <c r="Z25" s="5"/>
      <c r="AA25" s="6"/>
    </row>
    <row r="26" spans="2:27" ht="30.75" customHeight="1">
      <c r="B26" s="25" t="s">
        <v>34</v>
      </c>
      <c r="C26" s="25" t="s">
        <v>35</v>
      </c>
      <c r="D26" s="18">
        <v>1</v>
      </c>
      <c r="E26" s="18">
        <v>72</v>
      </c>
      <c r="F26" s="15">
        <v>4</v>
      </c>
      <c r="G26" s="15">
        <v>1</v>
      </c>
      <c r="H26" s="15">
        <v>0</v>
      </c>
      <c r="I26" s="15">
        <v>43</v>
      </c>
      <c r="J26" s="53">
        <v>272</v>
      </c>
      <c r="K26" s="15">
        <v>1</v>
      </c>
      <c r="L26" s="18">
        <v>2</v>
      </c>
      <c r="M26" s="56">
        <v>2</v>
      </c>
      <c r="N26" s="58"/>
      <c r="O26" s="26"/>
      <c r="T26" s="3"/>
      <c r="U26" s="3"/>
      <c r="V26" s="3"/>
      <c r="W26" s="3"/>
      <c r="X26" s="3"/>
      <c r="Y26" s="3"/>
      <c r="Z26" s="3"/>
    </row>
    <row r="27" spans="2:27" ht="30.75" hidden="1" customHeight="1">
      <c r="B27" s="25" t="s">
        <v>38</v>
      </c>
      <c r="C27" s="27" t="s">
        <v>39</v>
      </c>
      <c r="D27" s="15">
        <v>1</v>
      </c>
      <c r="E27" s="15">
        <v>48</v>
      </c>
      <c r="F27" s="15">
        <v>3</v>
      </c>
      <c r="G27" s="15">
        <v>1</v>
      </c>
      <c r="H27" s="52">
        <v>0</v>
      </c>
      <c r="I27" s="52">
        <v>50</v>
      </c>
      <c r="J27" s="53">
        <v>47</v>
      </c>
      <c r="K27" s="15">
        <v>1</v>
      </c>
      <c r="L27" s="18">
        <v>0</v>
      </c>
      <c r="M27" s="56">
        <v>0</v>
      </c>
      <c r="N27" s="57"/>
      <c r="O27" s="7"/>
      <c r="T27" s="5"/>
      <c r="U27" s="5"/>
      <c r="V27" s="5"/>
      <c r="W27" s="5"/>
      <c r="X27" s="5"/>
      <c r="Y27" s="5"/>
      <c r="Z27" s="5"/>
      <c r="AA27" s="6"/>
    </row>
    <row r="28" spans="2:27" ht="30.75" hidden="1" customHeight="1">
      <c r="B28" s="25" t="s">
        <v>42</v>
      </c>
      <c r="C28" s="27" t="s">
        <v>43</v>
      </c>
      <c r="D28" s="15">
        <v>1</v>
      </c>
      <c r="E28" s="15">
        <v>32</v>
      </c>
      <c r="F28" s="15">
        <v>2</v>
      </c>
      <c r="G28" s="52">
        <v>2</v>
      </c>
      <c r="H28" s="52">
        <v>0</v>
      </c>
      <c r="I28" s="52">
        <v>0</v>
      </c>
      <c r="J28" s="53">
        <v>47</v>
      </c>
      <c r="K28" s="15">
        <v>1</v>
      </c>
      <c r="L28" s="18">
        <v>0</v>
      </c>
      <c r="M28" s="56">
        <v>0</v>
      </c>
      <c r="N28" s="57"/>
      <c r="O28" s="7"/>
      <c r="T28" s="5"/>
      <c r="U28" s="5"/>
      <c r="V28" s="5"/>
      <c r="W28" s="5"/>
      <c r="X28" s="5"/>
      <c r="Y28" s="5"/>
      <c r="Z28" s="5"/>
      <c r="AA28" s="6"/>
    </row>
    <row r="29" spans="2:27" ht="30.75" hidden="1" customHeight="1">
      <c r="B29" s="16" t="s">
        <v>26</v>
      </c>
      <c r="C29" s="17" t="s">
        <v>45</v>
      </c>
      <c r="D29" s="15">
        <v>1</v>
      </c>
      <c r="E29" s="15">
        <v>12</v>
      </c>
      <c r="F29" s="15">
        <v>1</v>
      </c>
      <c r="G29" s="52">
        <v>3</v>
      </c>
      <c r="H29" s="52">
        <v>0</v>
      </c>
      <c r="I29" s="52">
        <v>0</v>
      </c>
      <c r="J29" s="53"/>
      <c r="K29" s="15">
        <v>0</v>
      </c>
      <c r="L29" s="18">
        <v>0</v>
      </c>
      <c r="M29" s="56">
        <v>0</v>
      </c>
      <c r="N29" s="57"/>
      <c r="O29" s="7"/>
      <c r="T29" s="5"/>
      <c r="U29" s="5"/>
      <c r="V29" s="5"/>
      <c r="W29" s="5"/>
      <c r="X29" s="5"/>
      <c r="Y29" s="5"/>
      <c r="Z29" s="5"/>
      <c r="AA29" s="6"/>
    </row>
    <row r="30" spans="2:27" ht="30.75" hidden="1" customHeight="1">
      <c r="B30" s="25" t="s">
        <v>48</v>
      </c>
      <c r="C30" s="27" t="s">
        <v>49</v>
      </c>
      <c r="D30" s="15">
        <v>1</v>
      </c>
      <c r="E30" s="15">
        <v>6</v>
      </c>
      <c r="F30" s="15">
        <v>1</v>
      </c>
      <c r="G30" s="52">
        <v>2</v>
      </c>
      <c r="H30" s="52">
        <v>5</v>
      </c>
      <c r="I30" s="52">
        <v>0</v>
      </c>
      <c r="J30" s="53">
        <v>50</v>
      </c>
      <c r="K30" s="15">
        <v>1</v>
      </c>
      <c r="L30" s="18"/>
      <c r="M30" s="56"/>
      <c r="N30" s="57"/>
      <c r="O30" s="7"/>
      <c r="T30" s="5"/>
      <c r="U30" s="5"/>
      <c r="V30" s="5"/>
      <c r="W30" s="5"/>
      <c r="X30" s="5"/>
      <c r="Y30" s="5"/>
      <c r="Z30" s="5"/>
      <c r="AA30" s="6"/>
    </row>
    <row r="31" spans="2:27" ht="30.75" hidden="1" customHeight="1">
      <c r="B31" s="61" t="s">
        <v>38</v>
      </c>
      <c r="C31" s="62" t="s">
        <v>47</v>
      </c>
      <c r="D31" s="63">
        <v>1</v>
      </c>
      <c r="E31" s="63">
        <v>1</v>
      </c>
      <c r="F31" s="64">
        <v>3</v>
      </c>
      <c r="G31" s="64">
        <v>0</v>
      </c>
      <c r="H31" s="64">
        <v>6</v>
      </c>
      <c r="I31" s="64">
        <v>0</v>
      </c>
      <c r="J31" s="65">
        <v>0</v>
      </c>
      <c r="K31" s="65">
        <v>0</v>
      </c>
      <c r="L31" s="63">
        <v>1</v>
      </c>
      <c r="M31" s="66">
        <v>0</v>
      </c>
      <c r="N31" s="67"/>
      <c r="O31" s="7"/>
      <c r="T31" s="5"/>
      <c r="U31" s="5"/>
      <c r="V31" s="5"/>
      <c r="W31" s="5"/>
      <c r="X31" s="5"/>
      <c r="Y31" s="5"/>
      <c r="Z31" s="5"/>
      <c r="AA31" s="6"/>
    </row>
    <row r="32" spans="2:27" ht="22.5" customHeight="1">
      <c r="B32" s="109" t="s">
        <v>52</v>
      </c>
      <c r="C32" s="109"/>
      <c r="D32" s="51">
        <f>+SUM(D21:D31)</f>
        <v>20</v>
      </c>
      <c r="E32" s="51">
        <f t="shared" ref="E32:L32" si="1">+SUM(E21:E31)</f>
        <v>1244</v>
      </c>
      <c r="F32" s="51">
        <f t="shared" si="1"/>
        <v>62</v>
      </c>
      <c r="G32" s="51">
        <f t="shared" si="1"/>
        <v>29</v>
      </c>
      <c r="H32" s="51">
        <f>+SUM(H21:H31)</f>
        <v>46</v>
      </c>
      <c r="I32" s="51">
        <f t="shared" si="1"/>
        <v>497</v>
      </c>
      <c r="J32" s="51">
        <f t="shared" si="1"/>
        <v>1675</v>
      </c>
      <c r="K32" s="51">
        <f t="shared" si="1"/>
        <v>9</v>
      </c>
      <c r="L32" s="51">
        <f t="shared" si="1"/>
        <v>14</v>
      </c>
      <c r="M32" s="51">
        <f>+SUM(M21:M31)</f>
        <v>84</v>
      </c>
      <c r="N32" s="51">
        <f>+SUM(N21:N31)</f>
        <v>2</v>
      </c>
      <c r="O32" s="28"/>
      <c r="T32" s="5"/>
      <c r="U32" s="5"/>
      <c r="V32" s="5"/>
      <c r="W32" s="5"/>
      <c r="X32" s="5"/>
      <c r="Y32" s="5"/>
      <c r="Z32" s="5"/>
      <c r="AA32" s="6"/>
    </row>
    <row r="33" spans="2:15" ht="12.75" customHeight="1">
      <c r="B33" s="2"/>
    </row>
    <row r="34" spans="2:15" ht="25.5" customHeight="1">
      <c r="B34" s="2"/>
    </row>
    <row r="35" spans="2:15" ht="57.75" customHeight="1">
      <c r="B35" s="60" t="s">
        <v>65</v>
      </c>
      <c r="C35" s="60" t="s">
        <v>66</v>
      </c>
      <c r="D35" s="60" t="s">
        <v>67</v>
      </c>
      <c r="E35" s="60" t="s">
        <v>68</v>
      </c>
      <c r="F35" s="60" t="s">
        <v>69</v>
      </c>
      <c r="G35" s="60" t="s">
        <v>70</v>
      </c>
      <c r="H35" s="60" t="s">
        <v>71</v>
      </c>
      <c r="I35" s="60" t="s">
        <v>72</v>
      </c>
      <c r="J35" s="60" t="s">
        <v>73</v>
      </c>
      <c r="K35" s="60" t="s">
        <v>74</v>
      </c>
      <c r="L35" s="60" t="s">
        <v>75</v>
      </c>
      <c r="M35" s="60" t="s">
        <v>76</v>
      </c>
      <c r="N35" s="60" t="s">
        <v>52</v>
      </c>
      <c r="O35" s="60" t="s">
        <v>77</v>
      </c>
    </row>
    <row r="36" spans="2:15" ht="21.75" customHeight="1">
      <c r="B36" s="30" t="s">
        <v>78</v>
      </c>
      <c r="C36" s="31">
        <v>3</v>
      </c>
      <c r="D36" s="31">
        <v>1</v>
      </c>
      <c r="E36" s="31">
        <v>1</v>
      </c>
      <c r="F36" s="31">
        <v>1</v>
      </c>
      <c r="G36" s="31">
        <v>2</v>
      </c>
      <c r="H36" s="31">
        <v>2</v>
      </c>
      <c r="I36" s="31">
        <v>2</v>
      </c>
      <c r="J36" s="31">
        <v>1</v>
      </c>
      <c r="K36" s="32">
        <v>1</v>
      </c>
      <c r="L36" s="31">
        <v>1</v>
      </c>
      <c r="M36" s="24">
        <v>1</v>
      </c>
      <c r="N36" s="33">
        <f>SUM(C36:M36)</f>
        <v>16</v>
      </c>
      <c r="O36" s="35">
        <v>3</v>
      </c>
    </row>
    <row r="37" spans="2:15" ht="21.75" customHeight="1">
      <c r="B37" s="30" t="s">
        <v>79</v>
      </c>
      <c r="C37" s="31">
        <v>0</v>
      </c>
      <c r="D37" s="31">
        <v>0</v>
      </c>
      <c r="E37" s="31">
        <v>2</v>
      </c>
      <c r="F37" s="31">
        <v>0</v>
      </c>
      <c r="G37" s="31">
        <v>0</v>
      </c>
      <c r="H37" s="31">
        <v>4</v>
      </c>
      <c r="I37" s="31">
        <v>0</v>
      </c>
      <c r="J37" s="31">
        <v>0</v>
      </c>
      <c r="K37" s="32">
        <v>0</v>
      </c>
      <c r="L37" s="31">
        <v>0</v>
      </c>
      <c r="M37" s="24">
        <v>0</v>
      </c>
      <c r="N37" s="33">
        <f t="shared" ref="N37:N52" si="2">SUM(C37:M37)</f>
        <v>6</v>
      </c>
      <c r="O37" s="35">
        <v>0</v>
      </c>
    </row>
    <row r="38" spans="2:15" ht="21.75" customHeight="1">
      <c r="B38" s="30" t="s">
        <v>80</v>
      </c>
      <c r="C38" s="31">
        <v>0</v>
      </c>
      <c r="D38" s="31">
        <v>0</v>
      </c>
      <c r="E38" s="31">
        <v>0</v>
      </c>
      <c r="F38" s="31">
        <v>0</v>
      </c>
      <c r="G38" s="31">
        <v>0</v>
      </c>
      <c r="H38" s="31">
        <v>1</v>
      </c>
      <c r="I38" s="31">
        <v>0</v>
      </c>
      <c r="J38" s="31">
        <v>0</v>
      </c>
      <c r="K38" s="32">
        <v>0</v>
      </c>
      <c r="L38" s="31">
        <v>0</v>
      </c>
      <c r="M38" s="24">
        <v>0</v>
      </c>
      <c r="N38" s="33">
        <f t="shared" si="2"/>
        <v>1</v>
      </c>
      <c r="O38" s="35">
        <v>0</v>
      </c>
    </row>
    <row r="39" spans="2:15" ht="21.75" customHeight="1">
      <c r="B39" s="30" t="s">
        <v>81</v>
      </c>
      <c r="C39" s="31">
        <v>1</v>
      </c>
      <c r="D39" s="31">
        <v>0</v>
      </c>
      <c r="E39" s="31">
        <v>3</v>
      </c>
      <c r="F39" s="31">
        <v>1</v>
      </c>
      <c r="G39" s="31">
        <v>2</v>
      </c>
      <c r="H39" s="31">
        <v>1</v>
      </c>
      <c r="I39" s="31">
        <v>1</v>
      </c>
      <c r="J39" s="31">
        <v>0</v>
      </c>
      <c r="K39" s="32">
        <v>0</v>
      </c>
      <c r="L39" s="32">
        <v>0</v>
      </c>
      <c r="M39" s="24">
        <v>0</v>
      </c>
      <c r="N39" s="33">
        <f t="shared" si="2"/>
        <v>9</v>
      </c>
      <c r="O39" s="35">
        <v>3</v>
      </c>
    </row>
    <row r="40" spans="2:15" ht="21.75" customHeight="1">
      <c r="B40" s="30" t="s">
        <v>82</v>
      </c>
      <c r="C40" s="31">
        <v>0</v>
      </c>
      <c r="D40" s="31">
        <v>0</v>
      </c>
      <c r="E40" s="31">
        <v>3</v>
      </c>
      <c r="F40" s="31">
        <v>0</v>
      </c>
      <c r="G40" s="31">
        <v>0</v>
      </c>
      <c r="H40" s="31">
        <v>1</v>
      </c>
      <c r="I40" s="31">
        <v>1</v>
      </c>
      <c r="J40" s="31">
        <v>0</v>
      </c>
      <c r="K40" s="32">
        <v>0</v>
      </c>
      <c r="L40" s="32">
        <v>0</v>
      </c>
      <c r="M40" s="24">
        <v>0</v>
      </c>
      <c r="N40" s="33">
        <f t="shared" si="2"/>
        <v>5</v>
      </c>
      <c r="O40" s="35">
        <v>1</v>
      </c>
    </row>
    <row r="41" spans="2:15" ht="21.75" customHeight="1">
      <c r="B41" s="30" t="s">
        <v>83</v>
      </c>
      <c r="C41" s="31">
        <v>0</v>
      </c>
      <c r="D41" s="31">
        <v>0</v>
      </c>
      <c r="E41" s="31">
        <v>0</v>
      </c>
      <c r="F41" s="31">
        <v>0</v>
      </c>
      <c r="G41" s="31">
        <v>0</v>
      </c>
      <c r="H41" s="31">
        <v>0</v>
      </c>
      <c r="I41" s="31">
        <v>1</v>
      </c>
      <c r="J41" s="31">
        <v>0</v>
      </c>
      <c r="K41" s="32">
        <v>0</v>
      </c>
      <c r="L41" s="32">
        <v>0</v>
      </c>
      <c r="M41" s="24">
        <v>0</v>
      </c>
      <c r="N41" s="33">
        <f t="shared" si="2"/>
        <v>1</v>
      </c>
      <c r="O41" s="35">
        <v>0</v>
      </c>
    </row>
    <row r="42" spans="2:15" ht="21.75" customHeight="1">
      <c r="B42" s="30" t="s">
        <v>84</v>
      </c>
      <c r="C42" s="31">
        <v>0</v>
      </c>
      <c r="D42" s="31">
        <v>0</v>
      </c>
      <c r="E42" s="31">
        <v>0</v>
      </c>
      <c r="F42" s="31">
        <v>0</v>
      </c>
      <c r="G42" s="31">
        <v>0</v>
      </c>
      <c r="H42" s="31">
        <v>1</v>
      </c>
      <c r="I42" s="31">
        <v>1</v>
      </c>
      <c r="J42" s="31">
        <v>0</v>
      </c>
      <c r="K42" s="32">
        <v>0</v>
      </c>
      <c r="L42" s="32">
        <v>0</v>
      </c>
      <c r="M42" s="24">
        <v>0</v>
      </c>
      <c r="N42" s="33">
        <f t="shared" si="2"/>
        <v>2</v>
      </c>
      <c r="O42" s="35">
        <v>0</v>
      </c>
    </row>
    <row r="43" spans="2:15" ht="21.75" customHeight="1">
      <c r="B43" s="30" t="s">
        <v>85</v>
      </c>
      <c r="C43" s="31">
        <v>1</v>
      </c>
      <c r="D43" s="31">
        <v>0</v>
      </c>
      <c r="E43" s="31">
        <v>0</v>
      </c>
      <c r="F43" s="31">
        <v>0</v>
      </c>
      <c r="G43" s="31">
        <v>0</v>
      </c>
      <c r="H43" s="31">
        <v>1</v>
      </c>
      <c r="I43" s="31">
        <v>2</v>
      </c>
      <c r="J43" s="31">
        <v>0</v>
      </c>
      <c r="K43" s="32">
        <v>0</v>
      </c>
      <c r="L43" s="32">
        <v>0</v>
      </c>
      <c r="M43" s="24">
        <v>0</v>
      </c>
      <c r="N43" s="33">
        <f t="shared" si="2"/>
        <v>4</v>
      </c>
      <c r="O43" s="35">
        <v>0</v>
      </c>
    </row>
    <row r="44" spans="2:15" ht="21.75" customHeight="1">
      <c r="B44" s="30" t="s">
        <v>86</v>
      </c>
      <c r="C44" s="31">
        <v>0</v>
      </c>
      <c r="D44" s="31">
        <v>0</v>
      </c>
      <c r="E44" s="31">
        <v>0</v>
      </c>
      <c r="F44" s="31">
        <v>0</v>
      </c>
      <c r="G44" s="31">
        <v>0</v>
      </c>
      <c r="H44" s="31">
        <v>1</v>
      </c>
      <c r="I44" s="31">
        <v>1</v>
      </c>
      <c r="J44" s="31">
        <v>0</v>
      </c>
      <c r="K44" s="32">
        <v>0</v>
      </c>
      <c r="L44" s="32">
        <v>0</v>
      </c>
      <c r="M44" s="24">
        <v>0</v>
      </c>
      <c r="N44" s="33">
        <f t="shared" si="2"/>
        <v>2</v>
      </c>
      <c r="O44" s="35">
        <v>0</v>
      </c>
    </row>
    <row r="45" spans="2:15" ht="21.75" customHeight="1">
      <c r="B45" s="30" t="s">
        <v>87</v>
      </c>
      <c r="C45" s="31">
        <v>9</v>
      </c>
      <c r="D45" s="31">
        <v>0</v>
      </c>
      <c r="E45" s="31">
        <v>0</v>
      </c>
      <c r="F45" s="31">
        <v>0</v>
      </c>
      <c r="G45" s="31">
        <v>0</v>
      </c>
      <c r="H45" s="31">
        <v>9</v>
      </c>
      <c r="I45" s="31">
        <v>3</v>
      </c>
      <c r="J45" s="31">
        <v>0</v>
      </c>
      <c r="K45" s="32">
        <v>0</v>
      </c>
      <c r="L45" s="32">
        <v>0</v>
      </c>
      <c r="M45" s="24">
        <v>0</v>
      </c>
      <c r="N45" s="33">
        <f t="shared" si="2"/>
        <v>21</v>
      </c>
      <c r="O45" s="35">
        <v>0</v>
      </c>
    </row>
    <row r="46" spans="2:15" ht="21.75" customHeight="1">
      <c r="B46" s="30" t="s">
        <v>88</v>
      </c>
      <c r="C46" s="34">
        <v>1</v>
      </c>
      <c r="D46" s="34">
        <v>0</v>
      </c>
      <c r="E46" s="34">
        <v>0</v>
      </c>
      <c r="F46" s="34">
        <v>0</v>
      </c>
      <c r="G46" s="34">
        <v>0</v>
      </c>
      <c r="H46" s="34">
        <v>1</v>
      </c>
      <c r="I46" s="34">
        <v>0</v>
      </c>
      <c r="J46" s="34">
        <v>0</v>
      </c>
      <c r="K46" s="32">
        <v>0</v>
      </c>
      <c r="L46" s="32">
        <v>0</v>
      </c>
      <c r="M46" s="24">
        <v>0</v>
      </c>
      <c r="N46" s="33">
        <f t="shared" si="2"/>
        <v>2</v>
      </c>
      <c r="O46" s="35">
        <v>0</v>
      </c>
    </row>
    <row r="47" spans="2:15" ht="21.75" customHeight="1">
      <c r="B47" s="30" t="s">
        <v>89</v>
      </c>
      <c r="C47" s="31">
        <v>0</v>
      </c>
      <c r="D47" s="31">
        <v>0</v>
      </c>
      <c r="E47" s="31">
        <v>10</v>
      </c>
      <c r="F47" s="31">
        <v>0</v>
      </c>
      <c r="G47" s="31">
        <v>0</v>
      </c>
      <c r="H47" s="31">
        <v>0</v>
      </c>
      <c r="I47" s="31">
        <v>3</v>
      </c>
      <c r="J47" s="31">
        <v>0</v>
      </c>
      <c r="K47" s="32">
        <v>0</v>
      </c>
      <c r="L47" s="32">
        <v>0</v>
      </c>
      <c r="M47" s="24">
        <v>0</v>
      </c>
      <c r="N47" s="33">
        <f t="shared" si="2"/>
        <v>13</v>
      </c>
      <c r="O47" s="35">
        <v>1</v>
      </c>
    </row>
    <row r="48" spans="2:15" ht="21.75" customHeight="1">
      <c r="B48" s="30" t="s">
        <v>90</v>
      </c>
      <c r="C48" s="31">
        <v>0</v>
      </c>
      <c r="D48" s="31">
        <v>0</v>
      </c>
      <c r="E48" s="31">
        <v>0</v>
      </c>
      <c r="F48" s="31">
        <v>0</v>
      </c>
      <c r="G48" s="31">
        <v>0</v>
      </c>
      <c r="H48" s="31">
        <v>0</v>
      </c>
      <c r="I48" s="31">
        <v>1</v>
      </c>
      <c r="J48" s="31">
        <v>0</v>
      </c>
      <c r="K48" s="32">
        <v>0</v>
      </c>
      <c r="L48" s="32">
        <v>0</v>
      </c>
      <c r="M48" s="24">
        <v>0</v>
      </c>
      <c r="N48" s="33">
        <f t="shared" si="2"/>
        <v>1</v>
      </c>
      <c r="O48" s="35">
        <v>0</v>
      </c>
    </row>
    <row r="49" spans="2:15" ht="21.75" customHeight="1">
      <c r="B49" s="30" t="s">
        <v>91</v>
      </c>
      <c r="C49" s="31">
        <v>0</v>
      </c>
      <c r="D49" s="31">
        <v>0</v>
      </c>
      <c r="E49" s="31">
        <v>0</v>
      </c>
      <c r="F49" s="31">
        <v>0</v>
      </c>
      <c r="G49" s="31">
        <v>0</v>
      </c>
      <c r="H49" s="31">
        <v>0</v>
      </c>
      <c r="I49" s="31">
        <v>1</v>
      </c>
      <c r="J49" s="31">
        <v>0</v>
      </c>
      <c r="K49" s="32">
        <v>0</v>
      </c>
      <c r="L49" s="32">
        <v>0</v>
      </c>
      <c r="M49" s="24">
        <v>0</v>
      </c>
      <c r="N49" s="33">
        <f t="shared" si="2"/>
        <v>1</v>
      </c>
      <c r="O49" s="35">
        <v>0</v>
      </c>
    </row>
    <row r="50" spans="2:15" ht="21.75" customHeight="1">
      <c r="B50" s="30" t="s">
        <v>92</v>
      </c>
      <c r="C50" s="31">
        <v>0</v>
      </c>
      <c r="D50" s="31">
        <v>0</v>
      </c>
      <c r="E50" s="31">
        <v>0</v>
      </c>
      <c r="F50" s="31">
        <v>0</v>
      </c>
      <c r="G50" s="31">
        <v>0</v>
      </c>
      <c r="H50" s="31">
        <v>0</v>
      </c>
      <c r="I50" s="31">
        <v>1</v>
      </c>
      <c r="J50" s="31">
        <v>0</v>
      </c>
      <c r="K50" s="32">
        <v>0</v>
      </c>
      <c r="L50" s="32">
        <v>0</v>
      </c>
      <c r="M50" s="24">
        <v>0</v>
      </c>
      <c r="N50" s="33">
        <f t="shared" si="2"/>
        <v>1</v>
      </c>
      <c r="O50" s="35">
        <v>1</v>
      </c>
    </row>
    <row r="51" spans="2:15" ht="21.75" customHeight="1">
      <c r="B51" s="30" t="s">
        <v>93</v>
      </c>
      <c r="C51" s="31">
        <v>0</v>
      </c>
      <c r="D51" s="31">
        <v>0</v>
      </c>
      <c r="E51" s="31">
        <v>2</v>
      </c>
      <c r="F51" s="31">
        <v>0</v>
      </c>
      <c r="G51" s="31">
        <v>0</v>
      </c>
      <c r="H51" s="31">
        <v>0</v>
      </c>
      <c r="I51" s="31"/>
      <c r="J51" s="31">
        <v>0</v>
      </c>
      <c r="K51" s="32">
        <v>0</v>
      </c>
      <c r="L51" s="32">
        <v>0</v>
      </c>
      <c r="M51" s="24">
        <v>0</v>
      </c>
      <c r="N51" s="33">
        <f t="shared" si="2"/>
        <v>2</v>
      </c>
      <c r="O51" s="35">
        <v>0</v>
      </c>
    </row>
    <row r="52" spans="2:15" ht="12.75" customHeight="1">
      <c r="B52" s="30" t="s">
        <v>94</v>
      </c>
      <c r="C52" s="31">
        <v>0</v>
      </c>
      <c r="D52" s="31">
        <v>0</v>
      </c>
      <c r="E52" s="31">
        <v>0</v>
      </c>
      <c r="F52" s="31">
        <v>0</v>
      </c>
      <c r="G52" s="31">
        <v>0</v>
      </c>
      <c r="H52" s="31">
        <v>0</v>
      </c>
      <c r="I52" s="31">
        <v>1</v>
      </c>
      <c r="J52" s="31">
        <v>0</v>
      </c>
      <c r="K52" s="32">
        <v>0</v>
      </c>
      <c r="L52" s="32">
        <v>0</v>
      </c>
      <c r="M52" s="24">
        <v>0</v>
      </c>
      <c r="N52" s="33">
        <f t="shared" si="2"/>
        <v>1</v>
      </c>
      <c r="O52" s="35">
        <v>1</v>
      </c>
    </row>
    <row r="53" spans="2:15" ht="27.75" customHeight="1">
      <c r="B53" s="36" t="s">
        <v>52</v>
      </c>
      <c r="C53" s="23">
        <f>+SUM(C36:C52)</f>
        <v>15</v>
      </c>
      <c r="D53" s="23">
        <f t="shared" ref="D53:O53" si="3">+SUM(D36:D52)</f>
        <v>1</v>
      </c>
      <c r="E53" s="23">
        <f t="shared" si="3"/>
        <v>21</v>
      </c>
      <c r="F53" s="23">
        <f t="shared" si="3"/>
        <v>2</v>
      </c>
      <c r="G53" s="23">
        <f t="shared" si="3"/>
        <v>4</v>
      </c>
      <c r="H53" s="23">
        <f t="shared" si="3"/>
        <v>22</v>
      </c>
      <c r="I53" s="23">
        <f t="shared" si="3"/>
        <v>19</v>
      </c>
      <c r="J53" s="23">
        <f t="shared" si="3"/>
        <v>1</v>
      </c>
      <c r="K53" s="23">
        <f t="shared" si="3"/>
        <v>1</v>
      </c>
      <c r="L53" s="23">
        <f t="shared" si="3"/>
        <v>1</v>
      </c>
      <c r="M53" s="23">
        <f t="shared" si="3"/>
        <v>1</v>
      </c>
      <c r="N53" s="23">
        <f t="shared" si="3"/>
        <v>88</v>
      </c>
      <c r="O53" s="23">
        <f t="shared" si="3"/>
        <v>10</v>
      </c>
    </row>
    <row r="54" spans="2:15" ht="12.75" customHeight="1">
      <c r="B54" s="2"/>
    </row>
    <row r="55" spans="2:15" ht="12.75" customHeight="1">
      <c r="B55" s="2"/>
    </row>
    <row r="56" spans="2:15" ht="12.75" customHeight="1">
      <c r="B56" s="2"/>
    </row>
    <row r="57" spans="2:15" ht="12.75" customHeight="1">
      <c r="B57" s="2"/>
    </row>
    <row r="58" spans="2:15" ht="12.75" customHeight="1">
      <c r="B58" s="2"/>
    </row>
    <row r="59" spans="2:15" ht="12.75" customHeight="1">
      <c r="B59" s="2"/>
    </row>
    <row r="60" spans="2:15" ht="12.75" customHeight="1">
      <c r="B60" s="2"/>
    </row>
    <row r="61" spans="2:15" ht="12.75" customHeight="1">
      <c r="B61" s="2"/>
    </row>
    <row r="62" spans="2:15" ht="12.75" customHeight="1">
      <c r="B62" s="2"/>
    </row>
    <row r="63" spans="2:15" ht="12.75" customHeight="1">
      <c r="B63" s="2"/>
    </row>
    <row r="64" spans="2:15" ht="12.75" customHeight="1">
      <c r="B64" s="2"/>
    </row>
    <row r="65" spans="2:2" ht="12.75" customHeight="1">
      <c r="B65" s="2"/>
    </row>
    <row r="66" spans="2:2" ht="12.75" customHeight="1">
      <c r="B66" s="2"/>
    </row>
    <row r="67" spans="2:2" ht="12.75" customHeight="1">
      <c r="B67" s="2"/>
    </row>
    <row r="68" spans="2:2" ht="12.75" customHeight="1">
      <c r="B68" s="2"/>
    </row>
    <row r="69" spans="2:2" ht="12.75" customHeight="1">
      <c r="B69" s="2"/>
    </row>
    <row r="70" spans="2:2" ht="12.75" customHeight="1">
      <c r="B70" s="2"/>
    </row>
    <row r="71" spans="2:2" ht="12.75" customHeight="1">
      <c r="B71" s="2"/>
    </row>
    <row r="72" spans="2:2" ht="12.75" customHeight="1">
      <c r="B72" s="2"/>
    </row>
    <row r="73" spans="2:2" ht="12.75" customHeight="1">
      <c r="B73" s="2"/>
    </row>
    <row r="74" spans="2:2" ht="12.75" customHeight="1">
      <c r="B74" s="2"/>
    </row>
    <row r="75" spans="2:2" ht="12.75" customHeight="1">
      <c r="B75" s="2"/>
    </row>
    <row r="76" spans="2:2" ht="12.75" customHeight="1">
      <c r="B76" s="2"/>
    </row>
    <row r="77" spans="2:2" ht="12.75" customHeight="1">
      <c r="B77" s="2"/>
    </row>
    <row r="78" spans="2:2" ht="12.75" customHeight="1">
      <c r="B78" s="2"/>
    </row>
    <row r="79" spans="2:2" ht="12.75" customHeight="1">
      <c r="B79" s="2"/>
    </row>
    <row r="80" spans="2:2" ht="12.75" customHeight="1">
      <c r="B80" s="2"/>
    </row>
    <row r="81" spans="2:2" ht="12.75" customHeight="1">
      <c r="B81" s="2"/>
    </row>
    <row r="82" spans="2:2" ht="12.75" customHeight="1">
      <c r="B82" s="2"/>
    </row>
    <row r="83" spans="2:2" ht="12.75" customHeight="1">
      <c r="B83" s="2"/>
    </row>
    <row r="84" spans="2:2" ht="12.75" customHeight="1">
      <c r="B84" s="2"/>
    </row>
    <row r="85" spans="2:2" ht="12.75" customHeight="1">
      <c r="B85" s="2"/>
    </row>
    <row r="86" spans="2:2" ht="12.75" customHeight="1">
      <c r="B86" s="2"/>
    </row>
    <row r="87" spans="2:2" ht="12.75" customHeight="1">
      <c r="B87" s="2"/>
    </row>
    <row r="88" spans="2:2" ht="12.75" customHeight="1">
      <c r="B88" s="2"/>
    </row>
    <row r="89" spans="2:2" ht="12.75" customHeight="1">
      <c r="B89" s="2"/>
    </row>
    <row r="90" spans="2:2" ht="12.75" customHeight="1">
      <c r="B90" s="2"/>
    </row>
    <row r="91" spans="2:2" ht="12.75" customHeight="1">
      <c r="B91" s="2"/>
    </row>
    <row r="92" spans="2:2" ht="12.75" customHeight="1">
      <c r="B92" s="2"/>
    </row>
    <row r="93" spans="2:2" ht="12.75" customHeight="1">
      <c r="B93" s="2"/>
    </row>
    <row r="94" spans="2:2" ht="12.75" customHeight="1">
      <c r="B94" s="2"/>
    </row>
    <row r="95" spans="2:2" ht="12.75" customHeight="1">
      <c r="B95" s="2"/>
    </row>
    <row r="96" spans="2:2" ht="12.75" customHeight="1">
      <c r="B96" s="2"/>
    </row>
    <row r="97" spans="2:2" ht="12.75" customHeight="1">
      <c r="B97" s="2"/>
    </row>
    <row r="98" spans="2:2" ht="12.75" customHeight="1">
      <c r="B98" s="2"/>
    </row>
    <row r="99" spans="2:2" ht="12.75" customHeight="1">
      <c r="B99" s="2"/>
    </row>
    <row r="100" spans="2:2" ht="12.75" customHeight="1">
      <c r="B100" s="2"/>
    </row>
    <row r="101" spans="2:2" ht="12.75" customHeight="1">
      <c r="B101" s="2"/>
    </row>
    <row r="102" spans="2:2" ht="12.75" customHeight="1">
      <c r="B102" s="2"/>
    </row>
    <row r="103" spans="2:2" ht="12.75" customHeight="1">
      <c r="B103" s="2"/>
    </row>
    <row r="104" spans="2:2" ht="12.75" customHeight="1">
      <c r="B104" s="2"/>
    </row>
    <row r="105" spans="2:2" ht="12.75" customHeight="1">
      <c r="B105" s="2"/>
    </row>
    <row r="106" spans="2:2" ht="12.75" customHeight="1">
      <c r="B106" s="2"/>
    </row>
    <row r="107" spans="2:2" ht="12.75" customHeight="1">
      <c r="B107" s="2"/>
    </row>
    <row r="108" spans="2:2" ht="12.75" customHeight="1">
      <c r="B108" s="2"/>
    </row>
    <row r="109" spans="2:2" ht="12.75" customHeight="1">
      <c r="B109" s="2"/>
    </row>
    <row r="110" spans="2:2" ht="12.75" customHeight="1">
      <c r="B110" s="2"/>
    </row>
    <row r="111" spans="2:2" ht="12.75" customHeight="1">
      <c r="B111" s="2"/>
    </row>
    <row r="112" spans="2:2" ht="12.75" customHeight="1">
      <c r="B112" s="2"/>
    </row>
    <row r="113" spans="2:2" ht="12.75" customHeight="1">
      <c r="B113" s="2"/>
    </row>
    <row r="114" spans="2:2" ht="12.75" customHeight="1">
      <c r="B114" s="2"/>
    </row>
    <row r="115" spans="2:2" ht="12.75" customHeight="1">
      <c r="B115" s="2"/>
    </row>
    <row r="116" spans="2:2" ht="12.75" customHeight="1">
      <c r="B116" s="2"/>
    </row>
    <row r="117" spans="2:2" ht="12.75" customHeight="1">
      <c r="B117" s="2"/>
    </row>
    <row r="118" spans="2:2" ht="12.75" customHeight="1">
      <c r="B118" s="2"/>
    </row>
    <row r="119" spans="2:2" ht="12.75" customHeight="1">
      <c r="B119" s="2"/>
    </row>
    <row r="120" spans="2:2" ht="12.75" customHeight="1">
      <c r="B120" s="2"/>
    </row>
    <row r="121" spans="2:2" ht="12.75" customHeight="1">
      <c r="B121" s="2"/>
    </row>
    <row r="122" spans="2:2" ht="12.75" customHeight="1">
      <c r="B122" s="2"/>
    </row>
    <row r="123" spans="2:2" ht="12.75" customHeight="1">
      <c r="B123" s="2"/>
    </row>
    <row r="124" spans="2:2" ht="12.75" customHeight="1">
      <c r="B124" s="2"/>
    </row>
    <row r="125" spans="2:2" ht="12.75" customHeight="1">
      <c r="B125" s="2"/>
    </row>
    <row r="126" spans="2:2" ht="12.75" customHeight="1">
      <c r="B126" s="2"/>
    </row>
    <row r="127" spans="2:2" ht="12.75" customHeight="1">
      <c r="B127" s="2"/>
    </row>
    <row r="128" spans="2:2" ht="12.75" customHeight="1">
      <c r="B128" s="2"/>
    </row>
    <row r="129" spans="2:2" ht="12.75" customHeight="1">
      <c r="B129" s="2"/>
    </row>
    <row r="130" spans="2:2" ht="12.75" customHeight="1">
      <c r="B130" s="2"/>
    </row>
    <row r="131" spans="2:2" ht="12.75" customHeight="1">
      <c r="B131" s="2"/>
    </row>
    <row r="132" spans="2:2" ht="12.75" customHeight="1">
      <c r="B132" s="2"/>
    </row>
    <row r="133" spans="2:2" ht="12.75" customHeight="1">
      <c r="B133" s="2"/>
    </row>
    <row r="134" spans="2:2" ht="12.75" customHeight="1">
      <c r="B134" s="2"/>
    </row>
    <row r="135" spans="2:2" ht="12.75" customHeight="1">
      <c r="B135" s="2"/>
    </row>
    <row r="136" spans="2:2" ht="12.75" customHeight="1">
      <c r="B136" s="2"/>
    </row>
    <row r="137" spans="2:2" ht="12.75" customHeight="1">
      <c r="B137" s="2"/>
    </row>
    <row r="138" spans="2:2" ht="12.75" customHeight="1">
      <c r="B138" s="2"/>
    </row>
    <row r="139" spans="2:2" ht="12.75" customHeight="1">
      <c r="B139" s="2"/>
    </row>
    <row r="140" spans="2:2" ht="12.75" customHeight="1">
      <c r="B140" s="2"/>
    </row>
    <row r="141" spans="2:2" ht="12.75" customHeight="1">
      <c r="B141" s="2"/>
    </row>
    <row r="142" spans="2:2" ht="12.75" customHeight="1">
      <c r="B142" s="2"/>
    </row>
    <row r="143" spans="2:2" ht="12.75" customHeight="1">
      <c r="B143" s="2"/>
    </row>
    <row r="144" spans="2:2" ht="12.75" customHeight="1">
      <c r="B144" s="2"/>
    </row>
    <row r="145" spans="2:2" ht="12.75" customHeight="1">
      <c r="B145" s="2"/>
    </row>
    <row r="146" spans="2:2" ht="12.75" customHeight="1">
      <c r="B146" s="2"/>
    </row>
    <row r="147" spans="2:2" ht="12.75" customHeight="1">
      <c r="B147" s="2"/>
    </row>
    <row r="148" spans="2:2" ht="12.75" customHeight="1">
      <c r="B148" s="2"/>
    </row>
    <row r="149" spans="2:2" ht="12.75" customHeight="1">
      <c r="B149" s="2"/>
    </row>
    <row r="150" spans="2:2" ht="12.75" customHeight="1">
      <c r="B150" s="2"/>
    </row>
    <row r="151" spans="2:2" ht="12.75" customHeight="1">
      <c r="B151" s="2"/>
    </row>
    <row r="152" spans="2:2" ht="12.75" customHeight="1">
      <c r="B152" s="2"/>
    </row>
    <row r="153" spans="2:2" ht="12.75" customHeight="1">
      <c r="B153" s="2"/>
    </row>
    <row r="154" spans="2:2" ht="12.75" customHeight="1">
      <c r="B154" s="2"/>
    </row>
    <row r="155" spans="2:2" ht="12.75" customHeight="1">
      <c r="B155" s="2"/>
    </row>
    <row r="156" spans="2:2" ht="12.75" customHeight="1">
      <c r="B156" s="2"/>
    </row>
    <row r="157" spans="2:2" ht="12.75" customHeight="1">
      <c r="B157" s="2"/>
    </row>
    <row r="158" spans="2:2" ht="12.75" customHeight="1">
      <c r="B158" s="2"/>
    </row>
    <row r="159" spans="2:2" ht="12.75" customHeight="1">
      <c r="B159" s="2"/>
    </row>
    <row r="160" spans="2:2" ht="12.75" customHeight="1">
      <c r="B160" s="2"/>
    </row>
    <row r="161" spans="2:2" ht="12.75" customHeight="1">
      <c r="B161" s="2"/>
    </row>
    <row r="162" spans="2:2" ht="12.75" customHeight="1">
      <c r="B162" s="2"/>
    </row>
    <row r="163" spans="2:2" ht="12.75" customHeight="1">
      <c r="B163" s="2"/>
    </row>
    <row r="164" spans="2:2" ht="12.75" customHeight="1">
      <c r="B164" s="2"/>
    </row>
    <row r="165" spans="2:2" ht="12.75" customHeight="1">
      <c r="B165" s="2"/>
    </row>
    <row r="166" spans="2:2" ht="12.75" customHeight="1">
      <c r="B166" s="2"/>
    </row>
    <row r="167" spans="2:2" ht="12.75" customHeight="1">
      <c r="B167" s="2"/>
    </row>
    <row r="168" spans="2:2" ht="12.75" customHeight="1">
      <c r="B168" s="2"/>
    </row>
    <row r="169" spans="2:2" ht="12.75" customHeight="1">
      <c r="B169" s="2"/>
    </row>
    <row r="170" spans="2:2" ht="12.75" customHeight="1">
      <c r="B170" s="2"/>
    </row>
    <row r="171" spans="2:2" ht="12.75" customHeight="1">
      <c r="B171" s="2"/>
    </row>
    <row r="172" spans="2:2" ht="12.75" customHeight="1">
      <c r="B172" s="2"/>
    </row>
    <row r="173" spans="2:2" ht="12.75" customHeight="1">
      <c r="B173" s="2"/>
    </row>
    <row r="174" spans="2:2" ht="12.75" customHeight="1">
      <c r="B174" s="2"/>
    </row>
    <row r="175" spans="2:2" ht="12.75" customHeight="1">
      <c r="B175" s="2"/>
    </row>
    <row r="176" spans="2:2" ht="12.75" customHeight="1">
      <c r="B176" s="2"/>
    </row>
    <row r="177" spans="2:2" ht="12.75" customHeight="1">
      <c r="B177" s="2"/>
    </row>
    <row r="178" spans="2:2" ht="12.75" customHeight="1">
      <c r="B178" s="2"/>
    </row>
    <row r="179" spans="2:2" ht="12.75" customHeight="1">
      <c r="B179" s="2"/>
    </row>
    <row r="180" spans="2:2" ht="12.75" customHeight="1">
      <c r="B180" s="2"/>
    </row>
    <row r="181" spans="2:2" ht="12.75" customHeight="1">
      <c r="B181" s="2"/>
    </row>
    <row r="182" spans="2:2" ht="12.75" customHeight="1">
      <c r="B182" s="2"/>
    </row>
    <row r="183" spans="2:2" ht="12.75" customHeight="1">
      <c r="B183" s="2"/>
    </row>
    <row r="184" spans="2:2" ht="12.75" customHeight="1">
      <c r="B184" s="2"/>
    </row>
    <row r="185" spans="2:2" ht="12.75" customHeight="1">
      <c r="B185" s="2"/>
    </row>
    <row r="186" spans="2:2" ht="12.75" customHeight="1">
      <c r="B186" s="2"/>
    </row>
    <row r="187" spans="2:2" ht="12.75" customHeight="1">
      <c r="B187" s="2"/>
    </row>
    <row r="188" spans="2:2" ht="12.75" customHeight="1">
      <c r="B188" s="2"/>
    </row>
    <row r="189" spans="2:2" ht="12.75" customHeight="1">
      <c r="B189" s="2"/>
    </row>
    <row r="190" spans="2:2" ht="12.75" customHeight="1">
      <c r="B190" s="2"/>
    </row>
    <row r="191" spans="2:2" ht="12.75" customHeight="1">
      <c r="B191" s="2"/>
    </row>
    <row r="192" spans="2:2" ht="12.75" customHeight="1">
      <c r="B192" s="2"/>
    </row>
    <row r="193" spans="2:2" ht="12.75" customHeight="1">
      <c r="B193" s="2"/>
    </row>
    <row r="194" spans="2:2" ht="12.75" customHeight="1">
      <c r="B194" s="2"/>
    </row>
    <row r="195" spans="2:2" ht="12.75" customHeight="1">
      <c r="B195" s="2"/>
    </row>
    <row r="196" spans="2:2" ht="12.75" customHeight="1">
      <c r="B196" s="2"/>
    </row>
    <row r="197" spans="2:2" ht="12.75" customHeight="1">
      <c r="B197" s="2"/>
    </row>
    <row r="198" spans="2:2" ht="12.75" customHeight="1">
      <c r="B198" s="2"/>
    </row>
    <row r="199" spans="2:2" ht="12.75" customHeight="1">
      <c r="B199" s="2"/>
    </row>
    <row r="200" spans="2:2" ht="12.75" customHeight="1">
      <c r="B200" s="2"/>
    </row>
    <row r="201" spans="2:2" ht="12.75" customHeight="1">
      <c r="B201" s="2"/>
    </row>
    <row r="202" spans="2:2" ht="12.75" customHeight="1">
      <c r="B202" s="2"/>
    </row>
    <row r="203" spans="2:2" ht="12.75" customHeight="1">
      <c r="B203" s="2"/>
    </row>
    <row r="204" spans="2:2" ht="12.75" customHeight="1">
      <c r="B204" s="2"/>
    </row>
    <row r="205" spans="2:2" ht="12.75" customHeight="1">
      <c r="B205" s="2"/>
    </row>
    <row r="206" spans="2:2" ht="12.75" customHeight="1">
      <c r="B206" s="2"/>
    </row>
    <row r="207" spans="2:2" ht="12.75" customHeight="1">
      <c r="B207" s="2"/>
    </row>
    <row r="208" spans="2:2" ht="12.75" customHeight="1">
      <c r="B208" s="2"/>
    </row>
    <row r="209" spans="2:2" ht="12.75" customHeight="1">
      <c r="B209" s="2"/>
    </row>
    <row r="210" spans="2:2" ht="12.75" customHeight="1">
      <c r="B210" s="2"/>
    </row>
    <row r="211" spans="2:2" ht="12.75" customHeight="1">
      <c r="B211" s="2"/>
    </row>
    <row r="212" spans="2:2" ht="12.75" customHeight="1">
      <c r="B212" s="2"/>
    </row>
    <row r="213" spans="2:2" ht="12.75" customHeight="1">
      <c r="B213" s="2"/>
    </row>
    <row r="214" spans="2:2" ht="12.75" customHeight="1">
      <c r="B214" s="2"/>
    </row>
    <row r="215" spans="2:2" ht="12.75" customHeight="1">
      <c r="B215" s="2"/>
    </row>
    <row r="216" spans="2:2" ht="12.75" customHeight="1">
      <c r="B216" s="2"/>
    </row>
    <row r="217" spans="2:2" ht="12.75" customHeight="1">
      <c r="B217" s="2"/>
    </row>
    <row r="218" spans="2:2" ht="12.75" customHeight="1">
      <c r="B218" s="2"/>
    </row>
    <row r="219" spans="2:2" ht="12.75" customHeight="1">
      <c r="B219" s="2"/>
    </row>
    <row r="220" spans="2:2" ht="12.75" customHeight="1">
      <c r="B220" s="2"/>
    </row>
    <row r="221" spans="2:2" ht="12.75" customHeight="1">
      <c r="B221" s="2"/>
    </row>
    <row r="222" spans="2:2" ht="12.75" customHeight="1">
      <c r="B222" s="2"/>
    </row>
    <row r="223" spans="2:2" ht="12.75" customHeight="1">
      <c r="B223" s="2"/>
    </row>
    <row r="224" spans="2:2" ht="12.75" customHeight="1">
      <c r="B224" s="2"/>
    </row>
    <row r="225" spans="2:2" ht="12.75" customHeight="1">
      <c r="B225" s="2"/>
    </row>
    <row r="226" spans="2:2" ht="12.75" customHeight="1">
      <c r="B226" s="2"/>
    </row>
    <row r="227" spans="2:2" ht="12.75" customHeight="1">
      <c r="B227" s="2"/>
    </row>
    <row r="228" spans="2:2" ht="12.75" customHeight="1">
      <c r="B228" s="2"/>
    </row>
    <row r="229" spans="2:2" ht="12.75" customHeight="1">
      <c r="B229" s="2"/>
    </row>
    <row r="230" spans="2:2" ht="12.75" customHeight="1">
      <c r="B230" s="2"/>
    </row>
    <row r="231" spans="2:2" ht="12.75" customHeight="1">
      <c r="B231" s="2"/>
    </row>
    <row r="232" spans="2:2" ht="12.75" customHeight="1">
      <c r="B232" s="2"/>
    </row>
    <row r="233" spans="2:2" ht="12.75" customHeight="1">
      <c r="B233" s="2"/>
    </row>
    <row r="234" spans="2:2" ht="12.75" customHeight="1">
      <c r="B234" s="2"/>
    </row>
    <row r="235" spans="2:2" ht="12.75" customHeight="1">
      <c r="B235" s="2"/>
    </row>
    <row r="236" spans="2:2" ht="12.75" customHeight="1">
      <c r="B236" s="2"/>
    </row>
    <row r="237" spans="2:2" ht="12.75" customHeight="1">
      <c r="B237" s="2"/>
    </row>
    <row r="238" spans="2:2" ht="12.75" customHeight="1">
      <c r="B238" s="2"/>
    </row>
    <row r="239" spans="2:2" ht="12.75" customHeight="1">
      <c r="B239" s="2"/>
    </row>
    <row r="240" spans="2:2" ht="12.75" customHeight="1">
      <c r="B240" s="2"/>
    </row>
    <row r="241" spans="2:2" ht="12.75" customHeight="1">
      <c r="B241" s="2"/>
    </row>
    <row r="242" spans="2:2" ht="12.75" customHeight="1">
      <c r="B242" s="2"/>
    </row>
    <row r="243" spans="2:2" ht="12.75" customHeight="1">
      <c r="B243" s="2"/>
    </row>
    <row r="244" spans="2:2" ht="12.75" customHeight="1">
      <c r="B244" s="2"/>
    </row>
    <row r="245" spans="2:2" ht="12.75" customHeight="1">
      <c r="B245" s="2"/>
    </row>
    <row r="246" spans="2:2" ht="12.75" customHeight="1">
      <c r="B246" s="2"/>
    </row>
    <row r="247" spans="2:2" ht="12.75" customHeight="1">
      <c r="B247" s="2"/>
    </row>
    <row r="248" spans="2:2" ht="12.75" customHeight="1">
      <c r="B248" s="2"/>
    </row>
    <row r="249" spans="2:2" ht="12.75" customHeight="1">
      <c r="B249" s="2"/>
    </row>
    <row r="250" spans="2:2" ht="12.75" customHeight="1">
      <c r="B250" s="2"/>
    </row>
    <row r="251" spans="2:2" ht="12.75" customHeight="1">
      <c r="B251" s="2"/>
    </row>
    <row r="252" spans="2:2" ht="12.75" customHeight="1">
      <c r="B252" s="2"/>
    </row>
    <row r="253" spans="2:2" ht="12.75" customHeight="1">
      <c r="B253" s="2"/>
    </row>
    <row r="254" spans="2:2" ht="12.75" customHeight="1">
      <c r="B254" s="2"/>
    </row>
    <row r="255" spans="2:2" ht="12.75" customHeight="1">
      <c r="B255" s="2"/>
    </row>
    <row r="256" spans="2:2" ht="12.75" customHeight="1">
      <c r="B256" s="2"/>
    </row>
    <row r="257" spans="2:2" ht="12.75" customHeight="1">
      <c r="B257" s="2"/>
    </row>
    <row r="258" spans="2:2" ht="12.75" customHeight="1">
      <c r="B258" s="2"/>
    </row>
    <row r="259" spans="2:2" ht="12.75" customHeight="1">
      <c r="B259" s="2"/>
    </row>
    <row r="260" spans="2:2" ht="12.75" customHeight="1">
      <c r="B260" s="2"/>
    </row>
    <row r="261" spans="2:2" ht="12.75" customHeight="1">
      <c r="B261" s="2"/>
    </row>
    <row r="262" spans="2:2" ht="12.75" customHeight="1">
      <c r="B262" s="2"/>
    </row>
    <row r="263" spans="2:2" ht="12.75" customHeight="1">
      <c r="B263" s="2"/>
    </row>
    <row r="264" spans="2:2" ht="12.75" customHeight="1">
      <c r="B264" s="2"/>
    </row>
    <row r="265" spans="2:2" ht="12.75" customHeight="1">
      <c r="B265" s="2"/>
    </row>
    <row r="266" spans="2:2" ht="12.75" customHeight="1">
      <c r="B266" s="2"/>
    </row>
    <row r="267" spans="2:2" ht="12.75" customHeight="1">
      <c r="B267" s="2"/>
    </row>
    <row r="268" spans="2:2" ht="12.75" customHeight="1">
      <c r="B268" s="2"/>
    </row>
    <row r="269" spans="2:2" ht="12.75" customHeight="1">
      <c r="B269" s="2"/>
    </row>
    <row r="270" spans="2:2" ht="12.75" customHeight="1">
      <c r="B270" s="2"/>
    </row>
    <row r="271" spans="2:2" ht="12.75" customHeight="1">
      <c r="B271" s="2"/>
    </row>
    <row r="272" spans="2:2" ht="12.75" customHeight="1">
      <c r="B272" s="2"/>
    </row>
    <row r="273" spans="2:2" ht="12.75" customHeight="1">
      <c r="B273" s="2"/>
    </row>
    <row r="274" spans="2:2" ht="12.75" customHeight="1">
      <c r="B274" s="2"/>
    </row>
    <row r="275" spans="2:2" ht="12.75" customHeight="1">
      <c r="B275" s="2"/>
    </row>
    <row r="276" spans="2:2" ht="12.75" customHeight="1">
      <c r="B276" s="2"/>
    </row>
    <row r="277" spans="2:2" ht="12.75" customHeight="1">
      <c r="B277" s="2"/>
    </row>
    <row r="278" spans="2:2" ht="12.75" customHeight="1">
      <c r="B278" s="2"/>
    </row>
    <row r="279" spans="2:2" ht="12.75" customHeight="1">
      <c r="B279" s="2"/>
    </row>
    <row r="280" spans="2:2" ht="12.75" customHeight="1">
      <c r="B280" s="2"/>
    </row>
    <row r="281" spans="2:2" ht="12.75" customHeight="1">
      <c r="B281" s="2"/>
    </row>
    <row r="282" spans="2:2" ht="12.75" customHeight="1">
      <c r="B282" s="2"/>
    </row>
    <row r="283" spans="2:2" ht="12.75" customHeight="1">
      <c r="B283" s="2"/>
    </row>
    <row r="284" spans="2:2" ht="12.75" customHeight="1">
      <c r="B284" s="2"/>
    </row>
    <row r="285" spans="2:2" ht="12.75" customHeight="1">
      <c r="B285" s="2"/>
    </row>
    <row r="286" spans="2:2" ht="12.75" customHeight="1">
      <c r="B286" s="2"/>
    </row>
    <row r="287" spans="2:2" ht="12.75" customHeight="1">
      <c r="B287" s="2"/>
    </row>
    <row r="288" spans="2:2" ht="12.75" customHeight="1">
      <c r="B288" s="2"/>
    </row>
    <row r="289" spans="2:2" ht="12.75" customHeight="1">
      <c r="B289" s="2"/>
    </row>
    <row r="290" spans="2:2" ht="12.75" customHeight="1">
      <c r="B290" s="2"/>
    </row>
    <row r="291" spans="2:2" ht="12.75" customHeight="1">
      <c r="B291" s="2"/>
    </row>
    <row r="292" spans="2:2" ht="12.75" customHeight="1">
      <c r="B292" s="2"/>
    </row>
    <row r="293" spans="2:2" ht="12.75" customHeight="1">
      <c r="B293" s="2"/>
    </row>
    <row r="294" spans="2:2" ht="12.75" customHeight="1">
      <c r="B294" s="2"/>
    </row>
    <row r="295" spans="2:2" ht="12.75" customHeight="1">
      <c r="B295" s="2"/>
    </row>
    <row r="296" spans="2:2" ht="12.75" customHeight="1">
      <c r="B296" s="2"/>
    </row>
    <row r="297" spans="2:2" ht="12.75" customHeight="1">
      <c r="B297" s="2"/>
    </row>
    <row r="298" spans="2:2" ht="12.75" customHeight="1">
      <c r="B298" s="2"/>
    </row>
    <row r="299" spans="2:2" ht="12.75" customHeight="1">
      <c r="B299" s="2"/>
    </row>
    <row r="300" spans="2:2" ht="12.75" customHeight="1">
      <c r="B300" s="2"/>
    </row>
    <row r="301" spans="2:2" ht="12.75" customHeight="1">
      <c r="B301" s="2"/>
    </row>
    <row r="302" spans="2:2" ht="12.75" customHeight="1">
      <c r="B302" s="2"/>
    </row>
    <row r="303" spans="2:2" ht="12.75" customHeight="1">
      <c r="B303" s="2"/>
    </row>
    <row r="304" spans="2:2" ht="12.75" customHeight="1">
      <c r="B304" s="2"/>
    </row>
    <row r="305" spans="2:2" ht="12.75" customHeight="1">
      <c r="B305" s="2"/>
    </row>
    <row r="306" spans="2:2" ht="12.75" customHeight="1">
      <c r="B306" s="2"/>
    </row>
    <row r="307" spans="2:2" ht="12.75" customHeight="1">
      <c r="B307" s="2"/>
    </row>
    <row r="308" spans="2:2" ht="12.75" customHeight="1">
      <c r="B308" s="2"/>
    </row>
    <row r="309" spans="2:2" ht="12.75" customHeight="1">
      <c r="B309" s="2"/>
    </row>
    <row r="310" spans="2:2" ht="12.75" customHeight="1">
      <c r="B310" s="2"/>
    </row>
    <row r="311" spans="2:2" ht="12.75" customHeight="1">
      <c r="B311" s="2"/>
    </row>
    <row r="312" spans="2:2" ht="12.75" customHeight="1">
      <c r="B312" s="2"/>
    </row>
    <row r="313" spans="2:2" ht="12.75" customHeight="1">
      <c r="B313" s="2"/>
    </row>
    <row r="314" spans="2:2" ht="12.75" customHeight="1">
      <c r="B314" s="2"/>
    </row>
    <row r="315" spans="2:2" ht="12.75" customHeight="1">
      <c r="B315" s="2"/>
    </row>
    <row r="316" spans="2:2" ht="12.75" customHeight="1">
      <c r="B316" s="2"/>
    </row>
    <row r="317" spans="2:2" ht="12.75" customHeight="1">
      <c r="B317" s="2"/>
    </row>
    <row r="318" spans="2:2" ht="12.75" customHeight="1">
      <c r="B318" s="2"/>
    </row>
    <row r="319" spans="2:2" ht="12.75" customHeight="1">
      <c r="B319" s="2"/>
    </row>
    <row r="320" spans="2:2" ht="12.75" customHeight="1">
      <c r="B320" s="2"/>
    </row>
    <row r="321" spans="2:2" ht="12.75" customHeight="1">
      <c r="B321" s="2"/>
    </row>
    <row r="322" spans="2:2" ht="12.75" customHeight="1">
      <c r="B322" s="2"/>
    </row>
    <row r="323" spans="2:2" ht="12.75" customHeight="1">
      <c r="B323" s="2"/>
    </row>
    <row r="324" spans="2:2" ht="12.75" customHeight="1">
      <c r="B324" s="2"/>
    </row>
    <row r="325" spans="2:2" ht="12.75" customHeight="1">
      <c r="B325" s="2"/>
    </row>
    <row r="326" spans="2:2" ht="12.75" customHeight="1">
      <c r="B326" s="2"/>
    </row>
    <row r="327" spans="2:2" ht="12.75" customHeight="1">
      <c r="B327" s="2"/>
    </row>
    <row r="328" spans="2:2" ht="12.75" customHeight="1">
      <c r="B328" s="2"/>
    </row>
    <row r="329" spans="2:2" ht="12.75" customHeight="1">
      <c r="B329" s="2"/>
    </row>
    <row r="330" spans="2:2" ht="12.75" customHeight="1">
      <c r="B330" s="2"/>
    </row>
    <row r="331" spans="2:2" ht="12.75" customHeight="1">
      <c r="B331" s="2"/>
    </row>
    <row r="332" spans="2:2" ht="12.75" customHeight="1">
      <c r="B332" s="2"/>
    </row>
    <row r="333" spans="2:2" ht="12.75" customHeight="1">
      <c r="B333" s="2"/>
    </row>
    <row r="334" spans="2:2">
      <c r="B334" s="2"/>
    </row>
    <row r="335" spans="2:2">
      <c r="B335" s="2"/>
    </row>
    <row r="336" spans="2:2">
      <c r="B336" s="2"/>
    </row>
    <row r="337" spans="2:2">
      <c r="B337" s="2"/>
    </row>
    <row r="338" spans="2:2">
      <c r="B338" s="2"/>
    </row>
    <row r="339" spans="2:2">
      <c r="B339" s="2"/>
    </row>
    <row r="340" spans="2:2">
      <c r="B340" s="2"/>
    </row>
    <row r="341" spans="2:2">
      <c r="B341" s="2"/>
    </row>
    <row r="342" spans="2:2">
      <c r="B342" s="2"/>
    </row>
    <row r="343" spans="2:2">
      <c r="B343" s="2"/>
    </row>
    <row r="344" spans="2:2">
      <c r="B344" s="2"/>
    </row>
    <row r="345" spans="2:2">
      <c r="B345" s="2"/>
    </row>
    <row r="346" spans="2:2">
      <c r="B346" s="2"/>
    </row>
    <row r="347" spans="2:2">
      <c r="B347" s="2"/>
    </row>
    <row r="348" spans="2:2">
      <c r="B348" s="2"/>
    </row>
    <row r="349" spans="2:2">
      <c r="B349" s="2"/>
    </row>
    <row r="350" spans="2:2">
      <c r="B350" s="2"/>
    </row>
    <row r="351" spans="2:2">
      <c r="B351" s="2"/>
    </row>
    <row r="352" spans="2:2">
      <c r="B352" s="2"/>
    </row>
    <row r="353" spans="2:2">
      <c r="B353" s="2"/>
    </row>
    <row r="354" spans="2:2">
      <c r="B354" s="2"/>
    </row>
    <row r="355" spans="2:2">
      <c r="B355" s="2"/>
    </row>
    <row r="356" spans="2:2">
      <c r="B356" s="2"/>
    </row>
    <row r="357" spans="2:2">
      <c r="B357" s="2"/>
    </row>
    <row r="358" spans="2:2">
      <c r="B358" s="2"/>
    </row>
    <row r="359" spans="2:2">
      <c r="B359" s="2"/>
    </row>
    <row r="360" spans="2:2">
      <c r="B360" s="2"/>
    </row>
    <row r="361" spans="2:2">
      <c r="B361" s="2"/>
    </row>
    <row r="362" spans="2:2">
      <c r="B362" s="2"/>
    </row>
    <row r="363" spans="2:2">
      <c r="B363" s="2"/>
    </row>
    <row r="364" spans="2:2">
      <c r="B364" s="2"/>
    </row>
    <row r="365" spans="2:2">
      <c r="B365" s="2"/>
    </row>
    <row r="366" spans="2:2">
      <c r="B366" s="2"/>
    </row>
    <row r="367" spans="2:2">
      <c r="B367" s="2"/>
    </row>
    <row r="368" spans="2:2">
      <c r="B368" s="2"/>
    </row>
    <row r="369" spans="2:2">
      <c r="B369" s="2"/>
    </row>
    <row r="370" spans="2:2">
      <c r="B370" s="2"/>
    </row>
    <row r="371" spans="2:2">
      <c r="B371" s="2"/>
    </row>
    <row r="372" spans="2:2">
      <c r="B372" s="2"/>
    </row>
    <row r="373" spans="2:2">
      <c r="B373" s="2"/>
    </row>
    <row r="374" spans="2:2">
      <c r="B374" s="2"/>
    </row>
    <row r="375" spans="2:2">
      <c r="B375" s="2"/>
    </row>
    <row r="376" spans="2:2">
      <c r="B376" s="2"/>
    </row>
    <row r="377" spans="2:2">
      <c r="B377" s="2"/>
    </row>
    <row r="378" spans="2:2">
      <c r="B378" s="2"/>
    </row>
    <row r="379" spans="2:2">
      <c r="B379" s="2"/>
    </row>
    <row r="380" spans="2:2">
      <c r="B380" s="2"/>
    </row>
    <row r="381" spans="2:2">
      <c r="B381" s="2"/>
    </row>
    <row r="382" spans="2:2">
      <c r="B382" s="2"/>
    </row>
    <row r="383" spans="2:2">
      <c r="B383" s="2"/>
    </row>
    <row r="384" spans="2:2">
      <c r="B384" s="2"/>
    </row>
    <row r="385" spans="2:2">
      <c r="B385" s="2"/>
    </row>
    <row r="386" spans="2:2">
      <c r="B386" s="2"/>
    </row>
    <row r="387" spans="2:2">
      <c r="B387" s="2"/>
    </row>
    <row r="388" spans="2:2">
      <c r="B388" s="2"/>
    </row>
    <row r="389" spans="2:2">
      <c r="B389" s="2"/>
    </row>
    <row r="390" spans="2:2">
      <c r="B390" s="2"/>
    </row>
    <row r="391" spans="2:2">
      <c r="B391" s="2"/>
    </row>
    <row r="392" spans="2:2">
      <c r="B392" s="2"/>
    </row>
    <row r="393" spans="2:2">
      <c r="B393" s="2"/>
    </row>
    <row r="394" spans="2:2">
      <c r="B394" s="2"/>
    </row>
    <row r="395" spans="2:2">
      <c r="B395" s="2"/>
    </row>
    <row r="396" spans="2:2">
      <c r="B396" s="2"/>
    </row>
    <row r="397" spans="2:2">
      <c r="B397" s="2"/>
    </row>
    <row r="398" spans="2:2">
      <c r="B398" s="2"/>
    </row>
    <row r="399" spans="2:2">
      <c r="B399" s="2"/>
    </row>
    <row r="400" spans="2:2">
      <c r="B400" s="2"/>
    </row>
    <row r="401" spans="2:2">
      <c r="B401" s="2"/>
    </row>
    <row r="402" spans="2:2">
      <c r="B402" s="2"/>
    </row>
    <row r="403" spans="2:2">
      <c r="B403" s="2"/>
    </row>
    <row r="404" spans="2:2">
      <c r="B404" s="2"/>
    </row>
    <row r="405" spans="2:2">
      <c r="B405" s="2"/>
    </row>
    <row r="406" spans="2:2">
      <c r="B406" s="2"/>
    </row>
    <row r="407" spans="2:2">
      <c r="B407" s="2"/>
    </row>
    <row r="408" spans="2:2">
      <c r="B408" s="2"/>
    </row>
    <row r="409" spans="2:2">
      <c r="B409" s="2"/>
    </row>
    <row r="410" spans="2:2">
      <c r="B410" s="2"/>
    </row>
    <row r="411" spans="2:2">
      <c r="B411" s="2"/>
    </row>
    <row r="412" spans="2:2">
      <c r="B412" s="2"/>
    </row>
    <row r="413" spans="2:2">
      <c r="B413" s="2"/>
    </row>
    <row r="414" spans="2:2">
      <c r="B414" s="2"/>
    </row>
    <row r="415" spans="2:2">
      <c r="B415" s="2"/>
    </row>
    <row r="416" spans="2:2">
      <c r="B416" s="2"/>
    </row>
    <row r="417" spans="2:2">
      <c r="B417" s="2"/>
    </row>
    <row r="418" spans="2:2">
      <c r="B418" s="2"/>
    </row>
    <row r="419" spans="2:2">
      <c r="B419" s="2"/>
    </row>
    <row r="420" spans="2:2">
      <c r="B420" s="2"/>
    </row>
    <row r="421" spans="2:2">
      <c r="B421" s="2"/>
    </row>
    <row r="422" spans="2:2">
      <c r="B422" s="2"/>
    </row>
    <row r="423" spans="2:2">
      <c r="B423" s="2"/>
    </row>
    <row r="424" spans="2:2">
      <c r="B424" s="2"/>
    </row>
    <row r="425" spans="2:2">
      <c r="B425" s="2"/>
    </row>
    <row r="426" spans="2:2">
      <c r="B426" s="2"/>
    </row>
    <row r="427" spans="2:2">
      <c r="B427" s="2"/>
    </row>
    <row r="428" spans="2:2">
      <c r="B428" s="2"/>
    </row>
    <row r="429" spans="2:2">
      <c r="B429" s="2"/>
    </row>
    <row r="430" spans="2:2">
      <c r="B430" s="2"/>
    </row>
    <row r="431" spans="2:2">
      <c r="B431" s="2"/>
    </row>
    <row r="432" spans="2:2">
      <c r="B432" s="2"/>
    </row>
    <row r="433" spans="2:2">
      <c r="B433" s="2"/>
    </row>
    <row r="434" spans="2:2">
      <c r="B434" s="2"/>
    </row>
    <row r="435" spans="2:2">
      <c r="B435" s="2"/>
    </row>
    <row r="436" spans="2:2">
      <c r="B436" s="2"/>
    </row>
    <row r="437" spans="2:2">
      <c r="B437" s="2"/>
    </row>
    <row r="438" spans="2:2">
      <c r="B438" s="2"/>
    </row>
    <row r="439" spans="2:2">
      <c r="B439" s="2"/>
    </row>
    <row r="440" spans="2:2">
      <c r="B440" s="2"/>
    </row>
    <row r="441" spans="2:2">
      <c r="B441" s="2"/>
    </row>
    <row r="442" spans="2:2">
      <c r="B442" s="2"/>
    </row>
    <row r="443" spans="2:2">
      <c r="B443" s="2"/>
    </row>
    <row r="444" spans="2:2">
      <c r="B444" s="2"/>
    </row>
    <row r="445" spans="2:2">
      <c r="B445" s="2"/>
    </row>
    <row r="446" spans="2:2">
      <c r="B446" s="2"/>
    </row>
    <row r="447" spans="2:2">
      <c r="B447" s="2"/>
    </row>
    <row r="448" spans="2:2">
      <c r="B448" s="2"/>
    </row>
    <row r="449" spans="2:2">
      <c r="B449" s="2"/>
    </row>
    <row r="450" spans="2:2">
      <c r="B450" s="2"/>
    </row>
    <row r="451" spans="2:2">
      <c r="B451" s="2"/>
    </row>
    <row r="452" spans="2:2">
      <c r="B452" s="2"/>
    </row>
    <row r="453" spans="2:2">
      <c r="B453" s="2"/>
    </row>
    <row r="454" spans="2:2">
      <c r="B454" s="2"/>
    </row>
    <row r="455" spans="2:2">
      <c r="B455" s="2"/>
    </row>
    <row r="456" spans="2:2">
      <c r="B456" s="2"/>
    </row>
    <row r="457" spans="2:2">
      <c r="B457" s="2"/>
    </row>
    <row r="458" spans="2:2">
      <c r="B458" s="2"/>
    </row>
    <row r="459" spans="2:2">
      <c r="B459" s="2"/>
    </row>
    <row r="460" spans="2:2">
      <c r="B460" s="2"/>
    </row>
    <row r="461" spans="2:2">
      <c r="B461" s="2"/>
    </row>
    <row r="462" spans="2:2">
      <c r="B462" s="2"/>
    </row>
    <row r="463" spans="2:2">
      <c r="B463" s="2"/>
    </row>
    <row r="464" spans="2:2">
      <c r="B464" s="2"/>
    </row>
    <row r="465" spans="2:2">
      <c r="B465" s="2"/>
    </row>
    <row r="466" spans="2:2">
      <c r="B466" s="2"/>
    </row>
    <row r="467" spans="2:2">
      <c r="B467" s="2"/>
    </row>
    <row r="468" spans="2:2">
      <c r="B468" s="2"/>
    </row>
    <row r="469" spans="2:2">
      <c r="B469" s="2"/>
    </row>
    <row r="470" spans="2:2">
      <c r="B470" s="2"/>
    </row>
    <row r="471" spans="2:2">
      <c r="B471" s="2"/>
    </row>
    <row r="472" spans="2:2">
      <c r="B472" s="2"/>
    </row>
    <row r="473" spans="2:2">
      <c r="B473" s="2"/>
    </row>
    <row r="474" spans="2:2">
      <c r="B474" s="2"/>
    </row>
    <row r="475" spans="2:2">
      <c r="B475" s="2"/>
    </row>
    <row r="476" spans="2:2">
      <c r="B476" s="2"/>
    </row>
    <row r="477" spans="2:2">
      <c r="B477" s="2"/>
    </row>
    <row r="478" spans="2:2">
      <c r="B478" s="2"/>
    </row>
    <row r="479" spans="2:2">
      <c r="B479" s="2"/>
    </row>
    <row r="480" spans="2:2">
      <c r="B480" s="2"/>
    </row>
    <row r="481" spans="2:2">
      <c r="B481" s="2"/>
    </row>
    <row r="482" spans="2:2">
      <c r="B482" s="2"/>
    </row>
    <row r="483" spans="2:2">
      <c r="B483" s="2"/>
    </row>
    <row r="484" spans="2:2">
      <c r="B484" s="2"/>
    </row>
    <row r="485" spans="2:2">
      <c r="B485" s="2"/>
    </row>
    <row r="486" spans="2:2">
      <c r="B486" s="2"/>
    </row>
    <row r="487" spans="2:2">
      <c r="B487" s="2"/>
    </row>
    <row r="488" spans="2:2">
      <c r="B488" s="2"/>
    </row>
    <row r="489" spans="2:2">
      <c r="B489" s="2"/>
    </row>
    <row r="490" spans="2:2">
      <c r="B490" s="2"/>
    </row>
    <row r="491" spans="2:2">
      <c r="B491" s="2"/>
    </row>
    <row r="492" spans="2:2">
      <c r="B492" s="2"/>
    </row>
    <row r="493" spans="2:2">
      <c r="B493" s="2"/>
    </row>
    <row r="494" spans="2:2">
      <c r="B494" s="2"/>
    </row>
    <row r="495" spans="2:2">
      <c r="B495" s="2"/>
    </row>
    <row r="496" spans="2:2">
      <c r="B496" s="2"/>
    </row>
    <row r="497" spans="2:2">
      <c r="B497" s="2"/>
    </row>
    <row r="498" spans="2:2">
      <c r="B498" s="2"/>
    </row>
    <row r="499" spans="2:2">
      <c r="B499" s="2"/>
    </row>
    <row r="500" spans="2:2">
      <c r="B500" s="2"/>
    </row>
    <row r="501" spans="2:2">
      <c r="B501" s="2"/>
    </row>
    <row r="502" spans="2:2">
      <c r="B502" s="2"/>
    </row>
    <row r="503" spans="2:2">
      <c r="B503" s="2"/>
    </row>
    <row r="504" spans="2:2">
      <c r="B504" s="2"/>
    </row>
    <row r="505" spans="2:2">
      <c r="B505" s="2"/>
    </row>
    <row r="506" spans="2:2">
      <c r="B506" s="2"/>
    </row>
    <row r="507" spans="2:2">
      <c r="B507" s="2"/>
    </row>
    <row r="508" spans="2:2">
      <c r="B508" s="2"/>
    </row>
    <row r="509" spans="2:2">
      <c r="B509" s="2"/>
    </row>
    <row r="510" spans="2:2">
      <c r="B510" s="2"/>
    </row>
    <row r="511" spans="2:2">
      <c r="B511" s="2"/>
    </row>
    <row r="512" spans="2:2">
      <c r="B512" s="2"/>
    </row>
    <row r="513" spans="2:2">
      <c r="B513" s="2"/>
    </row>
    <row r="514" spans="2:2">
      <c r="B514" s="2"/>
    </row>
    <row r="515" spans="2:2">
      <c r="B515" s="2"/>
    </row>
    <row r="516" spans="2:2">
      <c r="B516" s="2"/>
    </row>
    <row r="517" spans="2:2">
      <c r="B517" s="2"/>
    </row>
    <row r="518" spans="2:2">
      <c r="B518" s="2"/>
    </row>
    <row r="519" spans="2:2">
      <c r="B519" s="2"/>
    </row>
    <row r="520" spans="2:2">
      <c r="B520" s="2"/>
    </row>
    <row r="521" spans="2:2">
      <c r="B521" s="2"/>
    </row>
    <row r="522" spans="2:2">
      <c r="B522" s="2"/>
    </row>
    <row r="523" spans="2:2">
      <c r="B523" s="2"/>
    </row>
    <row r="524" spans="2:2">
      <c r="B524" s="2"/>
    </row>
    <row r="525" spans="2:2">
      <c r="B525" s="2"/>
    </row>
    <row r="526" spans="2:2">
      <c r="B526" s="2"/>
    </row>
    <row r="527" spans="2:2">
      <c r="B527" s="2"/>
    </row>
    <row r="528" spans="2:2">
      <c r="B528" s="2"/>
    </row>
    <row r="529" spans="2:2">
      <c r="B529" s="2"/>
    </row>
    <row r="530" spans="2:2">
      <c r="B530" s="2"/>
    </row>
    <row r="531" spans="2:2">
      <c r="B531" s="2"/>
    </row>
    <row r="532" spans="2:2">
      <c r="B532" s="2"/>
    </row>
    <row r="533" spans="2:2">
      <c r="B533" s="2"/>
    </row>
    <row r="534" spans="2:2">
      <c r="B534" s="2"/>
    </row>
    <row r="535" spans="2:2">
      <c r="B535" s="2"/>
    </row>
    <row r="536" spans="2:2">
      <c r="B536" s="2"/>
    </row>
    <row r="537" spans="2:2">
      <c r="B537" s="2"/>
    </row>
    <row r="538" spans="2:2">
      <c r="B538" s="2"/>
    </row>
    <row r="539" spans="2:2">
      <c r="B539" s="2"/>
    </row>
    <row r="540" spans="2:2">
      <c r="B540" s="2"/>
    </row>
    <row r="541" spans="2:2">
      <c r="B541" s="2"/>
    </row>
    <row r="542" spans="2:2">
      <c r="B542" s="2"/>
    </row>
    <row r="543" spans="2:2">
      <c r="B543" s="2"/>
    </row>
    <row r="544" spans="2:2">
      <c r="B544" s="2"/>
    </row>
    <row r="545" spans="2:2">
      <c r="B545" s="2"/>
    </row>
    <row r="546" spans="2:2">
      <c r="B546" s="2"/>
    </row>
    <row r="547" spans="2:2">
      <c r="B547" s="2"/>
    </row>
    <row r="548" spans="2:2">
      <c r="B548" s="2"/>
    </row>
    <row r="549" spans="2:2">
      <c r="B549" s="2"/>
    </row>
    <row r="550" spans="2:2">
      <c r="B550" s="2"/>
    </row>
    <row r="551" spans="2:2">
      <c r="B551" s="2"/>
    </row>
    <row r="552" spans="2:2">
      <c r="B552" s="2"/>
    </row>
    <row r="553" spans="2:2">
      <c r="B553" s="2"/>
    </row>
    <row r="554" spans="2:2">
      <c r="B554" s="2"/>
    </row>
    <row r="555" spans="2:2">
      <c r="B555" s="2"/>
    </row>
    <row r="556" spans="2:2">
      <c r="B556" s="2"/>
    </row>
    <row r="557" spans="2:2">
      <c r="B557" s="2"/>
    </row>
    <row r="558" spans="2:2">
      <c r="B558" s="2"/>
    </row>
    <row r="559" spans="2:2">
      <c r="B559" s="2"/>
    </row>
    <row r="560" spans="2:2">
      <c r="B560" s="2"/>
    </row>
    <row r="561" spans="2:2">
      <c r="B561" s="2"/>
    </row>
    <row r="562" spans="2:2">
      <c r="B562" s="2"/>
    </row>
    <row r="563" spans="2:2">
      <c r="B563" s="2"/>
    </row>
    <row r="564" spans="2:2">
      <c r="B564" s="2"/>
    </row>
    <row r="565" spans="2:2">
      <c r="B565" s="2"/>
    </row>
    <row r="566" spans="2:2">
      <c r="B566" s="2"/>
    </row>
    <row r="567" spans="2:2">
      <c r="B567" s="2"/>
    </row>
    <row r="568" spans="2:2">
      <c r="B568" s="2"/>
    </row>
    <row r="569" spans="2:2">
      <c r="B569" s="2"/>
    </row>
    <row r="570" spans="2:2">
      <c r="B570" s="2"/>
    </row>
    <row r="571" spans="2:2">
      <c r="B571" s="2"/>
    </row>
    <row r="572" spans="2:2">
      <c r="B572" s="2"/>
    </row>
    <row r="573" spans="2:2">
      <c r="B573" s="2"/>
    </row>
    <row r="574" spans="2:2">
      <c r="B574" s="2"/>
    </row>
    <row r="575" spans="2:2">
      <c r="B575" s="2"/>
    </row>
    <row r="576" spans="2:2">
      <c r="B576" s="2"/>
    </row>
    <row r="577" spans="2:2">
      <c r="B577" s="2"/>
    </row>
    <row r="578" spans="2:2">
      <c r="B578" s="2"/>
    </row>
    <row r="579" spans="2:2">
      <c r="B579" s="2"/>
    </row>
    <row r="580" spans="2:2">
      <c r="B580" s="2"/>
    </row>
    <row r="581" spans="2:2">
      <c r="B581" s="2"/>
    </row>
    <row r="582" spans="2:2">
      <c r="B582" s="2"/>
    </row>
    <row r="583" spans="2:2">
      <c r="B583" s="2"/>
    </row>
    <row r="584" spans="2:2">
      <c r="B584" s="2"/>
    </row>
    <row r="585" spans="2:2">
      <c r="B585" s="2"/>
    </row>
    <row r="586" spans="2:2">
      <c r="B586" s="2"/>
    </row>
    <row r="587" spans="2:2">
      <c r="B587" s="2"/>
    </row>
    <row r="588" spans="2:2">
      <c r="B588" s="2"/>
    </row>
    <row r="589" spans="2:2">
      <c r="B589" s="2"/>
    </row>
    <row r="590" spans="2:2">
      <c r="B590" s="2"/>
    </row>
    <row r="591" spans="2:2">
      <c r="B591" s="2"/>
    </row>
    <row r="592" spans="2:2">
      <c r="B592" s="2"/>
    </row>
    <row r="593" spans="2:2">
      <c r="B593" s="2"/>
    </row>
    <row r="594" spans="2:2">
      <c r="B594" s="2"/>
    </row>
    <row r="595" spans="2:2">
      <c r="B595" s="2"/>
    </row>
    <row r="596" spans="2:2">
      <c r="B596" s="2"/>
    </row>
    <row r="597" spans="2:2">
      <c r="B597" s="2"/>
    </row>
    <row r="598" spans="2:2">
      <c r="B598" s="2"/>
    </row>
    <row r="599" spans="2:2">
      <c r="B599" s="2"/>
    </row>
    <row r="600" spans="2:2">
      <c r="B600" s="2"/>
    </row>
    <row r="601" spans="2:2">
      <c r="B601" s="2"/>
    </row>
    <row r="602" spans="2:2">
      <c r="B602" s="2"/>
    </row>
    <row r="603" spans="2:2">
      <c r="B603" s="2"/>
    </row>
    <row r="604" spans="2:2">
      <c r="B604" s="2"/>
    </row>
    <row r="605" spans="2:2">
      <c r="B605" s="2"/>
    </row>
    <row r="606" spans="2:2">
      <c r="B606" s="2"/>
    </row>
    <row r="607" spans="2:2">
      <c r="B607" s="2"/>
    </row>
    <row r="608" spans="2:2">
      <c r="B608" s="2"/>
    </row>
    <row r="609" spans="2:2">
      <c r="B609" s="2"/>
    </row>
    <row r="610" spans="2:2">
      <c r="B610" s="2"/>
    </row>
    <row r="611" spans="2:2">
      <c r="B611" s="2"/>
    </row>
    <row r="612" spans="2:2">
      <c r="B612" s="2"/>
    </row>
    <row r="613" spans="2:2">
      <c r="B613" s="2"/>
    </row>
    <row r="614" spans="2:2">
      <c r="B614" s="2"/>
    </row>
    <row r="615" spans="2:2">
      <c r="B615" s="2"/>
    </row>
    <row r="616" spans="2:2">
      <c r="B616" s="2"/>
    </row>
    <row r="617" spans="2:2">
      <c r="B617" s="2"/>
    </row>
    <row r="618" spans="2:2">
      <c r="B618" s="2"/>
    </row>
    <row r="619" spans="2:2">
      <c r="B619" s="2"/>
    </row>
    <row r="620" spans="2:2">
      <c r="B620" s="2"/>
    </row>
    <row r="621" spans="2:2">
      <c r="B621" s="2"/>
    </row>
    <row r="622" spans="2:2">
      <c r="B622" s="2"/>
    </row>
    <row r="623" spans="2:2">
      <c r="B623" s="2"/>
    </row>
    <row r="624" spans="2:2">
      <c r="B624" s="2"/>
    </row>
    <row r="625" spans="2:2">
      <c r="B625" s="2"/>
    </row>
    <row r="626" spans="2:2">
      <c r="B626" s="2"/>
    </row>
    <row r="627" spans="2:2">
      <c r="B627" s="2"/>
    </row>
    <row r="628" spans="2:2">
      <c r="B628" s="2"/>
    </row>
    <row r="629" spans="2:2">
      <c r="B629" s="2"/>
    </row>
    <row r="630" spans="2:2">
      <c r="B630" s="2"/>
    </row>
    <row r="631" spans="2:2">
      <c r="B631" s="2"/>
    </row>
    <row r="632" spans="2:2">
      <c r="B632" s="2"/>
    </row>
    <row r="633" spans="2:2">
      <c r="B633" s="2"/>
    </row>
    <row r="634" spans="2:2">
      <c r="B634" s="2"/>
    </row>
    <row r="635" spans="2:2">
      <c r="B635" s="2"/>
    </row>
    <row r="636" spans="2:2">
      <c r="B636" s="2"/>
    </row>
    <row r="637" spans="2:2">
      <c r="B637" s="2"/>
    </row>
    <row r="638" spans="2:2">
      <c r="B638" s="2"/>
    </row>
    <row r="639" spans="2:2">
      <c r="B639" s="2"/>
    </row>
    <row r="640" spans="2:2">
      <c r="B640" s="2"/>
    </row>
    <row r="641" spans="2:2">
      <c r="B641" s="2"/>
    </row>
    <row r="642" spans="2:2">
      <c r="B642" s="2"/>
    </row>
    <row r="643" spans="2:2">
      <c r="B643" s="2"/>
    </row>
    <row r="644" spans="2:2">
      <c r="B644" s="2"/>
    </row>
    <row r="645" spans="2:2">
      <c r="B645" s="2"/>
    </row>
    <row r="646" spans="2:2">
      <c r="B646" s="2"/>
    </row>
    <row r="647" spans="2:2">
      <c r="B647" s="2"/>
    </row>
    <row r="648" spans="2:2">
      <c r="B648" s="2"/>
    </row>
    <row r="649" spans="2:2">
      <c r="B649" s="2"/>
    </row>
    <row r="650" spans="2:2">
      <c r="B650" s="2"/>
    </row>
    <row r="651" spans="2:2">
      <c r="B651" s="2"/>
    </row>
    <row r="652" spans="2:2">
      <c r="B652" s="2"/>
    </row>
    <row r="653" spans="2:2">
      <c r="B653" s="2"/>
    </row>
    <row r="654" spans="2:2">
      <c r="B654" s="2"/>
    </row>
    <row r="655" spans="2:2">
      <c r="B655" s="2"/>
    </row>
    <row r="656" spans="2:2">
      <c r="B656" s="2"/>
    </row>
  </sheetData>
  <autoFilter ref="B6:N32" xr:uid="{5B811AF4-95F2-450D-83DE-715B8292D30C}">
    <filterColumn colId="0">
      <filters>
        <filter val="Facultad de Ingeniería -"/>
        <filter val="SEDE"/>
        <filter val="TOTAL"/>
      </filters>
    </filterColumn>
  </autoFilter>
  <mergeCells count="5">
    <mergeCell ref="D2:G2"/>
    <mergeCell ref="D3:G3"/>
    <mergeCell ref="B19:E19"/>
    <mergeCell ref="B32:C32"/>
    <mergeCell ref="B18:E18"/>
  </mergeCells>
  <pageMargins left="0.59055118110236227" right="0.59055118110236227" top="0.59055118110236227" bottom="0.59055118110236227"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635"/>
  <sheetViews>
    <sheetView showGridLines="0" zoomScale="70" zoomScaleNormal="70" workbookViewId="0">
      <selection activeCell="B3" sqref="B3"/>
    </sheetView>
  </sheetViews>
  <sheetFormatPr defaultColWidth="14.42578125" defaultRowHeight="15" customHeight="1"/>
  <cols>
    <col min="1" max="1" width="6.140625" style="81" customWidth="1"/>
    <col min="2" max="2" width="38" style="81" customWidth="1"/>
    <col min="3" max="3" width="34.140625" style="81" customWidth="1"/>
    <col min="4" max="4" width="11.42578125" style="81" customWidth="1"/>
    <col min="5" max="5" width="31.140625" style="81" customWidth="1"/>
    <col min="6" max="6" width="10.7109375" style="81" customWidth="1"/>
    <col min="7" max="7" width="13.42578125" style="81" customWidth="1"/>
    <col min="8" max="8" width="19.28515625" style="81" customWidth="1"/>
    <col min="9" max="9" width="12.85546875" style="81" customWidth="1"/>
    <col min="10" max="10" width="20.28515625" style="81" customWidth="1"/>
    <col min="11" max="11" width="12.85546875" style="81" customWidth="1"/>
    <col min="12" max="12" width="13.5703125" style="81" customWidth="1"/>
    <col min="13" max="26" width="12.140625" style="81" customWidth="1"/>
    <col min="27" max="16384" width="14.42578125" style="81"/>
  </cols>
  <sheetData>
    <row r="2" spans="2:27" s="75" customFormat="1" ht="20.25" customHeight="1">
      <c r="C2" s="76"/>
      <c r="D2" s="114" t="s">
        <v>4</v>
      </c>
      <c r="E2" s="114"/>
      <c r="F2" s="114"/>
      <c r="G2" s="114"/>
      <c r="H2" s="114"/>
      <c r="I2" s="114"/>
      <c r="K2" s="77"/>
      <c r="L2" s="77"/>
      <c r="M2" s="77"/>
      <c r="N2" s="77"/>
      <c r="O2" s="77"/>
      <c r="P2" s="77"/>
      <c r="Q2" s="77"/>
      <c r="R2" s="77"/>
      <c r="S2" s="77"/>
      <c r="T2" s="77"/>
      <c r="U2" s="77"/>
      <c r="V2" s="77"/>
      <c r="W2" s="77"/>
      <c r="X2" s="77"/>
      <c r="Y2" s="77"/>
      <c r="Z2" s="77"/>
      <c r="AA2" s="77"/>
    </row>
    <row r="3" spans="2:27" s="75" customFormat="1" ht="20.25" customHeight="1">
      <c r="C3" s="78"/>
      <c r="D3" s="115" t="s">
        <v>95</v>
      </c>
      <c r="E3" s="115"/>
      <c r="F3" s="115"/>
      <c r="G3" s="115"/>
      <c r="H3" s="115"/>
      <c r="I3" s="115"/>
      <c r="L3" s="77"/>
      <c r="M3" s="77"/>
      <c r="N3" s="77"/>
      <c r="O3" s="77"/>
      <c r="P3" s="77"/>
      <c r="Q3" s="77"/>
      <c r="R3" s="77"/>
      <c r="S3" s="77"/>
      <c r="T3" s="77"/>
      <c r="U3" s="77"/>
      <c r="V3" s="77"/>
      <c r="W3" s="77"/>
      <c r="X3" s="77"/>
      <c r="Y3" s="77"/>
      <c r="Z3" s="77"/>
      <c r="AA3" s="77"/>
    </row>
    <row r="4" spans="2:27" ht="20.25" customHeight="1">
      <c r="B4" s="79"/>
      <c r="C4" s="80"/>
      <c r="D4" s="80"/>
      <c r="E4" s="80"/>
      <c r="F4" s="80"/>
      <c r="G4" s="80"/>
      <c r="H4" s="80"/>
      <c r="I4" s="80"/>
      <c r="J4" s="80"/>
      <c r="K4" s="80"/>
      <c r="L4" s="80"/>
      <c r="M4" s="80"/>
      <c r="N4" s="80"/>
      <c r="O4" s="80"/>
      <c r="P4" s="80"/>
      <c r="Q4" s="80"/>
      <c r="R4" s="80"/>
      <c r="S4" s="80"/>
      <c r="T4" s="80"/>
      <c r="U4" s="80"/>
      <c r="V4" s="80"/>
      <c r="W4" s="80"/>
      <c r="X4" s="80"/>
      <c r="Y4" s="80"/>
      <c r="Z4" s="80"/>
      <c r="AA4" s="80"/>
    </row>
    <row r="5" spans="2:27" ht="40.5" customHeight="1">
      <c r="B5" s="82" t="s">
        <v>96</v>
      </c>
      <c r="C5" s="82">
        <v>2018</v>
      </c>
      <c r="D5" s="82">
        <v>2019</v>
      </c>
      <c r="E5" s="82">
        <v>2020</v>
      </c>
      <c r="F5" s="82">
        <v>2021</v>
      </c>
      <c r="G5" s="82">
        <v>2022</v>
      </c>
      <c r="H5" s="82">
        <v>2023</v>
      </c>
      <c r="I5" s="82">
        <v>2024</v>
      </c>
      <c r="K5" s="83"/>
      <c r="L5" s="83"/>
      <c r="M5" s="83"/>
      <c r="N5" s="83"/>
      <c r="O5" s="83"/>
      <c r="P5" s="83"/>
      <c r="Q5" s="83"/>
      <c r="R5" s="83"/>
      <c r="S5" s="83"/>
      <c r="T5" s="83"/>
      <c r="U5" s="83"/>
      <c r="V5" s="83"/>
      <c r="W5" s="83"/>
      <c r="X5" s="83"/>
      <c r="Y5" s="83"/>
      <c r="Z5" s="83"/>
      <c r="AA5" s="80"/>
    </row>
    <row r="6" spans="2:27" ht="16.5">
      <c r="B6" s="84" t="s">
        <v>97</v>
      </c>
      <c r="C6" s="85">
        <v>10</v>
      </c>
      <c r="D6" s="85">
        <v>11</v>
      </c>
      <c r="E6" s="85">
        <v>11</v>
      </c>
      <c r="F6" s="85">
        <v>11</v>
      </c>
      <c r="G6" s="85">
        <v>10</v>
      </c>
      <c r="H6" s="85">
        <v>9</v>
      </c>
      <c r="I6" s="85">
        <v>10</v>
      </c>
      <c r="K6" s="83"/>
      <c r="L6" s="83"/>
      <c r="M6" s="83"/>
      <c r="N6" s="83"/>
      <c r="O6" s="83"/>
      <c r="P6" s="83"/>
      <c r="Q6" s="83"/>
      <c r="R6" s="83"/>
      <c r="S6" s="83"/>
      <c r="T6" s="83"/>
      <c r="U6" s="83"/>
      <c r="V6" s="83"/>
      <c r="W6" s="83"/>
      <c r="X6" s="83"/>
      <c r="Y6" s="83"/>
      <c r="Z6" s="83"/>
      <c r="AA6" s="80"/>
    </row>
    <row r="7" spans="2:27" ht="16.5">
      <c r="B7" s="84" t="s">
        <v>98</v>
      </c>
      <c r="C7" s="86">
        <v>1189</v>
      </c>
      <c r="D7" s="86">
        <v>1459</v>
      </c>
      <c r="E7" s="86">
        <v>1459</v>
      </c>
      <c r="F7" s="86">
        <v>1459</v>
      </c>
      <c r="G7" s="86">
        <v>1425</v>
      </c>
      <c r="H7" s="86">
        <v>1425</v>
      </c>
      <c r="I7" s="86">
        <v>1244</v>
      </c>
      <c r="K7" s="83"/>
      <c r="L7" s="83"/>
      <c r="M7" s="83"/>
      <c r="N7" s="83"/>
      <c r="O7" s="83"/>
      <c r="P7" s="83"/>
      <c r="Q7" s="83"/>
      <c r="R7" s="83"/>
      <c r="S7" s="83"/>
      <c r="T7" s="83"/>
      <c r="U7" s="83"/>
      <c r="V7" s="83"/>
      <c r="W7" s="83"/>
      <c r="X7" s="83"/>
      <c r="Y7" s="83"/>
      <c r="Z7" s="83"/>
      <c r="AA7" s="80"/>
    </row>
    <row r="8" spans="2:27" ht="16.5">
      <c r="B8" s="84" t="s">
        <v>99</v>
      </c>
      <c r="C8" s="86">
        <v>4900</v>
      </c>
      <c r="D8" s="86">
        <v>4900</v>
      </c>
      <c r="E8" s="86">
        <v>4910</v>
      </c>
      <c r="F8" s="86">
        <v>4910</v>
      </c>
      <c r="G8" s="86">
        <v>4910</v>
      </c>
      <c r="H8" s="86">
        <v>5489</v>
      </c>
      <c r="I8" s="86">
        <v>5489</v>
      </c>
      <c r="K8" s="83"/>
      <c r="L8" s="83"/>
      <c r="M8" s="83"/>
      <c r="N8" s="83"/>
      <c r="O8" s="83"/>
      <c r="P8" s="83"/>
      <c r="Q8" s="83"/>
      <c r="R8" s="83"/>
      <c r="S8" s="83"/>
      <c r="T8" s="83"/>
      <c r="U8" s="83"/>
      <c r="V8" s="83"/>
      <c r="W8" s="83"/>
      <c r="X8" s="83"/>
      <c r="Y8" s="83"/>
      <c r="Z8" s="83"/>
      <c r="AA8" s="80"/>
    </row>
    <row r="9" spans="2:27" ht="49.5">
      <c r="B9" s="84" t="s">
        <v>100</v>
      </c>
      <c r="C9" s="85">
        <v>351</v>
      </c>
      <c r="D9" s="85">
        <v>351</v>
      </c>
      <c r="E9" s="85">
        <v>351</v>
      </c>
      <c r="F9" s="86">
        <v>1024</v>
      </c>
      <c r="G9" s="86">
        <v>156</v>
      </c>
      <c r="H9" s="86">
        <v>156</v>
      </c>
      <c r="I9" s="86">
        <v>29</v>
      </c>
      <c r="K9" s="83"/>
      <c r="L9" s="83"/>
      <c r="M9" s="83"/>
      <c r="N9" s="83"/>
      <c r="O9" s="83"/>
      <c r="P9" s="83"/>
      <c r="Q9" s="83"/>
      <c r="R9" s="83"/>
      <c r="S9" s="83"/>
      <c r="T9" s="83"/>
      <c r="U9" s="83"/>
      <c r="V9" s="83"/>
      <c r="W9" s="83"/>
      <c r="X9" s="83"/>
      <c r="Y9" s="83"/>
      <c r="Z9" s="83"/>
      <c r="AA9" s="80"/>
    </row>
    <row r="10" spans="2:27" ht="49.5">
      <c r="B10" s="84" t="s">
        <v>101</v>
      </c>
      <c r="C10" s="85">
        <v>969</v>
      </c>
      <c r="D10" s="85">
        <v>969</v>
      </c>
      <c r="E10" s="85">
        <v>969</v>
      </c>
      <c r="F10" s="85">
        <v>436</v>
      </c>
      <c r="G10" s="87">
        <v>694</v>
      </c>
      <c r="H10" s="87">
        <v>2369</v>
      </c>
      <c r="I10" s="87">
        <v>2247</v>
      </c>
      <c r="K10" s="83"/>
      <c r="L10" s="83"/>
      <c r="M10" s="83"/>
      <c r="N10" s="83"/>
      <c r="O10" s="83"/>
      <c r="P10" s="83"/>
      <c r="Q10" s="83"/>
      <c r="R10" s="83"/>
      <c r="S10" s="83"/>
      <c r="T10" s="83"/>
      <c r="U10" s="83"/>
      <c r="V10" s="83"/>
      <c r="W10" s="83"/>
      <c r="X10" s="83"/>
      <c r="Y10" s="83"/>
      <c r="Z10" s="83"/>
      <c r="AA10" s="80"/>
    </row>
    <row r="11" spans="2:27" ht="16.5">
      <c r="B11" s="84" t="s">
        <v>102</v>
      </c>
      <c r="C11" s="85">
        <v>43</v>
      </c>
      <c r="D11" s="86">
        <v>53</v>
      </c>
      <c r="E11" s="86">
        <v>63</v>
      </c>
      <c r="F11" s="86">
        <v>63</v>
      </c>
      <c r="G11" s="86">
        <v>68</v>
      </c>
      <c r="H11" s="86">
        <v>68</v>
      </c>
      <c r="I11" s="86">
        <v>62</v>
      </c>
      <c r="K11" s="83"/>
      <c r="L11" s="83"/>
      <c r="M11" s="83"/>
      <c r="N11" s="83"/>
      <c r="O11" s="83"/>
      <c r="P11" s="83"/>
      <c r="Q11" s="83"/>
      <c r="R11" s="83"/>
      <c r="S11" s="83"/>
      <c r="T11" s="83"/>
      <c r="U11" s="83"/>
      <c r="V11" s="83"/>
      <c r="W11" s="83"/>
      <c r="X11" s="83"/>
      <c r="Y11" s="83"/>
      <c r="Z11" s="83"/>
      <c r="AA11" s="80"/>
    </row>
    <row r="12" spans="2:27" ht="16.5">
      <c r="B12" s="84" t="s">
        <v>103</v>
      </c>
      <c r="C12" s="86">
        <v>169255</v>
      </c>
      <c r="D12" s="86">
        <v>182357</v>
      </c>
      <c r="E12" s="86">
        <v>188065</v>
      </c>
      <c r="F12" s="86">
        <v>203979</v>
      </c>
      <c r="G12" s="86">
        <v>205634</v>
      </c>
      <c r="H12" s="86">
        <v>247312</v>
      </c>
      <c r="I12" s="86">
        <v>251199</v>
      </c>
      <c r="K12" s="83"/>
      <c r="L12" s="83"/>
      <c r="M12" s="83"/>
      <c r="N12" s="83"/>
      <c r="O12" s="83"/>
      <c r="P12" s="83"/>
      <c r="Q12" s="83"/>
      <c r="R12" s="83"/>
      <c r="S12" s="83"/>
      <c r="T12" s="83"/>
      <c r="U12" s="83"/>
      <c r="V12" s="83"/>
      <c r="W12" s="83"/>
      <c r="X12" s="83"/>
      <c r="Y12" s="83"/>
      <c r="Z12" s="83"/>
      <c r="AA12" s="80"/>
    </row>
    <row r="13" spans="2:27" ht="16.5">
      <c r="B13" s="84" t="s">
        <v>104</v>
      </c>
      <c r="C13" s="85">
        <v>18</v>
      </c>
      <c r="D13" s="85">
        <v>7</v>
      </c>
      <c r="E13" s="85">
        <v>17</v>
      </c>
      <c r="F13" s="85">
        <v>16</v>
      </c>
      <c r="G13" s="85">
        <v>23</v>
      </c>
      <c r="H13" s="85">
        <v>238</v>
      </c>
      <c r="I13" s="85">
        <v>247</v>
      </c>
      <c r="K13" s="83"/>
      <c r="L13" s="83"/>
      <c r="M13" s="83"/>
      <c r="N13" s="83"/>
      <c r="O13" s="83"/>
      <c r="P13" s="83"/>
      <c r="Q13" s="83"/>
      <c r="R13" s="83"/>
      <c r="S13" s="83"/>
      <c r="T13" s="83"/>
      <c r="U13" s="83"/>
      <c r="V13" s="83"/>
      <c r="W13" s="83"/>
      <c r="X13" s="83"/>
      <c r="Y13" s="83"/>
      <c r="Z13" s="83"/>
      <c r="AA13" s="80"/>
    </row>
    <row r="14" spans="2:27" ht="16.5">
      <c r="B14" s="84" t="s">
        <v>105</v>
      </c>
      <c r="C14" s="85">
        <v>8</v>
      </c>
      <c r="D14" s="85">
        <v>8</v>
      </c>
      <c r="E14" s="85">
        <v>5</v>
      </c>
      <c r="F14" s="85">
        <v>2</v>
      </c>
      <c r="G14" s="85">
        <v>18</v>
      </c>
      <c r="H14" s="85">
        <v>207</v>
      </c>
      <c r="I14" s="85">
        <v>247</v>
      </c>
      <c r="K14" s="83"/>
      <c r="L14" s="83"/>
      <c r="M14" s="83"/>
      <c r="N14" s="83"/>
      <c r="O14" s="83"/>
      <c r="P14" s="83"/>
      <c r="Q14" s="83"/>
      <c r="R14" s="83"/>
      <c r="S14" s="83"/>
      <c r="T14" s="83"/>
      <c r="U14" s="83"/>
      <c r="V14" s="83"/>
      <c r="W14" s="83"/>
      <c r="X14" s="83"/>
      <c r="Y14" s="83"/>
      <c r="Z14" s="83"/>
      <c r="AA14" s="80"/>
    </row>
    <row r="15" spans="2:27" ht="16.5">
      <c r="B15" s="84" t="s">
        <v>106</v>
      </c>
      <c r="C15" s="85">
        <v>25</v>
      </c>
      <c r="D15" s="85">
        <v>15</v>
      </c>
      <c r="E15" s="85">
        <v>7</v>
      </c>
      <c r="F15" s="85">
        <v>18</v>
      </c>
      <c r="G15" s="85">
        <v>23</v>
      </c>
      <c r="H15" s="85">
        <v>207</v>
      </c>
      <c r="I15" s="85">
        <v>212</v>
      </c>
      <c r="K15" s="83"/>
      <c r="L15" s="83"/>
      <c r="M15" s="83"/>
      <c r="N15" s="83"/>
      <c r="O15" s="83"/>
      <c r="P15" s="83"/>
      <c r="Q15" s="83"/>
      <c r="R15" s="83"/>
      <c r="S15" s="83"/>
      <c r="T15" s="83"/>
      <c r="U15" s="83"/>
      <c r="V15" s="83"/>
      <c r="W15" s="83"/>
      <c r="X15" s="83"/>
      <c r="Y15" s="83"/>
      <c r="Z15" s="83"/>
      <c r="AA15" s="80"/>
    </row>
    <row r="16" spans="2:27" ht="16.5">
      <c r="B16" s="84" t="s">
        <v>107</v>
      </c>
      <c r="C16" s="85"/>
      <c r="D16" s="85"/>
      <c r="E16" s="85">
        <v>52</v>
      </c>
      <c r="F16" s="85">
        <v>50</v>
      </c>
      <c r="G16" s="85">
        <v>32</v>
      </c>
      <c r="H16" s="85">
        <v>34</v>
      </c>
      <c r="I16" s="85">
        <v>35</v>
      </c>
      <c r="K16" s="83"/>
      <c r="L16" s="83"/>
      <c r="M16" s="83"/>
      <c r="N16" s="83"/>
      <c r="O16" s="83"/>
      <c r="P16" s="83"/>
      <c r="Q16" s="83"/>
      <c r="R16" s="83"/>
      <c r="S16" s="83"/>
      <c r="T16" s="83"/>
      <c r="U16" s="83"/>
      <c r="V16" s="83"/>
      <c r="W16" s="83"/>
      <c r="X16" s="83"/>
      <c r="Y16" s="83"/>
      <c r="Z16" s="83"/>
      <c r="AA16" s="80"/>
    </row>
    <row r="17" spans="2:27" ht="49.5">
      <c r="B17" s="84" t="s">
        <v>108</v>
      </c>
      <c r="C17" s="86">
        <v>14670</v>
      </c>
      <c r="D17" s="86">
        <v>14744</v>
      </c>
      <c r="E17" s="86">
        <v>1751</v>
      </c>
      <c r="F17" s="85">
        <v>884</v>
      </c>
      <c r="G17" s="86">
        <v>10970</v>
      </c>
      <c r="H17" s="86">
        <v>27588</v>
      </c>
      <c r="I17" s="86">
        <v>8349</v>
      </c>
      <c r="K17" s="83"/>
      <c r="L17" s="83"/>
      <c r="M17" s="83"/>
      <c r="N17" s="83"/>
      <c r="O17" s="83"/>
      <c r="P17" s="83"/>
      <c r="Q17" s="83"/>
      <c r="R17" s="83"/>
      <c r="S17" s="83"/>
      <c r="T17" s="83"/>
      <c r="U17" s="83"/>
      <c r="V17" s="83"/>
      <c r="W17" s="83"/>
      <c r="X17" s="83"/>
      <c r="Y17" s="83"/>
      <c r="Z17" s="83"/>
      <c r="AA17" s="80"/>
    </row>
    <row r="18" spans="2:27" ht="16.5">
      <c r="B18" s="88" t="s">
        <v>109</v>
      </c>
      <c r="C18" s="89">
        <v>52371</v>
      </c>
      <c r="D18" s="89">
        <v>50631</v>
      </c>
      <c r="E18" s="89">
        <v>56216</v>
      </c>
      <c r="F18" s="89">
        <v>55169</v>
      </c>
      <c r="G18" s="89">
        <v>27023</v>
      </c>
      <c r="H18" s="89">
        <v>29497</v>
      </c>
      <c r="I18" s="89">
        <v>30001</v>
      </c>
      <c r="K18" s="83"/>
      <c r="L18" s="83"/>
      <c r="M18" s="83"/>
      <c r="N18" s="83"/>
      <c r="O18" s="83"/>
      <c r="P18" s="83"/>
      <c r="Q18" s="83"/>
      <c r="R18" s="83"/>
      <c r="S18" s="83"/>
      <c r="T18" s="83"/>
      <c r="U18" s="83"/>
      <c r="V18" s="83"/>
      <c r="W18" s="83"/>
      <c r="X18" s="83"/>
      <c r="Y18" s="83"/>
      <c r="Z18" s="83"/>
      <c r="AA18" s="80"/>
    </row>
    <row r="19" spans="2:27" ht="16.5">
      <c r="B19" s="90" t="s">
        <v>110</v>
      </c>
      <c r="C19" s="85">
        <v>1.2</v>
      </c>
      <c r="D19" s="85">
        <v>1.2</v>
      </c>
      <c r="E19" s="85">
        <v>1.2</v>
      </c>
      <c r="F19" s="85">
        <v>1.2</v>
      </c>
      <c r="G19" s="85">
        <v>1.2</v>
      </c>
      <c r="H19" s="85">
        <v>1.2</v>
      </c>
      <c r="I19" s="85">
        <v>1.2</v>
      </c>
      <c r="K19" s="83"/>
      <c r="L19" s="83"/>
      <c r="M19" s="83"/>
      <c r="N19" s="83"/>
      <c r="O19" s="83"/>
      <c r="P19" s="83"/>
      <c r="Q19" s="83"/>
      <c r="R19" s="83"/>
      <c r="S19" s="83"/>
      <c r="T19" s="83"/>
      <c r="U19" s="83"/>
      <c r="V19" s="83"/>
      <c r="W19" s="83"/>
      <c r="X19" s="83"/>
      <c r="Y19" s="83"/>
      <c r="Z19" s="83"/>
      <c r="AA19" s="80"/>
    </row>
    <row r="20" spans="2:27" ht="16.5">
      <c r="B20" s="91"/>
      <c r="C20" s="92"/>
      <c r="D20" s="92"/>
      <c r="E20" s="92"/>
      <c r="F20" s="92"/>
      <c r="G20" s="93"/>
      <c r="H20" s="93"/>
      <c r="K20" s="83"/>
      <c r="L20" s="83"/>
      <c r="M20" s="83"/>
      <c r="N20" s="83"/>
      <c r="O20" s="83"/>
      <c r="P20" s="83"/>
      <c r="Q20" s="83"/>
      <c r="R20" s="83"/>
      <c r="S20" s="83"/>
      <c r="T20" s="83"/>
      <c r="U20" s="83"/>
      <c r="V20" s="83"/>
      <c r="W20" s="83"/>
      <c r="X20" s="83"/>
      <c r="Y20" s="83"/>
      <c r="Z20" s="83"/>
      <c r="AA20" s="80"/>
    </row>
    <row r="21" spans="2:27" ht="41.25" customHeight="1">
      <c r="B21" s="94" t="s">
        <v>96</v>
      </c>
      <c r="C21" s="94">
        <v>2018</v>
      </c>
      <c r="D21" s="94">
        <v>2019</v>
      </c>
      <c r="E21" s="94">
        <v>2020</v>
      </c>
      <c r="F21" s="94">
        <v>2021</v>
      </c>
      <c r="G21" s="94">
        <v>2022</v>
      </c>
      <c r="H21" s="94">
        <v>2023</v>
      </c>
      <c r="I21" s="94">
        <v>2024</v>
      </c>
      <c r="K21" s="83"/>
      <c r="L21" s="83"/>
      <c r="M21" s="83"/>
      <c r="N21" s="83"/>
      <c r="O21" s="83"/>
      <c r="P21" s="83"/>
      <c r="Q21" s="83"/>
      <c r="R21" s="83"/>
      <c r="S21" s="83"/>
      <c r="T21" s="83"/>
      <c r="U21" s="83"/>
      <c r="V21" s="83"/>
      <c r="W21" s="83"/>
      <c r="X21" s="83"/>
      <c r="Y21" s="83"/>
      <c r="Z21" s="83"/>
      <c r="AA21" s="80"/>
    </row>
    <row r="22" spans="2:27" ht="16.5">
      <c r="B22" s="95" t="s">
        <v>111</v>
      </c>
      <c r="C22" s="96">
        <f t="shared" ref="C22:H22" si="0">+C7/C17</f>
        <v>8.1049761417859578E-2</v>
      </c>
      <c r="D22" s="96">
        <f t="shared" si="0"/>
        <v>9.895550732501357E-2</v>
      </c>
      <c r="E22" s="96">
        <f t="shared" si="0"/>
        <v>0.83323814962878351</v>
      </c>
      <c r="F22" s="96">
        <f t="shared" si="0"/>
        <v>1.6504524886877827</v>
      </c>
      <c r="G22" s="96">
        <f t="shared" si="0"/>
        <v>0.12989972652689152</v>
      </c>
      <c r="H22" s="96">
        <f t="shared" si="0"/>
        <v>5.1652892561983473E-2</v>
      </c>
      <c r="I22" s="96">
        <f>+I7/I17</f>
        <v>0.14899988022517666</v>
      </c>
      <c r="K22" s="83"/>
      <c r="L22" s="83"/>
      <c r="M22" s="83"/>
      <c r="N22" s="83"/>
      <c r="O22" s="83"/>
      <c r="P22" s="83"/>
      <c r="Q22" s="83"/>
      <c r="R22" s="83"/>
      <c r="S22" s="83"/>
      <c r="T22" s="83"/>
      <c r="U22" s="83"/>
      <c r="V22" s="83"/>
      <c r="W22" s="83"/>
      <c r="X22" s="83"/>
      <c r="Y22" s="83"/>
      <c r="Z22" s="83"/>
      <c r="AA22" s="80"/>
    </row>
    <row r="23" spans="2:27" ht="16.5">
      <c r="B23" s="90" t="s">
        <v>112</v>
      </c>
      <c r="C23" s="97">
        <f t="shared" ref="C23:H23" si="1">+C7/C17</f>
        <v>8.1049761417859578E-2</v>
      </c>
      <c r="D23" s="97">
        <f t="shared" si="1"/>
        <v>9.895550732501357E-2</v>
      </c>
      <c r="E23" s="97">
        <f t="shared" si="1"/>
        <v>0.83323814962878351</v>
      </c>
      <c r="F23" s="97">
        <f t="shared" si="1"/>
        <v>1.6504524886877827</v>
      </c>
      <c r="G23" s="97">
        <f t="shared" si="1"/>
        <v>0.12989972652689152</v>
      </c>
      <c r="H23" s="97">
        <f t="shared" si="1"/>
        <v>5.1652892561983473E-2</v>
      </c>
      <c r="I23" s="97">
        <f>+I7/I17</f>
        <v>0.14899988022517666</v>
      </c>
      <c r="K23" s="83"/>
      <c r="L23" s="83"/>
      <c r="M23" s="83"/>
      <c r="N23" s="83"/>
      <c r="O23" s="83"/>
      <c r="P23" s="83"/>
      <c r="Q23" s="83"/>
      <c r="R23" s="83"/>
      <c r="S23" s="83"/>
      <c r="T23" s="83"/>
      <c r="U23" s="83"/>
      <c r="V23" s="83"/>
      <c r="W23" s="83"/>
      <c r="X23" s="83"/>
      <c r="Y23" s="83"/>
      <c r="Z23" s="83"/>
      <c r="AA23" s="80"/>
    </row>
    <row r="24" spans="2:27" ht="33">
      <c r="B24" s="98" t="s">
        <v>113</v>
      </c>
      <c r="C24" s="99">
        <f t="shared" ref="C24:H24" si="2">+C17/C18</f>
        <v>0.28011685856676405</v>
      </c>
      <c r="D24" s="99">
        <f t="shared" si="2"/>
        <v>0.29120499298848529</v>
      </c>
      <c r="E24" s="99">
        <f t="shared" si="2"/>
        <v>3.1147715952753664E-2</v>
      </c>
      <c r="F24" s="99">
        <f t="shared" si="2"/>
        <v>1.6023491453533687E-2</v>
      </c>
      <c r="G24" s="99">
        <f t="shared" si="2"/>
        <v>0.40595048662250677</v>
      </c>
      <c r="H24" s="99">
        <f t="shared" si="2"/>
        <v>0.93528155405634472</v>
      </c>
      <c r="I24" s="99">
        <f t="shared" ref="I24" si="3">+I17/I18</f>
        <v>0.27829072364254526</v>
      </c>
      <c r="K24" s="83"/>
      <c r="L24" s="83"/>
      <c r="M24" s="83"/>
      <c r="N24" s="83"/>
      <c r="O24" s="83"/>
      <c r="P24" s="83"/>
      <c r="Q24" s="83"/>
      <c r="R24" s="83"/>
      <c r="S24" s="83"/>
      <c r="T24" s="83"/>
      <c r="U24" s="83"/>
      <c r="V24" s="83"/>
      <c r="W24" s="83"/>
      <c r="X24" s="83"/>
      <c r="Y24" s="83"/>
      <c r="Z24" s="83"/>
      <c r="AA24" s="80"/>
    </row>
    <row r="25" spans="2:27" ht="16.5">
      <c r="B25" s="90" t="s">
        <v>114</v>
      </c>
      <c r="C25" s="100">
        <f t="shared" ref="C25:H25" si="4">+C17/C8</f>
        <v>2.9938775510204083</v>
      </c>
      <c r="D25" s="100">
        <f t="shared" si="4"/>
        <v>3.0089795918367348</v>
      </c>
      <c r="E25" s="100">
        <f t="shared" si="4"/>
        <v>0.35661914460285132</v>
      </c>
      <c r="F25" s="100">
        <f t="shared" si="4"/>
        <v>0.18004073319755601</v>
      </c>
      <c r="G25" s="100">
        <f t="shared" si="4"/>
        <v>2.2342158859470467</v>
      </c>
      <c r="H25" s="100">
        <f t="shared" si="4"/>
        <v>5.026052104208417</v>
      </c>
      <c r="I25" s="101">
        <f t="shared" ref="I25" si="5">+I17/I8</f>
        <v>1.5210420841683367</v>
      </c>
      <c r="K25" s="83"/>
      <c r="L25" s="83"/>
      <c r="M25" s="83"/>
      <c r="N25" s="83"/>
      <c r="O25" s="83"/>
      <c r="P25" s="83"/>
      <c r="Q25" s="83"/>
      <c r="R25" s="83"/>
      <c r="S25" s="83"/>
      <c r="T25" s="83"/>
      <c r="U25" s="83"/>
      <c r="V25" s="83"/>
      <c r="W25" s="83"/>
      <c r="X25" s="83"/>
      <c r="Y25" s="83"/>
      <c r="Z25" s="83"/>
      <c r="AA25" s="80"/>
    </row>
    <row r="26" spans="2:27" ht="16.5">
      <c r="B26" s="90" t="s">
        <v>115</v>
      </c>
      <c r="C26" s="97">
        <f t="shared" ref="C26:G26" si="6">+C12/C17</f>
        <v>11.537491479209271</v>
      </c>
      <c r="D26" s="97">
        <f t="shared" si="6"/>
        <v>12.368217580032555</v>
      </c>
      <c r="E26" s="97">
        <f t="shared" si="6"/>
        <v>107.40434037692746</v>
      </c>
      <c r="F26" s="97">
        <f t="shared" si="6"/>
        <v>230.74547511312218</v>
      </c>
      <c r="G26" s="97">
        <f t="shared" si="6"/>
        <v>18.745123062898816</v>
      </c>
      <c r="H26" s="97">
        <f>+I12/H17</f>
        <v>9.1053719008264462</v>
      </c>
      <c r="I26" s="97">
        <f>+J12/I17</f>
        <v>0</v>
      </c>
      <c r="K26" s="83"/>
      <c r="L26" s="83"/>
      <c r="M26" s="83"/>
      <c r="N26" s="83"/>
      <c r="O26" s="83"/>
      <c r="P26" s="83"/>
      <c r="Q26" s="83"/>
      <c r="R26" s="83"/>
      <c r="S26" s="83"/>
      <c r="T26" s="83"/>
      <c r="U26" s="83"/>
      <c r="V26" s="83"/>
      <c r="W26" s="83"/>
      <c r="X26" s="83"/>
      <c r="Y26" s="83"/>
      <c r="Z26" s="83"/>
      <c r="AA26" s="80"/>
    </row>
    <row r="27" spans="2:27" ht="33">
      <c r="B27" s="90" t="s">
        <v>116</v>
      </c>
      <c r="C27" s="102">
        <f t="shared" ref="C27:H27" si="7">+C10/C17</f>
        <v>6.6053169734151332E-2</v>
      </c>
      <c r="D27" s="102">
        <f t="shared" si="7"/>
        <v>6.5721649484536085E-2</v>
      </c>
      <c r="E27" s="102">
        <f t="shared" si="7"/>
        <v>0.55339805825242716</v>
      </c>
      <c r="F27" s="102">
        <f t="shared" si="7"/>
        <v>0.49321266968325794</v>
      </c>
      <c r="G27" s="102">
        <f t="shared" si="7"/>
        <v>6.3263445761166825E-2</v>
      </c>
      <c r="H27" s="102">
        <f t="shared" si="7"/>
        <v>8.587066840655358E-2</v>
      </c>
      <c r="I27" s="102">
        <f t="shared" ref="I27" si="8">+I10/I17</f>
        <v>0.26913402802730868</v>
      </c>
      <c r="K27" s="83"/>
      <c r="L27" s="83"/>
      <c r="M27" s="83"/>
      <c r="N27" s="83"/>
      <c r="O27" s="83"/>
      <c r="P27" s="83"/>
      <c r="Q27" s="83"/>
      <c r="R27" s="83"/>
      <c r="S27" s="83"/>
      <c r="T27" s="83"/>
      <c r="U27" s="83"/>
      <c r="V27" s="83"/>
      <c r="W27" s="83"/>
      <c r="X27" s="83"/>
      <c r="Y27" s="83"/>
      <c r="Z27" s="83"/>
      <c r="AA27" s="80"/>
    </row>
    <row r="28" spans="2:27" ht="16.5">
      <c r="B28" s="112"/>
      <c r="C28" s="116"/>
      <c r="D28" s="116"/>
      <c r="E28" s="116"/>
      <c r="F28" s="116"/>
      <c r="G28" s="116"/>
      <c r="H28" s="116"/>
      <c r="I28" s="117"/>
      <c r="J28" s="103"/>
      <c r="K28" s="83"/>
      <c r="L28" s="83"/>
      <c r="M28" s="83"/>
      <c r="N28" s="83"/>
      <c r="O28" s="83"/>
      <c r="P28" s="83"/>
      <c r="Q28" s="83"/>
      <c r="R28" s="83"/>
      <c r="S28" s="83"/>
      <c r="T28" s="83"/>
      <c r="U28" s="83"/>
      <c r="V28" s="83"/>
      <c r="W28" s="83"/>
      <c r="X28" s="83"/>
      <c r="Y28" s="83"/>
      <c r="Z28" s="83"/>
      <c r="AA28" s="80"/>
    </row>
    <row r="29" spans="2:27" ht="16.5">
      <c r="B29" s="113" t="s">
        <v>117</v>
      </c>
      <c r="C29" s="118"/>
      <c r="D29" s="118"/>
      <c r="E29" s="118"/>
      <c r="F29" s="118"/>
      <c r="G29" s="118"/>
      <c r="H29" s="118"/>
      <c r="I29" s="119"/>
      <c r="J29" s="83"/>
      <c r="K29" s="83"/>
      <c r="L29" s="83"/>
      <c r="M29" s="83"/>
      <c r="N29" s="83"/>
      <c r="O29" s="83"/>
      <c r="P29" s="83"/>
      <c r="Q29" s="83"/>
      <c r="R29" s="83"/>
      <c r="S29" s="83"/>
      <c r="T29" s="83"/>
      <c r="U29" s="83"/>
      <c r="V29" s="83"/>
      <c r="W29" s="83"/>
      <c r="X29" s="83"/>
      <c r="Y29" s="83"/>
      <c r="Z29" s="83"/>
      <c r="AA29" s="80"/>
    </row>
    <row r="30" spans="2:27" ht="16.5">
      <c r="B30" s="120"/>
      <c r="C30" s="121"/>
      <c r="D30" s="121"/>
      <c r="E30" s="121"/>
      <c r="F30" s="121"/>
      <c r="G30" s="121"/>
      <c r="H30" s="121"/>
      <c r="I30" s="122"/>
      <c r="J30" s="83"/>
      <c r="K30" s="83"/>
      <c r="L30" s="83"/>
      <c r="M30" s="83"/>
      <c r="N30" s="83"/>
      <c r="O30" s="83"/>
      <c r="P30" s="83"/>
      <c r="Q30" s="83"/>
      <c r="R30" s="83"/>
      <c r="S30" s="83"/>
      <c r="T30" s="83"/>
      <c r="U30" s="83"/>
      <c r="V30" s="83"/>
      <c r="W30" s="83"/>
      <c r="X30" s="83"/>
      <c r="Y30" s="83"/>
      <c r="Z30" s="83"/>
      <c r="AA30" s="80"/>
    </row>
    <row r="31" spans="2:27" ht="16.5">
      <c r="B31" s="123"/>
      <c r="C31" s="116"/>
      <c r="D31" s="116"/>
      <c r="E31" s="116"/>
      <c r="F31" s="116"/>
      <c r="G31" s="116"/>
      <c r="H31" s="116"/>
      <c r="I31" s="117"/>
      <c r="J31" s="83"/>
      <c r="K31" s="83"/>
      <c r="L31" s="83"/>
      <c r="M31" s="83"/>
      <c r="N31" s="83"/>
      <c r="O31" s="83"/>
      <c r="P31" s="83"/>
      <c r="Q31" s="83"/>
      <c r="R31" s="83"/>
      <c r="S31" s="83"/>
      <c r="T31" s="83"/>
      <c r="U31" s="83"/>
      <c r="V31" s="83"/>
      <c r="W31" s="83"/>
      <c r="X31" s="83"/>
      <c r="Y31" s="83"/>
      <c r="Z31" s="83"/>
      <c r="AA31" s="80"/>
    </row>
    <row r="32" spans="2:27" ht="31.5" customHeight="1">
      <c r="B32" s="83"/>
      <c r="C32" s="83"/>
      <c r="D32" s="83"/>
      <c r="E32" s="83"/>
      <c r="F32" s="83"/>
      <c r="G32" s="83"/>
      <c r="H32" s="83"/>
      <c r="I32" s="83"/>
      <c r="J32" s="83"/>
      <c r="K32" s="83"/>
      <c r="L32" s="83"/>
      <c r="M32" s="83"/>
      <c r="N32" s="83"/>
      <c r="O32" s="83"/>
      <c r="P32" s="83"/>
      <c r="Q32" s="83"/>
      <c r="R32" s="83"/>
      <c r="S32" s="83"/>
      <c r="T32" s="83"/>
      <c r="U32" s="83"/>
      <c r="V32" s="83"/>
      <c r="W32" s="83"/>
      <c r="X32" s="83"/>
      <c r="Y32" s="83"/>
      <c r="Z32" s="83"/>
      <c r="AA32" s="80"/>
    </row>
    <row r="33" spans="2:27" ht="16.5">
      <c r="B33" s="83"/>
      <c r="C33" s="83"/>
      <c r="D33" s="83"/>
      <c r="E33" s="83"/>
      <c r="F33" s="104"/>
      <c r="G33" s="83"/>
      <c r="H33" s="83"/>
      <c r="I33" s="83"/>
      <c r="J33" s="83"/>
      <c r="K33" s="83"/>
      <c r="L33" s="83"/>
      <c r="M33" s="83"/>
      <c r="N33" s="83"/>
      <c r="O33" s="83"/>
      <c r="P33" s="83"/>
      <c r="Q33" s="83"/>
      <c r="R33" s="83"/>
      <c r="S33" s="83"/>
      <c r="T33" s="83"/>
      <c r="U33" s="83"/>
      <c r="V33" s="83"/>
      <c r="W33" s="83"/>
      <c r="X33" s="83"/>
      <c r="Y33" s="83"/>
      <c r="Z33" s="83"/>
      <c r="AA33" s="80"/>
    </row>
    <row r="34" spans="2:27" ht="12.75" customHeight="1">
      <c r="B34" s="79"/>
      <c r="C34" s="80"/>
      <c r="D34" s="80"/>
      <c r="E34" s="80"/>
      <c r="F34" s="80"/>
      <c r="G34" s="80"/>
      <c r="H34" s="80"/>
      <c r="I34" s="80"/>
      <c r="J34" s="80"/>
      <c r="K34" s="80"/>
      <c r="L34" s="80"/>
      <c r="M34" s="80"/>
      <c r="N34" s="80"/>
      <c r="O34" s="80"/>
      <c r="P34" s="80"/>
      <c r="Q34" s="80"/>
      <c r="R34" s="80"/>
      <c r="S34" s="80"/>
      <c r="T34" s="80"/>
      <c r="U34" s="80"/>
      <c r="V34" s="80"/>
      <c r="W34" s="80"/>
      <c r="X34" s="80"/>
      <c r="Y34" s="80"/>
      <c r="Z34" s="80"/>
      <c r="AA34" s="80"/>
    </row>
    <row r="35" spans="2:27" ht="12.75" customHeight="1">
      <c r="B35" s="79"/>
      <c r="C35" s="80"/>
      <c r="D35" s="80"/>
      <c r="E35" s="80"/>
      <c r="F35" s="80"/>
      <c r="G35" s="80"/>
      <c r="H35" s="80"/>
      <c r="I35" s="80"/>
      <c r="J35" s="80"/>
      <c r="K35" s="80"/>
      <c r="L35" s="80"/>
      <c r="M35" s="80"/>
      <c r="N35" s="80"/>
      <c r="O35" s="80"/>
      <c r="P35" s="80"/>
      <c r="Q35" s="80"/>
      <c r="R35" s="80"/>
      <c r="S35" s="80"/>
      <c r="T35" s="80"/>
      <c r="U35" s="80"/>
      <c r="V35" s="80"/>
      <c r="W35" s="80"/>
      <c r="X35" s="80"/>
      <c r="Y35" s="80"/>
      <c r="Z35" s="80"/>
      <c r="AA35" s="80"/>
    </row>
    <row r="36" spans="2:27" ht="12.75" customHeight="1">
      <c r="B36" s="79"/>
      <c r="C36" s="80"/>
      <c r="D36" s="80"/>
      <c r="E36" s="80"/>
      <c r="F36" s="80"/>
      <c r="G36" s="80"/>
      <c r="H36" s="80"/>
      <c r="I36" s="80"/>
      <c r="J36" s="80"/>
      <c r="K36" s="80"/>
      <c r="L36" s="80"/>
      <c r="M36" s="80"/>
      <c r="N36" s="80"/>
      <c r="O36" s="80"/>
      <c r="P36" s="80"/>
      <c r="Q36" s="80"/>
      <c r="R36" s="80"/>
      <c r="S36" s="80"/>
      <c r="T36" s="80"/>
      <c r="U36" s="80"/>
      <c r="V36" s="80"/>
      <c r="W36" s="80"/>
      <c r="X36" s="80"/>
      <c r="Y36" s="80"/>
      <c r="Z36" s="80"/>
      <c r="AA36" s="80"/>
    </row>
    <row r="37" spans="2:27" ht="12.75" customHeight="1">
      <c r="B37" s="79"/>
      <c r="C37" s="80"/>
      <c r="D37" s="80"/>
      <c r="E37" s="80"/>
      <c r="F37" s="80"/>
      <c r="G37" s="80"/>
      <c r="H37" s="80"/>
      <c r="I37" s="80"/>
      <c r="J37" s="80"/>
      <c r="K37" s="80"/>
      <c r="L37" s="80"/>
      <c r="M37" s="80"/>
      <c r="N37" s="80"/>
      <c r="O37" s="80"/>
      <c r="P37" s="80"/>
      <c r="Q37" s="80"/>
      <c r="R37" s="80"/>
      <c r="S37" s="80"/>
      <c r="T37" s="80"/>
      <c r="U37" s="80"/>
      <c r="V37" s="80"/>
      <c r="W37" s="80"/>
      <c r="X37" s="80"/>
      <c r="Y37" s="80"/>
      <c r="Z37" s="80"/>
      <c r="AA37" s="80"/>
    </row>
    <row r="38" spans="2:27" ht="12.75" customHeight="1">
      <c r="B38" s="79"/>
      <c r="C38" s="80"/>
      <c r="D38" s="80"/>
      <c r="E38" s="80"/>
      <c r="F38" s="80"/>
      <c r="G38" s="80"/>
      <c r="H38" s="80"/>
      <c r="I38" s="80"/>
      <c r="J38" s="80"/>
      <c r="K38" s="80"/>
      <c r="L38" s="80"/>
      <c r="M38" s="80"/>
      <c r="N38" s="80"/>
      <c r="O38" s="80"/>
      <c r="P38" s="80"/>
      <c r="Q38" s="80"/>
      <c r="R38" s="80"/>
      <c r="S38" s="80"/>
      <c r="T38" s="80"/>
      <c r="U38" s="80"/>
      <c r="V38" s="80"/>
      <c r="W38" s="80"/>
      <c r="X38" s="80"/>
      <c r="Y38" s="80"/>
      <c r="Z38" s="80"/>
      <c r="AA38" s="80"/>
    </row>
    <row r="39" spans="2:27" ht="12.75" customHeight="1">
      <c r="B39" s="79"/>
      <c r="C39" s="80"/>
      <c r="D39" s="80"/>
      <c r="E39" s="80"/>
      <c r="F39" s="80"/>
      <c r="G39" s="80"/>
      <c r="H39" s="80"/>
      <c r="I39" s="80"/>
      <c r="J39" s="80"/>
      <c r="K39" s="80"/>
      <c r="L39" s="80"/>
      <c r="M39" s="80"/>
      <c r="N39" s="80"/>
      <c r="O39" s="80"/>
      <c r="P39" s="80"/>
      <c r="Q39" s="80"/>
      <c r="R39" s="80"/>
      <c r="S39" s="80"/>
      <c r="T39" s="80"/>
      <c r="U39" s="80"/>
      <c r="V39" s="80"/>
      <c r="W39" s="80"/>
      <c r="X39" s="80"/>
      <c r="Y39" s="80"/>
      <c r="Z39" s="80"/>
      <c r="AA39" s="80"/>
    </row>
    <row r="40" spans="2:27" ht="12.75" customHeight="1">
      <c r="B40" s="79"/>
      <c r="C40" s="80"/>
      <c r="D40" s="80"/>
      <c r="E40" s="80"/>
      <c r="F40" s="80"/>
      <c r="G40" s="80"/>
      <c r="H40" s="80"/>
      <c r="I40" s="80"/>
      <c r="J40" s="80"/>
      <c r="K40" s="80"/>
      <c r="L40" s="80"/>
      <c r="M40" s="80"/>
      <c r="N40" s="80"/>
      <c r="O40" s="80"/>
      <c r="P40" s="80"/>
      <c r="Q40" s="80"/>
      <c r="R40" s="80"/>
      <c r="S40" s="80"/>
      <c r="T40" s="80"/>
      <c r="U40" s="80"/>
      <c r="V40" s="80"/>
      <c r="W40" s="80"/>
      <c r="X40" s="80"/>
      <c r="Y40" s="80"/>
      <c r="Z40" s="80"/>
      <c r="AA40" s="80"/>
    </row>
    <row r="41" spans="2:27" ht="12.75" customHeight="1">
      <c r="B41" s="79"/>
      <c r="C41" s="80"/>
      <c r="D41" s="80"/>
      <c r="E41" s="80"/>
      <c r="F41" s="80"/>
      <c r="G41" s="80"/>
      <c r="H41" s="80"/>
      <c r="I41" s="80"/>
      <c r="J41" s="80"/>
      <c r="K41" s="80"/>
      <c r="L41" s="80"/>
      <c r="M41" s="80"/>
      <c r="N41" s="80"/>
      <c r="O41" s="80"/>
      <c r="P41" s="80"/>
      <c r="Q41" s="80"/>
      <c r="R41" s="80"/>
      <c r="S41" s="80"/>
      <c r="T41" s="80"/>
      <c r="U41" s="80"/>
      <c r="V41" s="80"/>
      <c r="W41" s="80"/>
      <c r="X41" s="80"/>
      <c r="Y41" s="80"/>
      <c r="Z41" s="80"/>
      <c r="AA41" s="80"/>
    </row>
    <row r="42" spans="2:27" ht="12.75" customHeight="1">
      <c r="B42" s="79"/>
      <c r="C42" s="80"/>
      <c r="D42" s="80"/>
      <c r="E42" s="80"/>
      <c r="F42" s="80"/>
      <c r="G42" s="80"/>
      <c r="H42" s="80"/>
      <c r="I42" s="80"/>
      <c r="J42" s="80"/>
      <c r="K42" s="80"/>
      <c r="L42" s="80"/>
      <c r="M42" s="80"/>
      <c r="N42" s="80"/>
      <c r="O42" s="80"/>
      <c r="P42" s="80"/>
      <c r="Q42" s="80"/>
      <c r="R42" s="80"/>
      <c r="S42" s="80"/>
      <c r="T42" s="80"/>
      <c r="U42" s="80"/>
      <c r="V42" s="80"/>
      <c r="W42" s="80"/>
      <c r="X42" s="80"/>
      <c r="Y42" s="80"/>
      <c r="Z42" s="80"/>
      <c r="AA42" s="80"/>
    </row>
    <row r="43" spans="2:27" ht="12.75" customHeight="1">
      <c r="B43" s="79"/>
      <c r="C43" s="80"/>
      <c r="D43" s="80"/>
      <c r="E43" s="80"/>
      <c r="F43" s="80"/>
      <c r="G43" s="80"/>
      <c r="H43" s="80"/>
      <c r="I43" s="80"/>
      <c r="J43" s="80"/>
      <c r="K43" s="80"/>
      <c r="L43" s="80"/>
      <c r="M43" s="80"/>
      <c r="N43" s="80"/>
      <c r="O43" s="80"/>
      <c r="P43" s="80"/>
      <c r="Q43" s="80"/>
      <c r="R43" s="80"/>
      <c r="S43" s="80"/>
      <c r="T43" s="80"/>
      <c r="U43" s="80"/>
      <c r="V43" s="80"/>
      <c r="W43" s="80"/>
      <c r="X43" s="80"/>
      <c r="Y43" s="80"/>
      <c r="Z43" s="80"/>
      <c r="AA43" s="80"/>
    </row>
    <row r="44" spans="2:27" ht="12.75" customHeight="1">
      <c r="B44" s="79"/>
      <c r="C44" s="80"/>
      <c r="D44" s="80"/>
      <c r="E44" s="80"/>
      <c r="F44" s="80"/>
      <c r="G44" s="80"/>
      <c r="H44" s="80"/>
      <c r="I44" s="80"/>
      <c r="J44" s="80"/>
      <c r="K44" s="80"/>
      <c r="L44" s="80"/>
      <c r="M44" s="80"/>
      <c r="N44" s="80"/>
      <c r="O44" s="80"/>
      <c r="P44" s="80"/>
      <c r="Q44" s="80"/>
      <c r="R44" s="80"/>
      <c r="S44" s="80"/>
      <c r="T44" s="80"/>
      <c r="U44" s="80"/>
      <c r="V44" s="80"/>
      <c r="W44" s="80"/>
      <c r="X44" s="80"/>
      <c r="Y44" s="80"/>
      <c r="Z44" s="80"/>
      <c r="AA44" s="80"/>
    </row>
    <row r="45" spans="2:27" ht="12.75" customHeight="1">
      <c r="B45" s="79"/>
      <c r="C45" s="80"/>
      <c r="D45" s="80"/>
      <c r="E45" s="80"/>
      <c r="F45" s="80"/>
      <c r="G45" s="80"/>
      <c r="H45" s="80"/>
      <c r="I45" s="80"/>
      <c r="J45" s="80"/>
      <c r="K45" s="80"/>
      <c r="L45" s="80"/>
      <c r="M45" s="80"/>
      <c r="N45" s="80"/>
      <c r="O45" s="80"/>
      <c r="P45" s="80"/>
      <c r="Q45" s="80"/>
      <c r="R45" s="80"/>
      <c r="S45" s="80"/>
      <c r="T45" s="80"/>
      <c r="U45" s="80"/>
      <c r="V45" s="80"/>
      <c r="W45" s="80"/>
      <c r="X45" s="80"/>
      <c r="Y45" s="80"/>
      <c r="Z45" s="80"/>
      <c r="AA45" s="80"/>
    </row>
    <row r="46" spans="2:27" ht="12.75" customHeight="1">
      <c r="B46" s="79"/>
      <c r="C46" s="80"/>
      <c r="D46" s="80"/>
      <c r="E46" s="80"/>
      <c r="F46" s="80"/>
      <c r="G46" s="80"/>
      <c r="H46" s="80"/>
      <c r="I46" s="80"/>
      <c r="J46" s="80"/>
      <c r="K46" s="80"/>
      <c r="L46" s="80"/>
      <c r="M46" s="80"/>
      <c r="N46" s="80"/>
      <c r="O46" s="80"/>
      <c r="P46" s="80"/>
      <c r="Q46" s="80"/>
      <c r="R46" s="80"/>
      <c r="S46" s="80"/>
      <c r="T46" s="80"/>
      <c r="U46" s="80"/>
      <c r="V46" s="80"/>
      <c r="W46" s="80"/>
      <c r="X46" s="80"/>
      <c r="Y46" s="80"/>
      <c r="Z46" s="80"/>
      <c r="AA46" s="80"/>
    </row>
    <row r="47" spans="2:27" ht="12.75" customHeight="1">
      <c r="B47" s="79"/>
      <c r="C47" s="80"/>
      <c r="D47" s="80"/>
      <c r="E47" s="80"/>
      <c r="F47" s="80"/>
      <c r="G47" s="80"/>
      <c r="H47" s="80"/>
      <c r="I47" s="80"/>
      <c r="J47" s="80"/>
      <c r="K47" s="80"/>
      <c r="L47" s="80"/>
      <c r="M47" s="80"/>
      <c r="N47" s="80"/>
      <c r="O47" s="80"/>
      <c r="P47" s="80"/>
      <c r="Q47" s="80"/>
      <c r="R47" s="80"/>
      <c r="S47" s="80"/>
      <c r="T47" s="80"/>
      <c r="U47" s="80"/>
      <c r="V47" s="80"/>
      <c r="W47" s="80"/>
      <c r="X47" s="80"/>
      <c r="Y47" s="80"/>
      <c r="Z47" s="80"/>
      <c r="AA47" s="80"/>
    </row>
    <row r="48" spans="2:27" ht="12.75" customHeight="1">
      <c r="B48" s="79"/>
      <c r="C48" s="80"/>
      <c r="D48" s="80"/>
      <c r="E48" s="80"/>
      <c r="F48" s="80"/>
      <c r="G48" s="80"/>
      <c r="H48" s="80"/>
      <c r="I48" s="80"/>
      <c r="J48" s="80"/>
      <c r="K48" s="80"/>
      <c r="L48" s="80"/>
      <c r="M48" s="80"/>
      <c r="N48" s="80"/>
      <c r="O48" s="80"/>
      <c r="P48" s="80"/>
      <c r="Q48" s="80"/>
      <c r="R48" s="80"/>
      <c r="S48" s="80"/>
      <c r="T48" s="80"/>
      <c r="U48" s="80"/>
      <c r="V48" s="80"/>
      <c r="W48" s="80"/>
      <c r="X48" s="80"/>
      <c r="Y48" s="80"/>
      <c r="Z48" s="80"/>
      <c r="AA48" s="80"/>
    </row>
    <row r="49" spans="2:27" ht="12.75" customHeight="1">
      <c r="B49" s="79"/>
      <c r="C49" s="80"/>
      <c r="D49" s="80"/>
      <c r="E49" s="80"/>
      <c r="F49" s="80"/>
      <c r="G49" s="80"/>
      <c r="H49" s="80"/>
      <c r="I49" s="80"/>
      <c r="J49" s="80"/>
      <c r="K49" s="80"/>
      <c r="L49" s="80"/>
      <c r="M49" s="80"/>
      <c r="N49" s="80"/>
      <c r="O49" s="80"/>
      <c r="P49" s="80"/>
      <c r="Q49" s="80"/>
      <c r="R49" s="80"/>
      <c r="S49" s="80"/>
      <c r="T49" s="80"/>
      <c r="U49" s="80"/>
      <c r="V49" s="80"/>
      <c r="W49" s="80"/>
      <c r="X49" s="80"/>
      <c r="Y49" s="80"/>
      <c r="Z49" s="80"/>
      <c r="AA49" s="80"/>
    </row>
    <row r="50" spans="2:27" ht="12.75" customHeight="1">
      <c r="B50" s="79"/>
      <c r="C50" s="80"/>
      <c r="D50" s="80"/>
      <c r="E50" s="80"/>
      <c r="F50" s="80"/>
      <c r="G50" s="80"/>
      <c r="H50" s="80"/>
      <c r="I50" s="80"/>
      <c r="J50" s="80"/>
      <c r="K50" s="80"/>
      <c r="L50" s="80"/>
      <c r="M50" s="80"/>
      <c r="N50" s="80"/>
      <c r="O50" s="80"/>
      <c r="P50" s="80"/>
      <c r="Q50" s="80"/>
      <c r="R50" s="80"/>
      <c r="S50" s="80"/>
      <c r="T50" s="80"/>
      <c r="U50" s="80"/>
      <c r="V50" s="80"/>
      <c r="W50" s="80"/>
      <c r="X50" s="80"/>
      <c r="Y50" s="80"/>
      <c r="Z50" s="80"/>
      <c r="AA50" s="80"/>
    </row>
    <row r="51" spans="2:27" ht="12.75" customHeight="1">
      <c r="B51" s="79"/>
      <c r="C51" s="80"/>
      <c r="D51" s="80"/>
      <c r="E51" s="80"/>
      <c r="F51" s="80"/>
      <c r="G51" s="80"/>
      <c r="H51" s="80"/>
      <c r="I51" s="80"/>
      <c r="J51" s="80"/>
      <c r="K51" s="80"/>
      <c r="L51" s="80"/>
      <c r="M51" s="80"/>
      <c r="N51" s="80"/>
      <c r="O51" s="80"/>
      <c r="P51" s="80"/>
      <c r="Q51" s="80"/>
      <c r="R51" s="80"/>
      <c r="S51" s="80"/>
      <c r="T51" s="80"/>
      <c r="U51" s="80"/>
      <c r="V51" s="80"/>
      <c r="W51" s="80"/>
      <c r="X51" s="80"/>
      <c r="Y51" s="80"/>
      <c r="Z51" s="80"/>
      <c r="AA51" s="80"/>
    </row>
    <row r="52" spans="2:27" ht="12.75" customHeight="1">
      <c r="B52" s="79"/>
      <c r="C52" s="80"/>
      <c r="D52" s="80"/>
      <c r="E52" s="80"/>
      <c r="F52" s="80"/>
      <c r="G52" s="80"/>
      <c r="H52" s="80"/>
      <c r="I52" s="80"/>
      <c r="J52" s="80"/>
      <c r="K52" s="80"/>
      <c r="L52" s="80"/>
      <c r="M52" s="80"/>
      <c r="N52" s="80"/>
      <c r="O52" s="80"/>
      <c r="P52" s="80"/>
      <c r="Q52" s="80"/>
      <c r="R52" s="80"/>
      <c r="S52" s="80"/>
      <c r="T52" s="80"/>
      <c r="U52" s="80"/>
      <c r="V52" s="80"/>
      <c r="W52" s="80"/>
      <c r="X52" s="80"/>
      <c r="Y52" s="80"/>
      <c r="Z52" s="80"/>
      <c r="AA52" s="80"/>
    </row>
    <row r="53" spans="2:27" ht="12.75" customHeight="1">
      <c r="B53" s="79"/>
      <c r="C53" s="80"/>
      <c r="D53" s="80"/>
      <c r="E53" s="80"/>
      <c r="F53" s="80"/>
      <c r="G53" s="80"/>
      <c r="H53" s="80"/>
      <c r="I53" s="80"/>
      <c r="J53" s="80"/>
      <c r="K53" s="80"/>
      <c r="L53" s="80"/>
      <c r="M53" s="80"/>
      <c r="N53" s="80"/>
      <c r="O53" s="80"/>
      <c r="P53" s="80"/>
      <c r="Q53" s="80"/>
      <c r="R53" s="80"/>
      <c r="S53" s="80"/>
      <c r="T53" s="80"/>
      <c r="U53" s="80"/>
      <c r="V53" s="80"/>
      <c r="W53" s="80"/>
      <c r="X53" s="80"/>
      <c r="Y53" s="80"/>
      <c r="Z53" s="80"/>
      <c r="AA53" s="80"/>
    </row>
    <row r="54" spans="2:27" ht="12.75" customHeight="1">
      <c r="B54" s="79"/>
      <c r="C54" s="80"/>
      <c r="D54" s="80"/>
      <c r="E54" s="80"/>
      <c r="F54" s="80"/>
      <c r="G54" s="80"/>
      <c r="H54" s="80"/>
      <c r="I54" s="80"/>
      <c r="J54" s="80"/>
      <c r="K54" s="80"/>
      <c r="L54" s="80"/>
      <c r="M54" s="80"/>
      <c r="N54" s="80"/>
      <c r="O54" s="80"/>
      <c r="P54" s="80"/>
      <c r="Q54" s="80"/>
      <c r="R54" s="80"/>
      <c r="S54" s="80"/>
      <c r="T54" s="80"/>
      <c r="U54" s="80"/>
      <c r="V54" s="80"/>
      <c r="W54" s="80"/>
      <c r="X54" s="80"/>
      <c r="Y54" s="80"/>
      <c r="Z54" s="80"/>
      <c r="AA54" s="80"/>
    </row>
    <row r="55" spans="2:27" ht="12.75" customHeight="1">
      <c r="B55" s="79"/>
      <c r="C55" s="80"/>
      <c r="D55" s="80"/>
      <c r="E55" s="80"/>
      <c r="F55" s="80"/>
      <c r="G55" s="80"/>
      <c r="H55" s="80"/>
      <c r="I55" s="80"/>
      <c r="J55" s="80"/>
      <c r="K55" s="80"/>
      <c r="L55" s="80"/>
      <c r="M55" s="80"/>
      <c r="N55" s="80"/>
      <c r="O55" s="80"/>
      <c r="P55" s="80"/>
      <c r="Q55" s="80"/>
      <c r="R55" s="80"/>
      <c r="S55" s="80"/>
      <c r="T55" s="80"/>
      <c r="U55" s="80"/>
      <c r="V55" s="80"/>
      <c r="W55" s="80"/>
      <c r="X55" s="80"/>
      <c r="Y55" s="80"/>
      <c r="Z55" s="80"/>
      <c r="AA55" s="80"/>
    </row>
    <row r="56" spans="2:27" ht="12.75" customHeight="1">
      <c r="B56" s="79"/>
      <c r="C56" s="80"/>
      <c r="D56" s="80"/>
      <c r="E56" s="80"/>
      <c r="F56" s="80"/>
      <c r="G56" s="80"/>
      <c r="H56" s="80"/>
      <c r="I56" s="80"/>
      <c r="J56" s="80"/>
      <c r="K56" s="80"/>
      <c r="L56" s="80"/>
      <c r="M56" s="80"/>
      <c r="N56" s="80"/>
      <c r="O56" s="80"/>
      <c r="P56" s="80"/>
      <c r="Q56" s="80"/>
      <c r="R56" s="80"/>
      <c r="S56" s="80"/>
      <c r="T56" s="80"/>
      <c r="U56" s="80"/>
      <c r="V56" s="80"/>
      <c r="W56" s="80"/>
      <c r="X56" s="80"/>
      <c r="Y56" s="80"/>
      <c r="Z56" s="80"/>
      <c r="AA56" s="80"/>
    </row>
    <row r="57" spans="2:27" ht="12.75" customHeight="1">
      <c r="B57" s="79"/>
      <c r="C57" s="80"/>
      <c r="D57" s="80"/>
      <c r="E57" s="80"/>
      <c r="F57" s="80"/>
      <c r="G57" s="80"/>
      <c r="H57" s="80"/>
      <c r="I57" s="80"/>
      <c r="J57" s="80"/>
      <c r="K57" s="80"/>
      <c r="L57" s="80"/>
      <c r="M57" s="80"/>
      <c r="N57" s="80"/>
      <c r="O57" s="80"/>
      <c r="P57" s="80"/>
      <c r="Q57" s="80"/>
      <c r="R57" s="80"/>
      <c r="S57" s="80"/>
      <c r="T57" s="80"/>
      <c r="U57" s="80"/>
      <c r="V57" s="80"/>
      <c r="W57" s="80"/>
      <c r="X57" s="80"/>
      <c r="Y57" s="80"/>
      <c r="Z57" s="80"/>
      <c r="AA57" s="80"/>
    </row>
    <row r="58" spans="2:27" ht="12.75" customHeight="1">
      <c r="B58" s="79"/>
      <c r="C58" s="80"/>
      <c r="D58" s="80"/>
      <c r="E58" s="80"/>
      <c r="F58" s="80"/>
      <c r="G58" s="80"/>
      <c r="H58" s="80"/>
      <c r="I58" s="80"/>
      <c r="J58" s="80"/>
      <c r="K58" s="80"/>
      <c r="L58" s="80"/>
      <c r="M58" s="80"/>
      <c r="N58" s="80"/>
      <c r="O58" s="80"/>
      <c r="P58" s="80"/>
      <c r="Q58" s="80"/>
      <c r="R58" s="80"/>
      <c r="S58" s="80"/>
      <c r="T58" s="80"/>
      <c r="U58" s="80"/>
      <c r="V58" s="80"/>
      <c r="W58" s="80"/>
      <c r="X58" s="80"/>
      <c r="Y58" s="80"/>
      <c r="Z58" s="80"/>
      <c r="AA58" s="80"/>
    </row>
    <row r="59" spans="2:27" ht="12.75" customHeight="1">
      <c r="B59" s="79"/>
      <c r="C59" s="80"/>
      <c r="D59" s="80"/>
      <c r="E59" s="80"/>
      <c r="F59" s="80"/>
      <c r="G59" s="80"/>
      <c r="H59" s="80"/>
      <c r="I59" s="80"/>
      <c r="J59" s="80"/>
      <c r="K59" s="80"/>
      <c r="L59" s="80"/>
      <c r="M59" s="80"/>
      <c r="N59" s="80"/>
      <c r="O59" s="80"/>
      <c r="P59" s="80"/>
      <c r="Q59" s="80"/>
      <c r="R59" s="80"/>
      <c r="S59" s="80"/>
      <c r="T59" s="80"/>
      <c r="U59" s="80"/>
      <c r="V59" s="80"/>
      <c r="W59" s="80"/>
      <c r="X59" s="80"/>
      <c r="Y59" s="80"/>
      <c r="Z59" s="80"/>
      <c r="AA59" s="80"/>
    </row>
    <row r="60" spans="2:27" ht="12.75" customHeight="1">
      <c r="B60" s="79"/>
      <c r="C60" s="80"/>
      <c r="D60" s="80"/>
      <c r="E60" s="80"/>
      <c r="F60" s="80"/>
      <c r="G60" s="80"/>
      <c r="H60" s="80"/>
      <c r="I60" s="80"/>
      <c r="J60" s="80"/>
      <c r="K60" s="80"/>
      <c r="L60" s="80"/>
      <c r="M60" s="80"/>
      <c r="N60" s="80"/>
      <c r="O60" s="80"/>
      <c r="P60" s="80"/>
      <c r="Q60" s="80"/>
      <c r="R60" s="80"/>
      <c r="S60" s="80"/>
      <c r="T60" s="80"/>
      <c r="U60" s="80"/>
      <c r="V60" s="80"/>
      <c r="W60" s="80"/>
      <c r="X60" s="80"/>
      <c r="Y60" s="80"/>
      <c r="Z60" s="80"/>
      <c r="AA60" s="80"/>
    </row>
    <row r="61" spans="2:27" ht="12.75" customHeight="1">
      <c r="B61" s="79"/>
      <c r="C61" s="80"/>
      <c r="D61" s="80"/>
      <c r="E61" s="80"/>
      <c r="F61" s="80"/>
      <c r="G61" s="80"/>
      <c r="H61" s="80"/>
      <c r="I61" s="80"/>
      <c r="J61" s="80"/>
      <c r="K61" s="80"/>
      <c r="L61" s="80"/>
      <c r="M61" s="80"/>
      <c r="N61" s="80"/>
      <c r="O61" s="80"/>
      <c r="P61" s="80"/>
      <c r="Q61" s="80"/>
      <c r="R61" s="80"/>
      <c r="S61" s="80"/>
      <c r="T61" s="80"/>
      <c r="U61" s="80"/>
      <c r="V61" s="80"/>
      <c r="W61" s="80"/>
      <c r="X61" s="80"/>
      <c r="Y61" s="80"/>
      <c r="Z61" s="80"/>
      <c r="AA61" s="80"/>
    </row>
    <row r="62" spans="2:27" ht="12.75" customHeight="1">
      <c r="B62" s="79"/>
      <c r="C62" s="80"/>
      <c r="D62" s="80"/>
      <c r="E62" s="80"/>
      <c r="F62" s="80"/>
      <c r="G62" s="80"/>
      <c r="H62" s="80"/>
      <c r="I62" s="80"/>
      <c r="J62" s="80"/>
      <c r="K62" s="80"/>
      <c r="L62" s="80"/>
      <c r="M62" s="80"/>
      <c r="N62" s="80"/>
      <c r="O62" s="80"/>
      <c r="P62" s="80"/>
      <c r="Q62" s="80"/>
      <c r="R62" s="80"/>
      <c r="S62" s="80"/>
      <c r="T62" s="80"/>
      <c r="U62" s="80"/>
      <c r="V62" s="80"/>
      <c r="W62" s="80"/>
      <c r="X62" s="80"/>
      <c r="Y62" s="80"/>
      <c r="Z62" s="80"/>
      <c r="AA62" s="80"/>
    </row>
    <row r="63" spans="2:27" ht="12.75" customHeight="1">
      <c r="B63" s="79"/>
      <c r="C63" s="80"/>
      <c r="D63" s="80"/>
      <c r="E63" s="80"/>
      <c r="F63" s="80"/>
      <c r="G63" s="80"/>
      <c r="H63" s="80"/>
      <c r="I63" s="80"/>
      <c r="J63" s="80"/>
      <c r="K63" s="80"/>
      <c r="L63" s="80"/>
      <c r="M63" s="80"/>
      <c r="N63" s="80"/>
      <c r="O63" s="80"/>
      <c r="P63" s="80"/>
      <c r="Q63" s="80"/>
      <c r="R63" s="80"/>
      <c r="S63" s="80"/>
      <c r="T63" s="80"/>
      <c r="U63" s="80"/>
      <c r="V63" s="80"/>
      <c r="W63" s="80"/>
      <c r="X63" s="80"/>
      <c r="Y63" s="80"/>
      <c r="Z63" s="80"/>
      <c r="AA63" s="80"/>
    </row>
    <row r="64" spans="2:27" ht="12.75" customHeight="1">
      <c r="B64" s="79"/>
      <c r="C64" s="80"/>
      <c r="D64" s="80"/>
      <c r="E64" s="80"/>
      <c r="F64" s="80"/>
      <c r="G64" s="80"/>
      <c r="H64" s="80"/>
      <c r="I64" s="80"/>
      <c r="J64" s="80"/>
      <c r="K64" s="80"/>
      <c r="L64" s="80"/>
      <c r="M64" s="80"/>
      <c r="N64" s="80"/>
      <c r="O64" s="80"/>
      <c r="P64" s="80"/>
      <c r="Q64" s="80"/>
      <c r="R64" s="80"/>
      <c r="S64" s="80"/>
      <c r="T64" s="80"/>
      <c r="U64" s="80"/>
      <c r="V64" s="80"/>
      <c r="W64" s="80"/>
      <c r="X64" s="80"/>
      <c r="Y64" s="80"/>
      <c r="Z64" s="80"/>
      <c r="AA64" s="80"/>
    </row>
    <row r="65" spans="2:27" ht="12.75" customHeight="1">
      <c r="B65" s="79"/>
      <c r="C65" s="80"/>
      <c r="D65" s="80"/>
      <c r="E65" s="80"/>
      <c r="F65" s="80"/>
      <c r="G65" s="80"/>
      <c r="H65" s="80"/>
      <c r="I65" s="80"/>
      <c r="J65" s="80"/>
      <c r="K65" s="80"/>
      <c r="L65" s="80"/>
      <c r="M65" s="80"/>
      <c r="N65" s="80"/>
      <c r="O65" s="80"/>
      <c r="P65" s="80"/>
      <c r="Q65" s="80"/>
      <c r="R65" s="80"/>
      <c r="S65" s="80"/>
      <c r="T65" s="80"/>
      <c r="U65" s="80"/>
      <c r="V65" s="80"/>
      <c r="W65" s="80"/>
      <c r="X65" s="80"/>
      <c r="Y65" s="80"/>
      <c r="Z65" s="80"/>
      <c r="AA65" s="80"/>
    </row>
    <row r="66" spans="2:27" ht="12.75" customHeight="1">
      <c r="B66" s="79"/>
      <c r="C66" s="80"/>
      <c r="D66" s="80"/>
      <c r="E66" s="80"/>
      <c r="F66" s="80"/>
      <c r="G66" s="80"/>
      <c r="H66" s="80"/>
      <c r="I66" s="80"/>
      <c r="J66" s="80"/>
      <c r="K66" s="80"/>
      <c r="L66" s="80"/>
      <c r="M66" s="80"/>
      <c r="N66" s="80"/>
      <c r="O66" s="80"/>
      <c r="P66" s="80"/>
      <c r="Q66" s="80"/>
      <c r="R66" s="80"/>
      <c r="S66" s="80"/>
      <c r="T66" s="80"/>
      <c r="U66" s="80"/>
      <c r="V66" s="80"/>
      <c r="W66" s="80"/>
      <c r="X66" s="80"/>
      <c r="Y66" s="80"/>
      <c r="Z66" s="80"/>
      <c r="AA66" s="80"/>
    </row>
    <row r="67" spans="2:27" ht="12.75" customHeight="1">
      <c r="B67" s="79"/>
      <c r="C67" s="80"/>
      <c r="D67" s="80"/>
      <c r="E67" s="80"/>
      <c r="F67" s="80"/>
      <c r="G67" s="80"/>
      <c r="H67" s="80"/>
      <c r="I67" s="80"/>
      <c r="J67" s="80"/>
      <c r="K67" s="80"/>
      <c r="L67" s="80"/>
      <c r="M67" s="80"/>
      <c r="N67" s="80"/>
      <c r="O67" s="80"/>
      <c r="P67" s="80"/>
      <c r="Q67" s="80"/>
      <c r="R67" s="80"/>
      <c r="S67" s="80"/>
      <c r="T67" s="80"/>
      <c r="U67" s="80"/>
      <c r="V67" s="80"/>
      <c r="W67" s="80"/>
      <c r="X67" s="80"/>
      <c r="Y67" s="80"/>
      <c r="Z67" s="80"/>
      <c r="AA67" s="80"/>
    </row>
    <row r="68" spans="2:27" ht="12.75" customHeight="1">
      <c r="B68" s="79"/>
      <c r="C68" s="80"/>
      <c r="D68" s="80"/>
      <c r="E68" s="80"/>
      <c r="F68" s="80"/>
      <c r="G68" s="80"/>
      <c r="H68" s="80"/>
      <c r="I68" s="80"/>
      <c r="J68" s="80"/>
      <c r="K68" s="80"/>
      <c r="L68" s="80"/>
      <c r="M68" s="80"/>
      <c r="N68" s="80"/>
      <c r="O68" s="80"/>
      <c r="P68" s="80"/>
      <c r="Q68" s="80"/>
      <c r="R68" s="80"/>
      <c r="S68" s="80"/>
      <c r="T68" s="80"/>
      <c r="U68" s="80"/>
      <c r="V68" s="80"/>
      <c r="W68" s="80"/>
      <c r="X68" s="80"/>
      <c r="Y68" s="80"/>
      <c r="Z68" s="80"/>
      <c r="AA68" s="80"/>
    </row>
    <row r="69" spans="2:27" ht="12.75" customHeight="1">
      <c r="B69" s="79"/>
      <c r="C69" s="80"/>
      <c r="D69" s="80"/>
      <c r="E69" s="80"/>
      <c r="F69" s="80"/>
      <c r="G69" s="80"/>
      <c r="H69" s="80"/>
      <c r="I69" s="80"/>
      <c r="J69" s="80"/>
      <c r="K69" s="80"/>
      <c r="L69" s="80"/>
      <c r="M69" s="80"/>
      <c r="N69" s="80"/>
      <c r="O69" s="80"/>
      <c r="P69" s="80"/>
      <c r="Q69" s="80"/>
      <c r="R69" s="80"/>
      <c r="S69" s="80"/>
      <c r="T69" s="80"/>
      <c r="U69" s="80"/>
      <c r="V69" s="80"/>
      <c r="W69" s="80"/>
      <c r="X69" s="80"/>
      <c r="Y69" s="80"/>
      <c r="Z69" s="80"/>
      <c r="AA69" s="80"/>
    </row>
    <row r="70" spans="2:27" ht="12.75" customHeight="1">
      <c r="B70" s="79"/>
      <c r="C70" s="80"/>
      <c r="D70" s="80"/>
      <c r="E70" s="80"/>
      <c r="F70" s="80"/>
      <c r="G70" s="80"/>
      <c r="H70" s="80"/>
      <c r="I70" s="80"/>
      <c r="J70" s="80"/>
      <c r="K70" s="80"/>
      <c r="L70" s="80"/>
      <c r="M70" s="80"/>
      <c r="N70" s="80"/>
      <c r="O70" s="80"/>
      <c r="P70" s="80"/>
      <c r="Q70" s="80"/>
      <c r="R70" s="80"/>
      <c r="S70" s="80"/>
      <c r="T70" s="80"/>
      <c r="U70" s="80"/>
      <c r="V70" s="80"/>
      <c r="W70" s="80"/>
      <c r="X70" s="80"/>
      <c r="Y70" s="80"/>
      <c r="Z70" s="80"/>
      <c r="AA70" s="80"/>
    </row>
    <row r="71" spans="2:27" ht="12.75" customHeight="1">
      <c r="B71" s="79"/>
      <c r="C71" s="80"/>
      <c r="D71" s="80"/>
      <c r="E71" s="80"/>
      <c r="F71" s="80"/>
      <c r="G71" s="80"/>
      <c r="H71" s="80"/>
      <c r="I71" s="80"/>
      <c r="J71" s="80"/>
      <c r="K71" s="80"/>
      <c r="L71" s="80"/>
      <c r="M71" s="80"/>
      <c r="N71" s="80"/>
      <c r="O71" s="80"/>
      <c r="P71" s="80"/>
      <c r="Q71" s="80"/>
      <c r="R71" s="80"/>
      <c r="S71" s="80"/>
      <c r="T71" s="80"/>
      <c r="U71" s="80"/>
      <c r="V71" s="80"/>
      <c r="W71" s="80"/>
      <c r="X71" s="80"/>
      <c r="Y71" s="80"/>
      <c r="Z71" s="80"/>
      <c r="AA71" s="80"/>
    </row>
    <row r="72" spans="2:27" ht="12.75" customHeight="1">
      <c r="B72" s="79"/>
      <c r="C72" s="80"/>
      <c r="D72" s="80"/>
      <c r="E72" s="80"/>
      <c r="F72" s="80"/>
      <c r="G72" s="80"/>
      <c r="H72" s="80"/>
      <c r="I72" s="80"/>
      <c r="J72" s="80"/>
      <c r="K72" s="80"/>
      <c r="L72" s="80"/>
      <c r="M72" s="80"/>
      <c r="N72" s="80"/>
      <c r="O72" s="80"/>
      <c r="P72" s="80"/>
      <c r="Q72" s="80"/>
      <c r="R72" s="80"/>
      <c r="S72" s="80"/>
      <c r="T72" s="80"/>
      <c r="U72" s="80"/>
      <c r="V72" s="80"/>
      <c r="W72" s="80"/>
      <c r="X72" s="80"/>
      <c r="Y72" s="80"/>
      <c r="Z72" s="80"/>
      <c r="AA72" s="80"/>
    </row>
    <row r="73" spans="2:27" ht="12.75" customHeight="1">
      <c r="B73" s="79"/>
      <c r="C73" s="80"/>
      <c r="D73" s="80"/>
      <c r="E73" s="80"/>
      <c r="F73" s="80"/>
      <c r="G73" s="80"/>
      <c r="H73" s="80"/>
      <c r="I73" s="80"/>
      <c r="J73" s="80"/>
      <c r="K73" s="80"/>
      <c r="L73" s="80"/>
      <c r="M73" s="80"/>
      <c r="N73" s="80"/>
      <c r="O73" s="80"/>
      <c r="P73" s="80"/>
      <c r="Q73" s="80"/>
      <c r="R73" s="80"/>
      <c r="S73" s="80"/>
      <c r="T73" s="80"/>
      <c r="U73" s="80"/>
      <c r="V73" s="80"/>
      <c r="W73" s="80"/>
      <c r="X73" s="80"/>
      <c r="Y73" s="80"/>
      <c r="Z73" s="80"/>
      <c r="AA73" s="80"/>
    </row>
    <row r="74" spans="2:27" ht="12.75" customHeight="1">
      <c r="B74" s="79"/>
      <c r="C74" s="80"/>
      <c r="D74" s="80"/>
      <c r="E74" s="80"/>
      <c r="F74" s="80"/>
      <c r="G74" s="80"/>
      <c r="H74" s="80"/>
      <c r="I74" s="80"/>
      <c r="J74" s="80"/>
      <c r="K74" s="80"/>
      <c r="L74" s="80"/>
      <c r="M74" s="80"/>
      <c r="N74" s="80"/>
      <c r="O74" s="80"/>
      <c r="P74" s="80"/>
      <c r="Q74" s="80"/>
      <c r="R74" s="80"/>
      <c r="S74" s="80"/>
      <c r="T74" s="80"/>
      <c r="U74" s="80"/>
      <c r="V74" s="80"/>
      <c r="W74" s="80"/>
      <c r="X74" s="80"/>
      <c r="Y74" s="80"/>
      <c r="Z74" s="80"/>
      <c r="AA74" s="80"/>
    </row>
    <row r="75" spans="2:27" ht="12.75" customHeight="1">
      <c r="B75" s="79"/>
      <c r="C75" s="80"/>
      <c r="D75" s="80"/>
      <c r="E75" s="80"/>
      <c r="F75" s="80"/>
      <c r="G75" s="80"/>
      <c r="H75" s="80"/>
      <c r="I75" s="80"/>
      <c r="J75" s="80"/>
      <c r="K75" s="80"/>
      <c r="L75" s="80"/>
      <c r="M75" s="80"/>
      <c r="N75" s="80"/>
      <c r="O75" s="80"/>
      <c r="P75" s="80"/>
      <c r="Q75" s="80"/>
      <c r="R75" s="80"/>
      <c r="S75" s="80"/>
      <c r="T75" s="80"/>
      <c r="U75" s="80"/>
      <c r="V75" s="80"/>
      <c r="W75" s="80"/>
      <c r="X75" s="80"/>
      <c r="Y75" s="80"/>
      <c r="Z75" s="80"/>
      <c r="AA75" s="80"/>
    </row>
    <row r="76" spans="2:27" ht="12.75" customHeight="1">
      <c r="B76" s="79"/>
      <c r="C76" s="80"/>
      <c r="D76" s="80"/>
      <c r="E76" s="80"/>
      <c r="F76" s="80"/>
      <c r="G76" s="80"/>
      <c r="H76" s="80"/>
      <c r="I76" s="80"/>
      <c r="J76" s="80"/>
      <c r="K76" s="80"/>
      <c r="L76" s="80"/>
      <c r="M76" s="80"/>
      <c r="N76" s="80"/>
      <c r="O76" s="80"/>
      <c r="P76" s="80"/>
      <c r="Q76" s="80"/>
      <c r="R76" s="80"/>
      <c r="S76" s="80"/>
      <c r="T76" s="80"/>
      <c r="U76" s="80"/>
      <c r="V76" s="80"/>
      <c r="W76" s="80"/>
      <c r="X76" s="80"/>
      <c r="Y76" s="80"/>
      <c r="Z76" s="80"/>
      <c r="AA76" s="80"/>
    </row>
    <row r="77" spans="2:27" ht="12.75" customHeight="1">
      <c r="B77" s="79"/>
      <c r="C77" s="80"/>
      <c r="D77" s="80"/>
      <c r="E77" s="80"/>
      <c r="F77" s="80"/>
      <c r="G77" s="80"/>
      <c r="H77" s="80"/>
      <c r="I77" s="80"/>
      <c r="J77" s="80"/>
      <c r="K77" s="80"/>
      <c r="L77" s="80"/>
      <c r="M77" s="80"/>
      <c r="N77" s="80"/>
      <c r="O77" s="80"/>
      <c r="P77" s="80"/>
      <c r="Q77" s="80"/>
      <c r="R77" s="80"/>
      <c r="S77" s="80"/>
      <c r="T77" s="80"/>
      <c r="U77" s="80"/>
      <c r="V77" s="80"/>
      <c r="W77" s="80"/>
      <c r="X77" s="80"/>
      <c r="Y77" s="80"/>
      <c r="Z77" s="80"/>
      <c r="AA77" s="80"/>
    </row>
    <row r="78" spans="2:27" ht="12.75" customHeight="1">
      <c r="B78" s="79"/>
      <c r="C78" s="80"/>
      <c r="D78" s="80"/>
      <c r="E78" s="80"/>
      <c r="F78" s="80"/>
      <c r="G78" s="80"/>
      <c r="H78" s="80"/>
      <c r="I78" s="80"/>
      <c r="J78" s="80"/>
      <c r="K78" s="80"/>
      <c r="L78" s="80"/>
      <c r="M78" s="80"/>
      <c r="N78" s="80"/>
      <c r="O78" s="80"/>
      <c r="P78" s="80"/>
      <c r="Q78" s="80"/>
      <c r="R78" s="80"/>
      <c r="S78" s="80"/>
      <c r="T78" s="80"/>
      <c r="U78" s="80"/>
      <c r="V78" s="80"/>
      <c r="W78" s="80"/>
      <c r="X78" s="80"/>
      <c r="Y78" s="80"/>
      <c r="Z78" s="80"/>
      <c r="AA78" s="80"/>
    </row>
    <row r="79" spans="2:27" ht="12.75" customHeight="1">
      <c r="B79" s="79"/>
      <c r="C79" s="80"/>
      <c r="D79" s="80"/>
      <c r="E79" s="80"/>
      <c r="F79" s="80"/>
      <c r="G79" s="80"/>
      <c r="H79" s="80"/>
      <c r="I79" s="80"/>
      <c r="J79" s="80"/>
      <c r="K79" s="80"/>
      <c r="L79" s="80"/>
      <c r="M79" s="80"/>
      <c r="N79" s="80"/>
      <c r="O79" s="80"/>
      <c r="P79" s="80"/>
      <c r="Q79" s="80"/>
      <c r="R79" s="80"/>
      <c r="S79" s="80"/>
      <c r="T79" s="80"/>
      <c r="U79" s="80"/>
      <c r="V79" s="80"/>
      <c r="W79" s="80"/>
      <c r="X79" s="80"/>
      <c r="Y79" s="80"/>
      <c r="Z79" s="80"/>
      <c r="AA79" s="80"/>
    </row>
    <row r="80" spans="2:27" ht="12.75" customHeight="1">
      <c r="B80" s="79"/>
      <c r="C80" s="80"/>
      <c r="D80" s="80"/>
      <c r="E80" s="80"/>
      <c r="F80" s="80"/>
      <c r="G80" s="80"/>
      <c r="H80" s="80"/>
      <c r="I80" s="80"/>
      <c r="J80" s="80"/>
      <c r="K80" s="80"/>
      <c r="L80" s="80"/>
      <c r="M80" s="80"/>
      <c r="N80" s="80"/>
      <c r="O80" s="80"/>
      <c r="P80" s="80"/>
      <c r="Q80" s="80"/>
      <c r="R80" s="80"/>
      <c r="S80" s="80"/>
      <c r="T80" s="80"/>
      <c r="U80" s="80"/>
      <c r="V80" s="80"/>
      <c r="W80" s="80"/>
      <c r="X80" s="80"/>
      <c r="Y80" s="80"/>
      <c r="Z80" s="80"/>
      <c r="AA80" s="80"/>
    </row>
    <row r="81" spans="2:27" ht="12.75" customHeight="1">
      <c r="B81" s="79"/>
      <c r="C81" s="80"/>
      <c r="D81" s="80"/>
      <c r="E81" s="80"/>
      <c r="F81" s="80"/>
      <c r="G81" s="80"/>
      <c r="H81" s="80"/>
      <c r="I81" s="80"/>
      <c r="J81" s="80"/>
      <c r="K81" s="80"/>
      <c r="L81" s="80"/>
      <c r="M81" s="80"/>
      <c r="N81" s="80"/>
      <c r="O81" s="80"/>
      <c r="P81" s="80"/>
      <c r="Q81" s="80"/>
      <c r="R81" s="80"/>
      <c r="S81" s="80"/>
      <c r="T81" s="80"/>
      <c r="U81" s="80"/>
      <c r="V81" s="80"/>
      <c r="W81" s="80"/>
      <c r="X81" s="80"/>
      <c r="Y81" s="80"/>
      <c r="Z81" s="80"/>
      <c r="AA81" s="80"/>
    </row>
    <row r="82" spans="2:27" ht="12.75" customHeight="1">
      <c r="B82" s="79"/>
      <c r="C82" s="80"/>
      <c r="D82" s="80"/>
      <c r="E82" s="80"/>
      <c r="F82" s="80"/>
      <c r="G82" s="80"/>
      <c r="H82" s="80"/>
      <c r="I82" s="80"/>
      <c r="J82" s="80"/>
      <c r="K82" s="80"/>
      <c r="L82" s="80"/>
      <c r="M82" s="80"/>
      <c r="N82" s="80"/>
      <c r="O82" s="80"/>
      <c r="P82" s="80"/>
      <c r="Q82" s="80"/>
      <c r="R82" s="80"/>
      <c r="S82" s="80"/>
      <c r="T82" s="80"/>
      <c r="U82" s="80"/>
      <c r="V82" s="80"/>
      <c r="W82" s="80"/>
      <c r="X82" s="80"/>
      <c r="Y82" s="80"/>
      <c r="Z82" s="80"/>
      <c r="AA82" s="80"/>
    </row>
    <row r="83" spans="2:27" ht="12.75" customHeight="1">
      <c r="B83" s="79"/>
      <c r="C83" s="80"/>
      <c r="D83" s="80"/>
      <c r="E83" s="80"/>
      <c r="F83" s="80"/>
      <c r="G83" s="80"/>
      <c r="H83" s="80"/>
      <c r="I83" s="80"/>
      <c r="J83" s="80"/>
      <c r="K83" s="80"/>
      <c r="L83" s="80"/>
      <c r="M83" s="80"/>
      <c r="N83" s="80"/>
      <c r="O83" s="80"/>
      <c r="P83" s="80"/>
      <c r="Q83" s="80"/>
      <c r="R83" s="80"/>
      <c r="S83" s="80"/>
      <c r="T83" s="80"/>
      <c r="U83" s="80"/>
      <c r="V83" s="80"/>
      <c r="W83" s="80"/>
      <c r="X83" s="80"/>
      <c r="Y83" s="80"/>
      <c r="Z83" s="80"/>
      <c r="AA83" s="80"/>
    </row>
    <row r="84" spans="2:27" ht="12.75" customHeight="1">
      <c r="B84" s="79"/>
      <c r="C84" s="80"/>
      <c r="D84" s="80"/>
      <c r="E84" s="80"/>
      <c r="F84" s="80"/>
      <c r="G84" s="80"/>
      <c r="H84" s="80"/>
      <c r="I84" s="80"/>
      <c r="J84" s="80"/>
      <c r="K84" s="80"/>
      <c r="L84" s="80"/>
      <c r="M84" s="80"/>
      <c r="N84" s="80"/>
      <c r="O84" s="80"/>
      <c r="P84" s="80"/>
      <c r="Q84" s="80"/>
      <c r="R84" s="80"/>
      <c r="S84" s="80"/>
      <c r="T84" s="80"/>
      <c r="U84" s="80"/>
      <c r="V84" s="80"/>
      <c r="W84" s="80"/>
      <c r="X84" s="80"/>
      <c r="Y84" s="80"/>
      <c r="Z84" s="80"/>
      <c r="AA84" s="80"/>
    </row>
    <row r="85" spans="2:27" ht="12.75" customHeight="1">
      <c r="B85" s="79"/>
      <c r="C85" s="80"/>
      <c r="D85" s="80"/>
      <c r="E85" s="80"/>
      <c r="F85" s="80"/>
      <c r="G85" s="80"/>
      <c r="H85" s="80"/>
      <c r="I85" s="80"/>
      <c r="J85" s="80"/>
      <c r="K85" s="80"/>
      <c r="L85" s="80"/>
      <c r="M85" s="80"/>
      <c r="N85" s="80"/>
      <c r="O85" s="80"/>
      <c r="P85" s="80"/>
      <c r="Q85" s="80"/>
      <c r="R85" s="80"/>
      <c r="S85" s="80"/>
      <c r="T85" s="80"/>
      <c r="U85" s="80"/>
      <c r="V85" s="80"/>
      <c r="W85" s="80"/>
      <c r="X85" s="80"/>
      <c r="Y85" s="80"/>
      <c r="Z85" s="80"/>
      <c r="AA85" s="80"/>
    </row>
    <row r="86" spans="2:27" ht="12.75" customHeight="1">
      <c r="B86" s="79"/>
      <c r="C86" s="80"/>
      <c r="D86" s="80"/>
      <c r="E86" s="80"/>
      <c r="F86" s="80"/>
      <c r="G86" s="80"/>
      <c r="H86" s="80"/>
      <c r="I86" s="80"/>
      <c r="J86" s="80"/>
      <c r="K86" s="80"/>
      <c r="L86" s="80"/>
      <c r="M86" s="80"/>
      <c r="N86" s="80"/>
      <c r="O86" s="80"/>
      <c r="P86" s="80"/>
      <c r="Q86" s="80"/>
      <c r="R86" s="80"/>
      <c r="S86" s="80"/>
      <c r="T86" s="80"/>
      <c r="U86" s="80"/>
      <c r="V86" s="80"/>
      <c r="W86" s="80"/>
      <c r="X86" s="80"/>
      <c r="Y86" s="80"/>
      <c r="Z86" s="80"/>
      <c r="AA86" s="80"/>
    </row>
    <row r="87" spans="2:27" ht="12.75" customHeight="1">
      <c r="B87" s="79"/>
      <c r="C87" s="80"/>
      <c r="D87" s="80"/>
      <c r="E87" s="80"/>
      <c r="F87" s="80"/>
      <c r="G87" s="80"/>
      <c r="H87" s="80"/>
      <c r="I87" s="80"/>
      <c r="J87" s="80"/>
      <c r="K87" s="80"/>
      <c r="L87" s="80"/>
      <c r="M87" s="80"/>
      <c r="N87" s="80"/>
      <c r="O87" s="80"/>
      <c r="P87" s="80"/>
      <c r="Q87" s="80"/>
      <c r="R87" s="80"/>
      <c r="S87" s="80"/>
      <c r="T87" s="80"/>
      <c r="U87" s="80"/>
      <c r="V87" s="80"/>
      <c r="W87" s="80"/>
      <c r="X87" s="80"/>
      <c r="Y87" s="80"/>
      <c r="Z87" s="80"/>
      <c r="AA87" s="80"/>
    </row>
    <row r="88" spans="2:27" ht="12.75" customHeight="1">
      <c r="B88" s="79"/>
      <c r="C88" s="80"/>
      <c r="D88" s="80"/>
      <c r="E88" s="80"/>
      <c r="F88" s="80"/>
      <c r="G88" s="80"/>
      <c r="H88" s="80"/>
      <c r="I88" s="80"/>
      <c r="J88" s="80"/>
      <c r="K88" s="80"/>
      <c r="L88" s="80"/>
      <c r="M88" s="80"/>
      <c r="N88" s="80"/>
      <c r="O88" s="80"/>
      <c r="P88" s="80"/>
      <c r="Q88" s="80"/>
      <c r="R88" s="80"/>
      <c r="S88" s="80"/>
      <c r="T88" s="80"/>
      <c r="U88" s="80"/>
      <c r="V88" s="80"/>
      <c r="W88" s="80"/>
      <c r="X88" s="80"/>
      <c r="Y88" s="80"/>
      <c r="Z88" s="80"/>
      <c r="AA88" s="80"/>
    </row>
    <row r="89" spans="2:27" ht="12.75" customHeight="1">
      <c r="B89" s="79"/>
      <c r="C89" s="80"/>
      <c r="D89" s="80"/>
      <c r="E89" s="80"/>
      <c r="F89" s="80"/>
      <c r="G89" s="80"/>
      <c r="H89" s="80"/>
      <c r="I89" s="80"/>
      <c r="J89" s="80"/>
      <c r="K89" s="80"/>
      <c r="L89" s="80"/>
      <c r="M89" s="80"/>
      <c r="N89" s="80"/>
      <c r="O89" s="80"/>
      <c r="P89" s="80"/>
      <c r="Q89" s="80"/>
      <c r="R89" s="80"/>
      <c r="S89" s="80"/>
      <c r="T89" s="80"/>
      <c r="U89" s="80"/>
      <c r="V89" s="80"/>
      <c r="W89" s="80"/>
      <c r="X89" s="80"/>
      <c r="Y89" s="80"/>
      <c r="Z89" s="80"/>
      <c r="AA89" s="80"/>
    </row>
    <row r="90" spans="2:27" ht="12.75" customHeight="1">
      <c r="B90" s="79"/>
      <c r="C90" s="80"/>
      <c r="D90" s="80"/>
      <c r="E90" s="80"/>
      <c r="F90" s="80"/>
      <c r="G90" s="80"/>
      <c r="H90" s="80"/>
      <c r="I90" s="80"/>
      <c r="J90" s="80"/>
      <c r="K90" s="80"/>
      <c r="L90" s="80"/>
      <c r="M90" s="80"/>
      <c r="N90" s="80"/>
      <c r="O90" s="80"/>
      <c r="P90" s="80"/>
      <c r="Q90" s="80"/>
      <c r="R90" s="80"/>
      <c r="S90" s="80"/>
      <c r="T90" s="80"/>
      <c r="U90" s="80"/>
      <c r="V90" s="80"/>
      <c r="W90" s="80"/>
      <c r="X90" s="80"/>
      <c r="Y90" s="80"/>
      <c r="Z90" s="80"/>
      <c r="AA90" s="80"/>
    </row>
    <row r="91" spans="2:27" ht="12.75" customHeight="1">
      <c r="B91" s="79"/>
      <c r="C91" s="80"/>
      <c r="D91" s="80"/>
      <c r="E91" s="80"/>
      <c r="F91" s="80"/>
      <c r="G91" s="80"/>
      <c r="H91" s="80"/>
      <c r="I91" s="80"/>
      <c r="J91" s="80"/>
      <c r="K91" s="80"/>
      <c r="L91" s="80"/>
      <c r="M91" s="80"/>
      <c r="N91" s="80"/>
      <c r="O91" s="80"/>
      <c r="P91" s="80"/>
      <c r="Q91" s="80"/>
      <c r="R91" s="80"/>
      <c r="S91" s="80"/>
      <c r="T91" s="80"/>
      <c r="U91" s="80"/>
      <c r="V91" s="80"/>
      <c r="W91" s="80"/>
      <c r="X91" s="80"/>
      <c r="Y91" s="80"/>
      <c r="Z91" s="80"/>
      <c r="AA91" s="80"/>
    </row>
    <row r="92" spans="2:27" ht="12.75" customHeight="1">
      <c r="B92" s="79"/>
      <c r="C92" s="80"/>
      <c r="D92" s="80"/>
      <c r="E92" s="80"/>
      <c r="F92" s="80"/>
      <c r="G92" s="80"/>
      <c r="H92" s="80"/>
      <c r="I92" s="80"/>
      <c r="J92" s="80"/>
      <c r="K92" s="80"/>
      <c r="L92" s="80"/>
      <c r="M92" s="80"/>
      <c r="N92" s="80"/>
      <c r="O92" s="80"/>
      <c r="P92" s="80"/>
      <c r="Q92" s="80"/>
      <c r="R92" s="80"/>
      <c r="S92" s="80"/>
      <c r="T92" s="80"/>
      <c r="U92" s="80"/>
      <c r="V92" s="80"/>
      <c r="W92" s="80"/>
      <c r="X92" s="80"/>
      <c r="Y92" s="80"/>
      <c r="Z92" s="80"/>
      <c r="AA92" s="80"/>
    </row>
    <row r="93" spans="2:27" ht="12.75" customHeight="1">
      <c r="B93" s="79"/>
      <c r="C93" s="80"/>
      <c r="D93" s="80"/>
      <c r="E93" s="80"/>
      <c r="F93" s="80"/>
      <c r="G93" s="80"/>
      <c r="H93" s="80"/>
      <c r="I93" s="80"/>
      <c r="J93" s="80"/>
      <c r="K93" s="80"/>
      <c r="L93" s="80"/>
      <c r="M93" s="80"/>
      <c r="N93" s="80"/>
      <c r="O93" s="80"/>
      <c r="P93" s="80"/>
      <c r="Q93" s="80"/>
      <c r="R93" s="80"/>
      <c r="S93" s="80"/>
      <c r="T93" s="80"/>
      <c r="U93" s="80"/>
      <c r="V93" s="80"/>
      <c r="W93" s="80"/>
      <c r="X93" s="80"/>
      <c r="Y93" s="80"/>
      <c r="Z93" s="80"/>
      <c r="AA93" s="80"/>
    </row>
    <row r="94" spans="2:27" ht="12.75" customHeight="1">
      <c r="B94" s="79"/>
      <c r="C94" s="80"/>
      <c r="D94" s="80"/>
      <c r="E94" s="80"/>
      <c r="F94" s="80"/>
      <c r="G94" s="80"/>
      <c r="H94" s="80"/>
      <c r="I94" s="80"/>
      <c r="J94" s="80"/>
      <c r="K94" s="80"/>
      <c r="L94" s="80"/>
      <c r="M94" s="80"/>
      <c r="N94" s="80"/>
      <c r="O94" s="80"/>
      <c r="P94" s="80"/>
      <c r="Q94" s="80"/>
      <c r="R94" s="80"/>
      <c r="S94" s="80"/>
      <c r="T94" s="80"/>
      <c r="U94" s="80"/>
      <c r="V94" s="80"/>
      <c r="W94" s="80"/>
      <c r="X94" s="80"/>
      <c r="Y94" s="80"/>
      <c r="Z94" s="80"/>
      <c r="AA94" s="80"/>
    </row>
    <row r="95" spans="2:27" ht="12.75" customHeight="1">
      <c r="B95" s="79"/>
      <c r="C95" s="80"/>
      <c r="D95" s="80"/>
      <c r="E95" s="80"/>
      <c r="F95" s="80"/>
      <c r="G95" s="80"/>
      <c r="H95" s="80"/>
      <c r="I95" s="80"/>
      <c r="J95" s="80"/>
      <c r="K95" s="80"/>
      <c r="L95" s="80"/>
      <c r="M95" s="80"/>
      <c r="N95" s="80"/>
      <c r="O95" s="80"/>
      <c r="P95" s="80"/>
      <c r="Q95" s="80"/>
      <c r="R95" s="80"/>
      <c r="S95" s="80"/>
      <c r="T95" s="80"/>
      <c r="U95" s="80"/>
      <c r="V95" s="80"/>
      <c r="W95" s="80"/>
      <c r="X95" s="80"/>
      <c r="Y95" s="80"/>
      <c r="Z95" s="80"/>
      <c r="AA95" s="80"/>
    </row>
    <row r="96" spans="2:27" ht="12.75" customHeight="1">
      <c r="B96" s="79"/>
      <c r="C96" s="80"/>
      <c r="D96" s="80"/>
      <c r="E96" s="80"/>
      <c r="F96" s="80"/>
      <c r="G96" s="80"/>
      <c r="H96" s="80"/>
      <c r="I96" s="80"/>
      <c r="J96" s="80"/>
      <c r="K96" s="80"/>
      <c r="L96" s="80"/>
      <c r="M96" s="80"/>
      <c r="N96" s="80"/>
      <c r="O96" s="80"/>
      <c r="P96" s="80"/>
      <c r="Q96" s="80"/>
      <c r="R96" s="80"/>
      <c r="S96" s="80"/>
      <c r="T96" s="80"/>
      <c r="U96" s="80"/>
      <c r="V96" s="80"/>
      <c r="W96" s="80"/>
      <c r="X96" s="80"/>
      <c r="Y96" s="80"/>
      <c r="Z96" s="80"/>
      <c r="AA96" s="80"/>
    </row>
    <row r="97" spans="2:27" ht="12.75" customHeight="1">
      <c r="B97" s="79"/>
      <c r="C97" s="80"/>
      <c r="D97" s="80"/>
      <c r="E97" s="80"/>
      <c r="F97" s="80"/>
      <c r="G97" s="80"/>
      <c r="H97" s="80"/>
      <c r="I97" s="80"/>
      <c r="J97" s="80"/>
      <c r="K97" s="80"/>
      <c r="L97" s="80"/>
      <c r="M97" s="80"/>
      <c r="N97" s="80"/>
      <c r="O97" s="80"/>
      <c r="P97" s="80"/>
      <c r="Q97" s="80"/>
      <c r="R97" s="80"/>
      <c r="S97" s="80"/>
      <c r="T97" s="80"/>
      <c r="U97" s="80"/>
      <c r="V97" s="80"/>
      <c r="W97" s="80"/>
      <c r="X97" s="80"/>
      <c r="Y97" s="80"/>
      <c r="Z97" s="80"/>
      <c r="AA97" s="80"/>
    </row>
    <row r="98" spans="2:27" ht="12.75" customHeight="1">
      <c r="B98" s="79"/>
      <c r="C98" s="80"/>
      <c r="D98" s="80"/>
      <c r="E98" s="80"/>
      <c r="F98" s="80"/>
      <c r="G98" s="80"/>
      <c r="H98" s="80"/>
      <c r="I98" s="80"/>
      <c r="J98" s="80"/>
      <c r="K98" s="80"/>
      <c r="L98" s="80"/>
      <c r="M98" s="80"/>
      <c r="N98" s="80"/>
      <c r="O98" s="80"/>
      <c r="P98" s="80"/>
      <c r="Q98" s="80"/>
      <c r="R98" s="80"/>
      <c r="S98" s="80"/>
      <c r="T98" s="80"/>
      <c r="U98" s="80"/>
      <c r="V98" s="80"/>
      <c r="W98" s="80"/>
      <c r="X98" s="80"/>
      <c r="Y98" s="80"/>
      <c r="Z98" s="80"/>
      <c r="AA98" s="80"/>
    </row>
    <row r="99" spans="2:27" ht="12.75" customHeight="1">
      <c r="B99" s="79"/>
      <c r="C99" s="80"/>
      <c r="D99" s="80"/>
      <c r="E99" s="80"/>
      <c r="F99" s="80"/>
      <c r="G99" s="80"/>
      <c r="H99" s="80"/>
      <c r="I99" s="80"/>
      <c r="J99" s="80"/>
      <c r="K99" s="80"/>
      <c r="L99" s="80"/>
      <c r="M99" s="80"/>
      <c r="N99" s="80"/>
      <c r="O99" s="80"/>
      <c r="P99" s="80"/>
      <c r="Q99" s="80"/>
      <c r="R99" s="80"/>
      <c r="S99" s="80"/>
      <c r="T99" s="80"/>
      <c r="U99" s="80"/>
      <c r="V99" s="80"/>
      <c r="W99" s="80"/>
      <c r="X99" s="80"/>
      <c r="Y99" s="80"/>
      <c r="Z99" s="80"/>
      <c r="AA99" s="80"/>
    </row>
    <row r="100" spans="2:27" ht="12.75" customHeight="1">
      <c r="B100" s="79"/>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c r="AA100" s="80"/>
    </row>
    <row r="101" spans="2:27" ht="12.75" customHeight="1">
      <c r="B101" s="79"/>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c r="AA101" s="80"/>
    </row>
    <row r="102" spans="2:27" ht="12.75" customHeight="1">
      <c r="B102" s="79"/>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c r="AA102" s="80"/>
    </row>
    <row r="103" spans="2:27" ht="12.75" customHeight="1">
      <c r="B103" s="79"/>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c r="AA103" s="80"/>
    </row>
    <row r="104" spans="2:27" ht="12.75" customHeight="1">
      <c r="B104" s="79"/>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c r="AA104" s="80"/>
    </row>
    <row r="105" spans="2:27" ht="12.75" customHeight="1">
      <c r="B105" s="79"/>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c r="AA105" s="80"/>
    </row>
    <row r="106" spans="2:27" ht="12.75" customHeight="1">
      <c r="B106" s="79"/>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c r="AA106" s="80"/>
    </row>
    <row r="107" spans="2:27" ht="12.75" customHeight="1">
      <c r="B107" s="79"/>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c r="AA107" s="80"/>
    </row>
    <row r="108" spans="2:27" ht="12.75" customHeight="1">
      <c r="B108" s="79"/>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c r="AA108" s="80"/>
    </row>
    <row r="109" spans="2:27" ht="12.75" customHeight="1">
      <c r="B109" s="79"/>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c r="AA109" s="80"/>
    </row>
    <row r="110" spans="2:27" ht="12.75" customHeight="1">
      <c r="B110" s="79"/>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c r="AA110" s="80"/>
    </row>
    <row r="111" spans="2:27" ht="12.75" customHeight="1">
      <c r="B111" s="79"/>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c r="AA111" s="80"/>
    </row>
    <row r="112" spans="2:27" ht="12.75" customHeight="1">
      <c r="B112" s="79"/>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c r="AA112" s="80"/>
    </row>
    <row r="113" spans="2:27" ht="12.75" customHeight="1">
      <c r="B113" s="79"/>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c r="AA113" s="80"/>
    </row>
    <row r="114" spans="2:27" ht="12.75" customHeight="1">
      <c r="B114" s="79"/>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c r="AA114" s="80"/>
    </row>
    <row r="115" spans="2:27" ht="12.75" customHeight="1">
      <c r="B115" s="79"/>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c r="AA115" s="80"/>
    </row>
    <row r="116" spans="2:27" ht="12.75" customHeight="1">
      <c r="B116" s="79"/>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c r="AA116" s="80"/>
    </row>
    <row r="117" spans="2:27" ht="12.75" customHeight="1">
      <c r="B117" s="79"/>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row>
    <row r="118" spans="2:27" ht="12.75" customHeight="1">
      <c r="B118" s="79"/>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c r="AA118" s="80"/>
    </row>
    <row r="119" spans="2:27" ht="12.75" customHeight="1">
      <c r="B119" s="79"/>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row>
    <row r="120" spans="2:27" ht="12.75" customHeight="1">
      <c r="B120" s="79"/>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c r="AA120" s="80"/>
    </row>
    <row r="121" spans="2:27" ht="12.75" customHeight="1">
      <c r="B121" s="79"/>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row>
    <row r="122" spans="2:27" ht="12.75" customHeight="1">
      <c r="B122" s="79"/>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row>
    <row r="123" spans="2:27" ht="12.75" customHeight="1">
      <c r="B123" s="79"/>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row>
    <row r="124" spans="2:27" ht="12.75" customHeight="1">
      <c r="B124" s="79"/>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c r="AA124" s="80"/>
    </row>
    <row r="125" spans="2:27" ht="12.75" customHeight="1">
      <c r="B125" s="79"/>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c r="AA125" s="80"/>
    </row>
    <row r="126" spans="2:27" ht="12.75" customHeight="1">
      <c r="B126" s="79"/>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c r="AA126" s="80"/>
    </row>
    <row r="127" spans="2:27" ht="12.75" customHeight="1">
      <c r="B127" s="79"/>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c r="AA127" s="80"/>
    </row>
    <row r="128" spans="2:27" ht="12.75" customHeight="1">
      <c r="B128" s="79"/>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c r="AA128" s="80"/>
    </row>
    <row r="129" spans="2:27" ht="12.75" customHeight="1">
      <c r="B129" s="79"/>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c r="AA129" s="80"/>
    </row>
    <row r="130" spans="2:27" ht="12.75" customHeight="1">
      <c r="B130" s="79"/>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c r="AA130" s="80"/>
    </row>
    <row r="131" spans="2:27" ht="12.75" customHeight="1">
      <c r="B131" s="79"/>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c r="AA131" s="80"/>
    </row>
    <row r="132" spans="2:27" ht="12.75" customHeight="1">
      <c r="B132" s="79"/>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c r="AA132" s="80"/>
    </row>
    <row r="133" spans="2:27" ht="12.75" customHeight="1">
      <c r="B133" s="79"/>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c r="AA133" s="80"/>
    </row>
    <row r="134" spans="2:27" ht="12.75" customHeight="1">
      <c r="B134" s="79"/>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c r="AA134" s="80"/>
    </row>
    <row r="135" spans="2:27" ht="12.75" customHeight="1">
      <c r="B135" s="79"/>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c r="AA135" s="80"/>
    </row>
    <row r="136" spans="2:27" ht="12.75" customHeight="1">
      <c r="B136" s="79"/>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c r="AA136" s="80"/>
    </row>
    <row r="137" spans="2:27" ht="12.75" customHeight="1">
      <c r="B137" s="79"/>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c r="AA137" s="80"/>
    </row>
    <row r="138" spans="2:27" ht="12.75" customHeight="1">
      <c r="B138" s="79"/>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c r="AA138" s="80"/>
    </row>
    <row r="139" spans="2:27" ht="12.75" customHeight="1">
      <c r="B139" s="79"/>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c r="AA139" s="80"/>
    </row>
    <row r="140" spans="2:27" ht="12.75" customHeight="1">
      <c r="B140" s="79"/>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c r="AA140" s="80"/>
    </row>
    <row r="141" spans="2:27" ht="12.75" customHeight="1">
      <c r="B141" s="79"/>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c r="AA141" s="80"/>
    </row>
    <row r="142" spans="2:27" ht="12.75" customHeight="1">
      <c r="B142" s="79"/>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c r="AA142" s="80"/>
    </row>
    <row r="143" spans="2:27" ht="12.75" customHeight="1">
      <c r="B143" s="79"/>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c r="AA143" s="80"/>
    </row>
    <row r="144" spans="2:27" ht="12.75" customHeight="1">
      <c r="B144" s="79"/>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c r="AA144" s="80"/>
    </row>
    <row r="145" spans="2:27" ht="12.75" customHeight="1">
      <c r="B145" s="79"/>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row>
    <row r="146" spans="2:27" ht="12.75" customHeight="1">
      <c r="B146" s="79"/>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row>
    <row r="147" spans="2:27" ht="12.75" customHeight="1">
      <c r="B147" s="79"/>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row>
    <row r="148" spans="2:27" ht="12.75" customHeight="1">
      <c r="B148" s="79"/>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row>
    <row r="149" spans="2:27" ht="12.75" customHeight="1">
      <c r="B149" s="79"/>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c r="AA149" s="80"/>
    </row>
    <row r="150" spans="2:27" ht="12.75" customHeight="1">
      <c r="B150" s="79"/>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c r="AA150" s="80"/>
    </row>
    <row r="151" spans="2:27" ht="12.75" customHeight="1">
      <c r="B151" s="79"/>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row>
    <row r="152" spans="2:27" ht="12.75" customHeight="1">
      <c r="B152" s="79"/>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row>
    <row r="153" spans="2:27" ht="12.75" customHeight="1">
      <c r="B153" s="79"/>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c r="AA153" s="80"/>
    </row>
    <row r="154" spans="2:27" ht="12.75" customHeight="1">
      <c r="B154" s="79"/>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c r="AA154" s="80"/>
    </row>
    <row r="155" spans="2:27" ht="12.75" customHeight="1">
      <c r="B155" s="79"/>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c r="AA155" s="80"/>
    </row>
    <row r="156" spans="2:27" ht="12.75" customHeight="1">
      <c r="B156" s="79"/>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c r="AA156" s="80"/>
    </row>
    <row r="157" spans="2:27" ht="12.75" customHeight="1">
      <c r="B157" s="79"/>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c r="AA157" s="80"/>
    </row>
    <row r="158" spans="2:27" ht="12.75" customHeight="1">
      <c r="B158" s="79"/>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row>
    <row r="159" spans="2:27" ht="12.75" customHeight="1">
      <c r="B159" s="79"/>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c r="AA159" s="80"/>
    </row>
    <row r="160" spans="2:27" ht="12.75" customHeight="1">
      <c r="B160" s="79"/>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c r="AA160" s="80"/>
    </row>
    <row r="161" spans="2:27" ht="12.75" customHeight="1">
      <c r="B161" s="79"/>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c r="AA161" s="80"/>
    </row>
    <row r="162" spans="2:27" ht="12.75" customHeight="1">
      <c r="B162" s="79"/>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row>
    <row r="163" spans="2:27" ht="12.75" customHeight="1">
      <c r="B163" s="79"/>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c r="AA163" s="80"/>
    </row>
    <row r="164" spans="2:27" ht="12.75" customHeight="1">
      <c r="B164" s="79"/>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c r="AA164" s="80"/>
    </row>
    <row r="165" spans="2:27" ht="12.75" customHeight="1">
      <c r="B165" s="79"/>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c r="AA165" s="80"/>
    </row>
    <row r="166" spans="2:27" ht="12.75" customHeight="1">
      <c r="B166" s="79"/>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c r="AA166" s="80"/>
    </row>
    <row r="167" spans="2:27" ht="12.75" customHeight="1">
      <c r="B167" s="79"/>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c r="AA167" s="80"/>
    </row>
    <row r="168" spans="2:27" ht="12.75" customHeight="1">
      <c r="B168" s="79"/>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c r="AA168" s="80"/>
    </row>
    <row r="169" spans="2:27" ht="12.75" customHeight="1">
      <c r="B169" s="79"/>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c r="AA169" s="80"/>
    </row>
    <row r="170" spans="2:27" ht="12.75" customHeight="1">
      <c r="B170" s="79"/>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row>
    <row r="171" spans="2:27" ht="12.75" customHeight="1">
      <c r="B171" s="79"/>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c r="AA171" s="80"/>
    </row>
    <row r="172" spans="2:27" ht="12.75" customHeight="1">
      <c r="B172" s="79"/>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row>
    <row r="173" spans="2:27" ht="12.75" customHeight="1">
      <c r="B173" s="79"/>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row>
    <row r="174" spans="2:27" ht="12.75" customHeight="1">
      <c r="B174" s="79"/>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row>
    <row r="175" spans="2:27" ht="12.75" customHeight="1">
      <c r="B175" s="79"/>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c r="AA175" s="80"/>
    </row>
    <row r="176" spans="2:27" ht="12.75" customHeight="1">
      <c r="B176" s="79"/>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c r="AA176" s="80"/>
    </row>
    <row r="177" spans="2:27" ht="12.75" customHeight="1">
      <c r="B177" s="79"/>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c r="AA177" s="80"/>
    </row>
    <row r="178" spans="2:27" ht="12.75" customHeight="1">
      <c r="B178" s="79"/>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c r="AA178" s="80"/>
    </row>
    <row r="179" spans="2:27" ht="12.75" customHeight="1">
      <c r="B179" s="79"/>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c r="AA179" s="80"/>
    </row>
    <row r="180" spans="2:27" ht="12.75" customHeight="1">
      <c r="B180" s="79"/>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c r="AA180" s="80"/>
    </row>
    <row r="181" spans="2:27" ht="12.75" customHeight="1">
      <c r="B181" s="79"/>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c r="AA181" s="80"/>
    </row>
    <row r="182" spans="2:27" ht="12.75" customHeight="1">
      <c r="B182" s="79"/>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c r="AA182" s="80"/>
    </row>
    <row r="183" spans="2:27" ht="12.75" customHeight="1">
      <c r="B183" s="79"/>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c r="AA183" s="80"/>
    </row>
    <row r="184" spans="2:27" ht="12.75" customHeight="1">
      <c r="B184" s="79"/>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c r="AA184" s="80"/>
    </row>
    <row r="185" spans="2:27" ht="12.75" customHeight="1">
      <c r="B185" s="79"/>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c r="AA185" s="80"/>
    </row>
    <row r="186" spans="2:27" ht="12.75" customHeight="1">
      <c r="B186" s="79"/>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c r="AA186" s="80"/>
    </row>
    <row r="187" spans="2:27" ht="12.75" customHeight="1">
      <c r="B187" s="79"/>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c r="AA187" s="80"/>
    </row>
    <row r="188" spans="2:27" ht="12.75" customHeight="1">
      <c r="B188" s="79"/>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c r="AA188" s="80"/>
    </row>
    <row r="189" spans="2:27" ht="12.75" customHeight="1">
      <c r="B189" s="79"/>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c r="AA189" s="80"/>
    </row>
    <row r="190" spans="2:27" ht="12.75" customHeight="1">
      <c r="B190" s="79"/>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c r="AA190" s="80"/>
    </row>
    <row r="191" spans="2:27" ht="12.75" customHeight="1">
      <c r="B191" s="79"/>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c r="AA191" s="80"/>
    </row>
    <row r="192" spans="2:27" ht="12.75" customHeight="1">
      <c r="B192" s="79"/>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c r="AA192" s="80"/>
    </row>
    <row r="193" spans="2:27" ht="12.75" customHeight="1">
      <c r="B193" s="79"/>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c r="AA193" s="80"/>
    </row>
    <row r="194" spans="2:27" ht="12.75" customHeight="1">
      <c r="B194" s="79"/>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c r="AA194" s="80"/>
    </row>
    <row r="195" spans="2:27" ht="12.75" customHeight="1">
      <c r="B195" s="79"/>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c r="AA195" s="80"/>
    </row>
    <row r="196" spans="2:27" ht="12.75" customHeight="1">
      <c r="B196" s="79"/>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c r="AA196" s="80"/>
    </row>
    <row r="197" spans="2:27" ht="12.75" customHeight="1">
      <c r="B197" s="79"/>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c r="AA197" s="80"/>
    </row>
    <row r="198" spans="2:27" ht="12.75" customHeight="1">
      <c r="B198" s="79"/>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c r="AA198" s="80"/>
    </row>
    <row r="199" spans="2:27" ht="12.75" customHeight="1">
      <c r="B199" s="79"/>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c r="AA199" s="80"/>
    </row>
    <row r="200" spans="2:27" ht="12.75" customHeight="1">
      <c r="B200" s="79"/>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c r="AA200" s="80"/>
    </row>
    <row r="201" spans="2:27" ht="12.75" customHeight="1">
      <c r="B201" s="79"/>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c r="AA201" s="80"/>
    </row>
    <row r="202" spans="2:27" ht="12.75" customHeight="1">
      <c r="B202" s="79"/>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c r="AA202" s="80"/>
    </row>
    <row r="203" spans="2:27" ht="12.75" customHeight="1">
      <c r="B203" s="79"/>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c r="AA203" s="80"/>
    </row>
    <row r="204" spans="2:27" ht="12.75" customHeight="1">
      <c r="B204" s="79"/>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c r="AA204" s="80"/>
    </row>
    <row r="205" spans="2:27" ht="12.75" customHeight="1">
      <c r="B205" s="79"/>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row>
    <row r="206" spans="2:27" ht="12.75" customHeight="1">
      <c r="B206" s="79"/>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c r="AA206" s="80"/>
    </row>
    <row r="207" spans="2:27" ht="12.75" customHeight="1">
      <c r="B207" s="79"/>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c r="AA207" s="80"/>
    </row>
    <row r="208" spans="2:27" ht="12.75" customHeight="1">
      <c r="B208" s="79"/>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c r="AA208" s="80"/>
    </row>
    <row r="209" spans="2:27" ht="12.75" customHeight="1">
      <c r="B209" s="79"/>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c r="AA209" s="80"/>
    </row>
    <row r="210" spans="2:27" ht="12.75" customHeight="1">
      <c r="B210" s="79"/>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row>
    <row r="211" spans="2:27" ht="12.75" customHeight="1">
      <c r="B211" s="79"/>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c r="AA211" s="80"/>
    </row>
    <row r="212" spans="2:27" ht="12.75" customHeight="1">
      <c r="B212" s="79"/>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c r="AA212" s="80"/>
    </row>
    <row r="213" spans="2:27" ht="12.75" customHeight="1">
      <c r="B213" s="79"/>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c r="AA213" s="80"/>
    </row>
    <row r="214" spans="2:27" ht="12.75" customHeight="1">
      <c r="B214" s="79"/>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c r="AA214" s="80"/>
    </row>
    <row r="215" spans="2:27" ht="12.75" customHeight="1">
      <c r="B215" s="79"/>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c r="AA215" s="80"/>
    </row>
    <row r="216" spans="2:27" ht="12.75" customHeight="1">
      <c r="B216" s="79"/>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c r="AA216" s="80"/>
    </row>
    <row r="217" spans="2:27" ht="12.75" customHeight="1">
      <c r="B217" s="79"/>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c r="AA217" s="80"/>
    </row>
    <row r="218" spans="2:27" ht="12.75" customHeight="1">
      <c r="B218" s="79"/>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c r="AA218" s="80"/>
    </row>
    <row r="219" spans="2:27" ht="12.75" customHeight="1">
      <c r="B219" s="79"/>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c r="AA219" s="80"/>
    </row>
    <row r="220" spans="2:27" ht="12.75" customHeight="1">
      <c r="B220" s="79"/>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c r="AA220" s="80"/>
    </row>
    <row r="221" spans="2:27" ht="12.75" customHeight="1">
      <c r="B221" s="79"/>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c r="AA221" s="80"/>
    </row>
    <row r="222" spans="2:27" ht="12.75" customHeight="1">
      <c r="B222" s="79"/>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c r="AA222" s="80"/>
    </row>
    <row r="223" spans="2:27" ht="12.75" customHeight="1">
      <c r="B223" s="79"/>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c r="AA223" s="80"/>
    </row>
    <row r="224" spans="2:27" ht="12.75" customHeight="1">
      <c r="B224" s="79"/>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row>
    <row r="225" spans="2:27" ht="12.75" customHeight="1">
      <c r="B225" s="79"/>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c r="AA225" s="80"/>
    </row>
    <row r="226" spans="2:27" ht="12.75" customHeight="1">
      <c r="B226" s="79"/>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c r="AA226" s="80"/>
    </row>
    <row r="227" spans="2:27" ht="12.75" customHeight="1">
      <c r="B227" s="79"/>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c r="AA227" s="80"/>
    </row>
    <row r="228" spans="2:27" ht="12.75" customHeight="1">
      <c r="B228" s="79"/>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c r="AA228" s="80"/>
    </row>
    <row r="229" spans="2:27" ht="12.75" customHeight="1">
      <c r="B229" s="79"/>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row>
    <row r="230" spans="2:27" ht="12.75" customHeight="1">
      <c r="B230" s="79"/>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c r="AA230" s="80"/>
    </row>
    <row r="231" spans="2:27" ht="12.75" customHeight="1">
      <c r="B231" s="79"/>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c r="AA231" s="80"/>
    </row>
    <row r="232" spans="2:27" ht="12.75" customHeight="1">
      <c r="B232" s="79"/>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c r="AA232" s="80"/>
    </row>
    <row r="233" spans="2:27" ht="12.75" customHeight="1">
      <c r="B233" s="79"/>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c r="AA233" s="80"/>
    </row>
    <row r="234" spans="2:27" ht="12.75" customHeight="1">
      <c r="B234" s="79"/>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row>
    <row r="235" spans="2:27" ht="12.75" customHeight="1">
      <c r="B235" s="79"/>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c r="AA235" s="80"/>
    </row>
    <row r="236" spans="2:27" ht="12.75" customHeight="1">
      <c r="B236" s="79"/>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c r="AA236" s="80"/>
    </row>
    <row r="237" spans="2:27" ht="12.75" customHeight="1">
      <c r="B237" s="79"/>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c r="AA237" s="80"/>
    </row>
    <row r="238" spans="2:27" ht="12.75" customHeight="1">
      <c r="B238" s="79"/>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c r="AA238" s="80"/>
    </row>
    <row r="239" spans="2:27" ht="12.75" customHeight="1">
      <c r="B239" s="79"/>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row>
    <row r="240" spans="2:27" ht="12.75" customHeight="1">
      <c r="B240" s="79"/>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c r="AA240" s="80"/>
    </row>
    <row r="241" spans="2:27" ht="12.75" customHeight="1">
      <c r="B241" s="79"/>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row>
    <row r="242" spans="2:27" ht="12.75" customHeight="1">
      <c r="B242" s="79"/>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row>
    <row r="243" spans="2:27" ht="12.75" customHeight="1">
      <c r="B243" s="79"/>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c r="AA243" s="80"/>
    </row>
    <row r="244" spans="2:27" ht="12.75" customHeight="1">
      <c r="B244" s="79"/>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c r="AA244" s="80"/>
    </row>
    <row r="245" spans="2:27" ht="12.75" customHeight="1">
      <c r="B245" s="79"/>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c r="AA245" s="80"/>
    </row>
    <row r="246" spans="2:27" ht="12.75" customHeight="1">
      <c r="B246" s="79"/>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c r="AA246" s="80"/>
    </row>
    <row r="247" spans="2:27" ht="12.75" customHeight="1">
      <c r="B247" s="79"/>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c r="AA247" s="80"/>
    </row>
    <row r="248" spans="2:27" ht="12.75" customHeight="1">
      <c r="B248" s="79"/>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c r="AA248" s="80"/>
    </row>
    <row r="249" spans="2:27" ht="12.75" customHeight="1">
      <c r="B249" s="79"/>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c r="AA249" s="80"/>
    </row>
    <row r="250" spans="2:27" ht="12.75" customHeight="1">
      <c r="B250" s="79"/>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c r="AA250" s="80"/>
    </row>
    <row r="251" spans="2:27" ht="12.75" customHeight="1">
      <c r="B251" s="79"/>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c r="AA251" s="80"/>
    </row>
    <row r="252" spans="2:27" ht="12.75" customHeight="1">
      <c r="B252" s="79"/>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c r="AA252" s="80"/>
    </row>
    <row r="253" spans="2:27" ht="12.75" customHeight="1">
      <c r="B253" s="79"/>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c r="AA253" s="80"/>
    </row>
    <row r="254" spans="2:27" ht="12.75" customHeight="1">
      <c r="B254" s="79"/>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c r="AA254" s="80"/>
    </row>
    <row r="255" spans="2:27" ht="12.75" customHeight="1">
      <c r="B255" s="79"/>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c r="AA255" s="80"/>
    </row>
    <row r="256" spans="2:27" ht="12.75" customHeight="1">
      <c r="B256" s="79"/>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row>
    <row r="257" spans="2:27" ht="12.75" customHeight="1">
      <c r="B257" s="79"/>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row>
    <row r="258" spans="2:27" ht="12.75" customHeight="1">
      <c r="B258" s="79"/>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row>
    <row r="259" spans="2:27" ht="12.75" customHeight="1">
      <c r="B259" s="79"/>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c r="AA259" s="80"/>
    </row>
    <row r="260" spans="2:27" ht="12.75" customHeight="1">
      <c r="B260" s="79"/>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row>
    <row r="261" spans="2:27" ht="12.75" customHeight="1">
      <c r="B261" s="79"/>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row>
    <row r="262" spans="2:27" ht="12.75" customHeight="1">
      <c r="B262" s="79"/>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row>
    <row r="263" spans="2:27" ht="12.75" customHeight="1">
      <c r="B263" s="79"/>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c r="AA263" s="80"/>
    </row>
    <row r="264" spans="2:27" ht="12.75" customHeight="1">
      <c r="B264" s="79"/>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c r="AA264" s="80"/>
    </row>
    <row r="265" spans="2:27" ht="12.75" customHeight="1">
      <c r="B265" s="79"/>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row>
    <row r="266" spans="2:27" ht="12.75" customHeight="1">
      <c r="B266" s="79"/>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row>
    <row r="267" spans="2:27" ht="12.75" customHeight="1">
      <c r="B267" s="79"/>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row>
    <row r="268" spans="2:27" ht="12.75" customHeight="1">
      <c r="B268" s="79"/>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row>
    <row r="269" spans="2:27" ht="12.75" customHeight="1">
      <c r="B269" s="79"/>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c r="AA269" s="80"/>
    </row>
    <row r="270" spans="2:27" ht="12.75" customHeight="1">
      <c r="B270" s="79"/>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c r="AA270" s="80"/>
    </row>
    <row r="271" spans="2:27" ht="12.75" customHeight="1">
      <c r="B271" s="79"/>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row>
    <row r="272" spans="2:27" ht="12.75" customHeight="1">
      <c r="B272" s="79"/>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c r="AA272" s="80"/>
    </row>
    <row r="273" spans="2:27" ht="12.75" customHeight="1">
      <c r="B273" s="79"/>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row>
    <row r="274" spans="2:27" ht="12.75" customHeight="1">
      <c r="B274" s="79"/>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row>
    <row r="275" spans="2:27" ht="12.75" customHeight="1">
      <c r="B275" s="79"/>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c r="AA275" s="80"/>
    </row>
    <row r="276" spans="2:27" ht="12.75" customHeight="1">
      <c r="B276" s="79"/>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c r="AA276" s="80"/>
    </row>
    <row r="277" spans="2:27" ht="12.75" customHeight="1">
      <c r="B277" s="79"/>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c r="AA277" s="80"/>
    </row>
    <row r="278" spans="2:27" ht="12.75" customHeight="1">
      <c r="B278" s="79"/>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c r="AA278" s="80"/>
    </row>
    <row r="279" spans="2:27" ht="12.75" customHeight="1">
      <c r="B279" s="79"/>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c r="AA279" s="80"/>
    </row>
    <row r="280" spans="2:27" ht="12.75" customHeight="1">
      <c r="B280" s="79"/>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c r="AA280" s="80"/>
    </row>
    <row r="281" spans="2:27" ht="12.75" customHeight="1">
      <c r="B281" s="79"/>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c r="AA281" s="80"/>
    </row>
    <row r="282" spans="2:27" ht="12.75" customHeight="1">
      <c r="B282" s="79"/>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c r="AA282" s="80"/>
    </row>
    <row r="283" spans="2:27" ht="12.75" customHeight="1">
      <c r="B283" s="79"/>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c r="AA283" s="80"/>
    </row>
    <row r="284" spans="2:27" ht="12.75" customHeight="1">
      <c r="B284" s="79"/>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c r="AA284" s="80"/>
    </row>
    <row r="285" spans="2:27" ht="12.75" customHeight="1">
      <c r="B285" s="79"/>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c r="AA285" s="80"/>
    </row>
    <row r="286" spans="2:27" ht="12.75" customHeight="1">
      <c r="B286" s="79"/>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c r="AA286" s="80"/>
    </row>
    <row r="287" spans="2:27" ht="12.75" customHeight="1">
      <c r="B287" s="79"/>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c r="AA287" s="80"/>
    </row>
    <row r="288" spans="2:27" ht="12.75" customHeight="1">
      <c r="B288" s="79"/>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c r="AA288" s="80"/>
    </row>
    <row r="289" spans="2:27" ht="12.75" customHeight="1">
      <c r="B289" s="79"/>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c r="AA289" s="80"/>
    </row>
    <row r="290" spans="2:27" ht="12.75" customHeight="1">
      <c r="B290" s="79"/>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c r="AA290" s="80"/>
    </row>
    <row r="291" spans="2:27" ht="12.75" customHeight="1">
      <c r="B291" s="79"/>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row>
    <row r="292" spans="2:27" ht="12.75" customHeight="1">
      <c r="B292" s="79"/>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c r="AA292" s="80"/>
    </row>
    <row r="293" spans="2:27" ht="12.75" customHeight="1">
      <c r="B293" s="79"/>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c r="AA293" s="80"/>
    </row>
    <row r="294" spans="2:27" ht="12.75" customHeight="1">
      <c r="B294" s="79"/>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row>
    <row r="295" spans="2:27" ht="12.75" customHeight="1">
      <c r="B295" s="79"/>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row>
    <row r="296" spans="2:27" ht="12.75" customHeight="1">
      <c r="B296" s="79"/>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c r="AA296" s="80"/>
    </row>
    <row r="297" spans="2:27" ht="12.75" customHeight="1">
      <c r="B297" s="79"/>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c r="AA297" s="80"/>
    </row>
    <row r="298" spans="2:27" ht="12.75" customHeight="1">
      <c r="B298" s="79"/>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c r="AA298" s="80"/>
    </row>
    <row r="299" spans="2:27" ht="12.75" customHeight="1">
      <c r="B299" s="79"/>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c r="AA299" s="80"/>
    </row>
    <row r="300" spans="2:27" ht="12.75" customHeight="1">
      <c r="B300" s="79"/>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row>
    <row r="301" spans="2:27" ht="12.75" customHeight="1">
      <c r="B301" s="79"/>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c r="AA301" s="80"/>
    </row>
    <row r="302" spans="2:27" ht="12.75" customHeight="1">
      <c r="B302" s="79"/>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c r="AA302" s="80"/>
    </row>
    <row r="303" spans="2:27" ht="12.75" customHeight="1">
      <c r="B303" s="79"/>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c r="AA303" s="80"/>
    </row>
    <row r="304" spans="2:27" ht="12.75" customHeight="1">
      <c r="B304" s="79"/>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c r="AA304" s="80"/>
    </row>
    <row r="305" spans="2:27" ht="12.75" customHeight="1">
      <c r="B305" s="79"/>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c r="AA305" s="80"/>
    </row>
    <row r="306" spans="2:27" ht="12.75" customHeight="1">
      <c r="B306" s="79"/>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c r="AA306" s="80"/>
    </row>
    <row r="307" spans="2:27" ht="12.75" customHeight="1">
      <c r="B307" s="79"/>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c r="AA307" s="80"/>
    </row>
    <row r="308" spans="2:27" ht="12.75" customHeight="1">
      <c r="B308" s="79"/>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c r="AA308" s="80"/>
    </row>
    <row r="309" spans="2:27" ht="12.75" customHeight="1">
      <c r="B309" s="79"/>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row>
    <row r="310" spans="2:27" ht="12.75" customHeight="1">
      <c r="B310" s="79"/>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c r="AA310" s="80"/>
    </row>
    <row r="311" spans="2:27" ht="12.75" customHeight="1">
      <c r="B311" s="79"/>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c r="AA311" s="80"/>
    </row>
    <row r="312" spans="2:27" ht="12.75" customHeight="1">
      <c r="B312" s="79"/>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c r="AA312" s="80"/>
    </row>
    <row r="313" spans="2:27" ht="16.5">
      <c r="B313" s="79"/>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c r="AA313" s="80"/>
    </row>
    <row r="314" spans="2:27" ht="16.5">
      <c r="B314" s="79"/>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c r="AA314" s="80"/>
    </row>
    <row r="315" spans="2:27" ht="16.5">
      <c r="B315" s="79"/>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c r="AA315" s="80"/>
    </row>
    <row r="316" spans="2:27" ht="16.5">
      <c r="B316" s="79"/>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c r="AA316" s="80"/>
    </row>
    <row r="317" spans="2:27" ht="16.5">
      <c r="B317" s="79"/>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c r="AA317" s="80"/>
    </row>
    <row r="318" spans="2:27" ht="16.5">
      <c r="B318" s="79"/>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c r="AA318" s="80"/>
    </row>
    <row r="319" spans="2:27" ht="16.5">
      <c r="B319" s="79"/>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c r="AA319" s="80"/>
    </row>
    <row r="320" spans="2:27" ht="16.5">
      <c r="B320" s="79"/>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c r="AA320" s="80"/>
    </row>
    <row r="321" spans="2:27" ht="16.5">
      <c r="B321" s="79"/>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c r="AA321" s="80"/>
    </row>
    <row r="322" spans="2:27" ht="16.5">
      <c r="B322" s="79"/>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c r="AA322" s="80"/>
    </row>
    <row r="323" spans="2:27" ht="16.5">
      <c r="B323" s="79"/>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c r="AA323" s="80"/>
    </row>
    <row r="324" spans="2:27" ht="16.5">
      <c r="B324" s="79"/>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c r="AA324" s="80"/>
    </row>
    <row r="325" spans="2:27" ht="16.5">
      <c r="B325" s="79"/>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c r="AA325" s="80"/>
    </row>
    <row r="326" spans="2:27" ht="16.5">
      <c r="B326" s="79"/>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c r="AA326" s="80"/>
    </row>
    <row r="327" spans="2:27" ht="16.5">
      <c r="B327" s="79"/>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c r="AA327" s="80"/>
    </row>
    <row r="328" spans="2:27" ht="16.5">
      <c r="B328" s="79"/>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c r="AA328" s="80"/>
    </row>
    <row r="329" spans="2:27" ht="16.5">
      <c r="B329" s="79"/>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c r="AA329" s="80"/>
    </row>
    <row r="330" spans="2:27" ht="16.5">
      <c r="B330" s="79"/>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c r="AA330" s="80"/>
    </row>
    <row r="331" spans="2:27" ht="16.5">
      <c r="B331" s="79"/>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row>
    <row r="332" spans="2:27" ht="16.5">
      <c r="B332" s="79"/>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c r="AA332" s="80"/>
    </row>
    <row r="333" spans="2:27" ht="16.5">
      <c r="B333" s="79"/>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c r="AA333" s="80"/>
    </row>
    <row r="334" spans="2:27" ht="16.5">
      <c r="B334" s="79"/>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c r="AA334" s="80"/>
    </row>
    <row r="335" spans="2:27" ht="16.5">
      <c r="B335" s="79"/>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c r="AA335" s="80"/>
    </row>
    <row r="336" spans="2:27" ht="16.5">
      <c r="B336" s="79"/>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c r="AA336" s="80"/>
    </row>
    <row r="337" spans="2:27" ht="16.5">
      <c r="B337" s="79"/>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c r="AA337" s="80"/>
    </row>
    <row r="338" spans="2:27" ht="16.5">
      <c r="B338" s="79"/>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c r="AA338" s="80"/>
    </row>
    <row r="339" spans="2:27" ht="16.5">
      <c r="B339" s="79"/>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c r="AA339" s="80"/>
    </row>
    <row r="340" spans="2:27" ht="16.5">
      <c r="B340" s="79"/>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c r="AA340" s="80"/>
    </row>
    <row r="341" spans="2:27" ht="16.5">
      <c r="B341" s="79"/>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c r="AA341" s="80"/>
    </row>
    <row r="342" spans="2:27" ht="16.5">
      <c r="B342" s="79"/>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c r="AA342" s="80"/>
    </row>
    <row r="343" spans="2:27" ht="16.5">
      <c r="B343" s="79"/>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c r="AA343" s="80"/>
    </row>
    <row r="344" spans="2:27" ht="16.5">
      <c r="B344" s="79"/>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c r="AA344" s="80"/>
    </row>
    <row r="345" spans="2:27" ht="16.5">
      <c r="B345" s="79"/>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c r="AA345" s="80"/>
    </row>
    <row r="346" spans="2:27" ht="16.5">
      <c r="B346" s="79"/>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c r="AA346" s="80"/>
    </row>
    <row r="347" spans="2:27" ht="16.5">
      <c r="B347" s="79"/>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c r="AA347" s="80"/>
    </row>
    <row r="348" spans="2:27" ht="16.5">
      <c r="B348" s="79"/>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c r="AA348" s="80"/>
    </row>
    <row r="349" spans="2:27" ht="16.5">
      <c r="B349" s="79"/>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c r="AA349" s="80"/>
    </row>
    <row r="350" spans="2:27" ht="16.5">
      <c r="B350" s="79"/>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c r="AA350" s="80"/>
    </row>
    <row r="351" spans="2:27" ht="16.5">
      <c r="B351" s="79"/>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c r="AA351" s="80"/>
    </row>
    <row r="352" spans="2:27" ht="16.5">
      <c r="B352" s="79"/>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c r="AA352" s="80"/>
    </row>
    <row r="353" spans="2:27" ht="16.5">
      <c r="B353" s="79"/>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c r="AA353" s="80"/>
    </row>
    <row r="354" spans="2:27" ht="16.5">
      <c r="B354" s="79"/>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c r="AA354" s="80"/>
    </row>
    <row r="355" spans="2:27" ht="16.5">
      <c r="B355" s="79"/>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c r="AA355" s="80"/>
    </row>
    <row r="356" spans="2:27" ht="16.5">
      <c r="B356" s="79"/>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c r="AA356" s="80"/>
    </row>
    <row r="357" spans="2:27" ht="16.5">
      <c r="B357" s="79"/>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c r="AA357" s="80"/>
    </row>
    <row r="358" spans="2:27" ht="16.5">
      <c r="B358" s="79"/>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c r="AA358" s="80"/>
    </row>
    <row r="359" spans="2:27" ht="16.5">
      <c r="B359" s="79"/>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c r="AA359" s="80"/>
    </row>
    <row r="360" spans="2:27" ht="16.5">
      <c r="B360" s="79"/>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c r="AA360" s="80"/>
    </row>
    <row r="361" spans="2:27" ht="16.5">
      <c r="B361" s="79"/>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c r="AA361" s="80"/>
    </row>
    <row r="362" spans="2:27" ht="16.5">
      <c r="B362" s="79"/>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c r="AA362" s="80"/>
    </row>
    <row r="363" spans="2:27" ht="16.5">
      <c r="B363" s="79"/>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c r="AA363" s="80"/>
    </row>
    <row r="364" spans="2:27" ht="16.5">
      <c r="B364" s="79"/>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c r="AA364" s="80"/>
    </row>
    <row r="365" spans="2:27" ht="16.5">
      <c r="B365" s="79"/>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c r="AA365" s="80"/>
    </row>
    <row r="366" spans="2:27" ht="16.5">
      <c r="B366" s="79"/>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c r="AA366" s="80"/>
    </row>
    <row r="367" spans="2:27" ht="16.5">
      <c r="B367" s="79"/>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c r="AA367" s="80"/>
    </row>
    <row r="368" spans="2:27" ht="16.5">
      <c r="B368" s="79"/>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c r="AA368" s="80"/>
    </row>
    <row r="369" spans="2:27" ht="16.5">
      <c r="B369" s="79"/>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c r="AA369" s="80"/>
    </row>
    <row r="370" spans="2:27" ht="16.5">
      <c r="B370" s="79"/>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c r="AA370" s="80"/>
    </row>
    <row r="371" spans="2:27" ht="16.5">
      <c r="B371" s="79"/>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c r="AA371" s="80"/>
    </row>
    <row r="372" spans="2:27" ht="16.5">
      <c r="B372" s="79"/>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row>
    <row r="373" spans="2:27" ht="16.5">
      <c r="B373" s="79"/>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c r="AA373" s="80"/>
    </row>
    <row r="374" spans="2:27" ht="16.5">
      <c r="B374" s="79"/>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c r="AA374" s="80"/>
    </row>
    <row r="375" spans="2:27" ht="16.5">
      <c r="B375" s="79"/>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c r="AA375" s="80"/>
    </row>
    <row r="376" spans="2:27" ht="16.5">
      <c r="B376" s="79"/>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c r="AA376" s="80"/>
    </row>
    <row r="377" spans="2:27" ht="16.5">
      <c r="B377" s="79"/>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c r="AA377" s="80"/>
    </row>
    <row r="378" spans="2:27" ht="16.5">
      <c r="B378" s="79"/>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c r="AA378" s="80"/>
    </row>
    <row r="379" spans="2:27" ht="16.5">
      <c r="B379" s="79"/>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c r="AA379" s="80"/>
    </row>
    <row r="380" spans="2:27" ht="16.5">
      <c r="B380" s="79"/>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c r="AA380" s="80"/>
    </row>
    <row r="381" spans="2:27" ht="16.5">
      <c r="B381" s="79"/>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c r="AA381" s="80"/>
    </row>
    <row r="382" spans="2:27" ht="16.5">
      <c r="B382" s="79"/>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c r="AA382" s="80"/>
    </row>
    <row r="383" spans="2:27" ht="16.5">
      <c r="B383" s="79"/>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c r="AA383" s="80"/>
    </row>
    <row r="384" spans="2:27" ht="16.5">
      <c r="B384" s="79"/>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c r="AA384" s="80"/>
    </row>
    <row r="385" spans="2:27" ht="16.5">
      <c r="B385" s="79"/>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c r="AA385" s="80"/>
    </row>
    <row r="386" spans="2:27" ht="16.5">
      <c r="B386" s="79"/>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c r="AA386" s="80"/>
    </row>
    <row r="387" spans="2:27" ht="16.5">
      <c r="B387" s="79"/>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c r="AA387" s="80"/>
    </row>
    <row r="388" spans="2:27" ht="16.5">
      <c r="B388" s="79"/>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c r="AA388" s="80"/>
    </row>
    <row r="389" spans="2:27" ht="16.5">
      <c r="B389" s="79"/>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c r="AA389" s="80"/>
    </row>
    <row r="390" spans="2:27" ht="16.5">
      <c r="B390" s="79"/>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c r="AA390" s="80"/>
    </row>
    <row r="391" spans="2:27" ht="16.5">
      <c r="B391" s="79"/>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c r="AA391" s="80"/>
    </row>
    <row r="392" spans="2:27" ht="16.5">
      <c r="B392" s="79"/>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c r="AA392" s="80"/>
    </row>
    <row r="393" spans="2:27" ht="16.5">
      <c r="B393" s="79"/>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c r="AA393" s="80"/>
    </row>
    <row r="394" spans="2:27" ht="16.5">
      <c r="B394" s="79"/>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c r="AA394" s="80"/>
    </row>
    <row r="395" spans="2:27" ht="16.5">
      <c r="B395" s="79"/>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c r="AA395" s="80"/>
    </row>
    <row r="396" spans="2:27" ht="16.5">
      <c r="B396" s="79"/>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c r="AA396" s="80"/>
    </row>
    <row r="397" spans="2:27" ht="16.5">
      <c r="B397" s="79"/>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c r="AA397" s="80"/>
    </row>
    <row r="398" spans="2:27" ht="16.5">
      <c r="B398" s="79"/>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c r="AA398" s="80"/>
    </row>
    <row r="399" spans="2:27" ht="16.5">
      <c r="B399" s="79"/>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c r="AA399" s="80"/>
    </row>
    <row r="400" spans="2:27" ht="16.5">
      <c r="B400" s="79"/>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c r="AA400" s="80"/>
    </row>
    <row r="401" spans="2:27" ht="16.5">
      <c r="B401" s="79"/>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c r="AA401" s="80"/>
    </row>
    <row r="402" spans="2:27" ht="16.5">
      <c r="B402" s="79"/>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c r="AA402" s="80"/>
    </row>
    <row r="403" spans="2:27" ht="16.5">
      <c r="B403" s="79"/>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c r="AA403" s="80"/>
    </row>
    <row r="404" spans="2:27" ht="16.5">
      <c r="B404" s="79"/>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c r="AA404" s="80"/>
    </row>
    <row r="405" spans="2:27" ht="16.5">
      <c r="B405" s="79"/>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c r="AA405" s="80"/>
    </row>
    <row r="406" spans="2:27" ht="16.5">
      <c r="B406" s="79"/>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c r="AA406" s="80"/>
    </row>
    <row r="407" spans="2:27" ht="16.5">
      <c r="B407" s="79"/>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c r="AA407" s="80"/>
    </row>
    <row r="408" spans="2:27" ht="16.5">
      <c r="B408" s="79"/>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c r="AA408" s="80"/>
    </row>
    <row r="409" spans="2:27" ht="16.5">
      <c r="B409" s="79"/>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c r="AA409" s="80"/>
    </row>
    <row r="410" spans="2:27" ht="16.5">
      <c r="B410" s="79"/>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c r="AA410" s="80"/>
    </row>
    <row r="411" spans="2:27" ht="16.5">
      <c r="B411" s="79"/>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c r="AA411" s="80"/>
    </row>
    <row r="412" spans="2:27" ht="16.5">
      <c r="B412" s="79"/>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c r="AA412" s="80"/>
    </row>
    <row r="413" spans="2:27" ht="16.5">
      <c r="B413" s="79"/>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c r="AA413" s="80"/>
    </row>
    <row r="414" spans="2:27" ht="16.5">
      <c r="B414" s="79"/>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c r="AA414" s="80"/>
    </row>
    <row r="415" spans="2:27" ht="16.5">
      <c r="B415" s="79"/>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c r="AA415" s="80"/>
    </row>
    <row r="416" spans="2:27" ht="16.5">
      <c r="B416" s="79"/>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c r="AA416" s="80"/>
    </row>
    <row r="417" spans="2:27" ht="16.5">
      <c r="B417" s="79"/>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c r="AA417" s="80"/>
    </row>
    <row r="418" spans="2:27" ht="16.5">
      <c r="B418" s="79"/>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c r="AA418" s="80"/>
    </row>
    <row r="419" spans="2:27" ht="16.5">
      <c r="B419" s="79"/>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c r="AA419" s="80"/>
    </row>
    <row r="420" spans="2:27" ht="16.5">
      <c r="B420" s="79"/>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c r="AA420" s="80"/>
    </row>
    <row r="421" spans="2:27" ht="16.5">
      <c r="B421" s="79"/>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c r="AA421" s="80"/>
    </row>
    <row r="422" spans="2:27" ht="16.5">
      <c r="B422" s="79"/>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c r="AA422" s="80"/>
    </row>
    <row r="423" spans="2:27" ht="16.5">
      <c r="B423" s="79"/>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c r="AA423" s="80"/>
    </row>
    <row r="424" spans="2:27" ht="16.5">
      <c r="B424" s="79"/>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c r="AA424" s="80"/>
    </row>
    <row r="425" spans="2:27" ht="16.5">
      <c r="B425" s="79"/>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c r="AA425" s="80"/>
    </row>
    <row r="426" spans="2:27" ht="16.5">
      <c r="B426" s="79"/>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c r="AA426" s="80"/>
    </row>
    <row r="427" spans="2:27" ht="16.5">
      <c r="B427" s="79"/>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c r="AA427" s="80"/>
    </row>
    <row r="428" spans="2:27" ht="16.5">
      <c r="B428" s="79"/>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c r="AA428" s="80"/>
    </row>
    <row r="429" spans="2:27" ht="16.5">
      <c r="B429" s="79"/>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c r="AA429" s="80"/>
    </row>
    <row r="430" spans="2:27" ht="16.5">
      <c r="B430" s="79"/>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c r="AA430" s="80"/>
    </row>
    <row r="431" spans="2:27" ht="16.5">
      <c r="B431" s="79"/>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c r="AA431" s="80"/>
    </row>
    <row r="432" spans="2:27" ht="16.5">
      <c r="B432" s="79"/>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c r="AA432" s="80"/>
    </row>
    <row r="433" spans="2:27" ht="16.5">
      <c r="B433" s="79"/>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c r="AA433" s="80"/>
    </row>
    <row r="434" spans="2:27" ht="16.5">
      <c r="B434" s="79"/>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c r="AA434" s="80"/>
    </row>
    <row r="435" spans="2:27" ht="16.5">
      <c r="B435" s="79"/>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c r="AA435" s="80"/>
    </row>
    <row r="436" spans="2:27" ht="16.5">
      <c r="B436" s="79"/>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c r="AA436" s="80"/>
    </row>
    <row r="437" spans="2:27" ht="16.5">
      <c r="B437" s="79"/>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c r="AA437" s="80"/>
    </row>
    <row r="438" spans="2:27" ht="16.5">
      <c r="B438" s="79"/>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c r="AA438" s="80"/>
    </row>
    <row r="439" spans="2:27" ht="16.5">
      <c r="B439" s="79"/>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c r="AA439" s="80"/>
    </row>
    <row r="440" spans="2:27" ht="16.5">
      <c r="B440" s="79"/>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c r="AA440" s="80"/>
    </row>
    <row r="441" spans="2:27" ht="16.5">
      <c r="B441" s="79"/>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c r="AA441" s="80"/>
    </row>
    <row r="442" spans="2:27" ht="16.5">
      <c r="B442" s="79"/>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c r="AA442" s="80"/>
    </row>
    <row r="443" spans="2:27" ht="16.5">
      <c r="B443" s="79"/>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c r="AA443" s="80"/>
    </row>
    <row r="444" spans="2:27" ht="16.5">
      <c r="B444" s="79"/>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c r="AA444" s="80"/>
    </row>
    <row r="445" spans="2:27" ht="16.5">
      <c r="B445" s="79"/>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c r="AA445" s="80"/>
    </row>
    <row r="446" spans="2:27" ht="16.5">
      <c r="B446" s="79"/>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c r="AA446" s="80"/>
    </row>
    <row r="447" spans="2:27" ht="16.5">
      <c r="B447" s="79"/>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c r="AA447" s="80"/>
    </row>
    <row r="448" spans="2:27" ht="16.5">
      <c r="B448" s="79"/>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c r="AA448" s="80"/>
    </row>
    <row r="449" spans="2:27" ht="16.5">
      <c r="B449" s="79"/>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c r="AA449" s="80"/>
    </row>
    <row r="450" spans="2:27" ht="16.5">
      <c r="B450" s="79"/>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c r="AA450" s="80"/>
    </row>
    <row r="451" spans="2:27" ht="16.5">
      <c r="B451" s="79"/>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row>
    <row r="452" spans="2:27" ht="16.5">
      <c r="B452" s="79"/>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c r="AA452" s="80"/>
    </row>
    <row r="453" spans="2:27" ht="16.5">
      <c r="B453" s="79"/>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c r="AA453" s="80"/>
    </row>
    <row r="454" spans="2:27" ht="16.5">
      <c r="B454" s="79"/>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c r="AA454" s="80"/>
    </row>
    <row r="455" spans="2:27" ht="16.5">
      <c r="B455" s="79"/>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c r="AA455" s="80"/>
    </row>
    <row r="456" spans="2:27" ht="16.5">
      <c r="B456" s="79"/>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c r="AA456" s="80"/>
    </row>
    <row r="457" spans="2:27" ht="16.5">
      <c r="B457" s="79"/>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c r="AA457" s="80"/>
    </row>
    <row r="458" spans="2:27" ht="16.5">
      <c r="B458" s="79"/>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c r="AA458" s="80"/>
    </row>
    <row r="459" spans="2:27" ht="16.5">
      <c r="B459" s="79"/>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c r="AA459" s="80"/>
    </row>
    <row r="460" spans="2:27" ht="16.5">
      <c r="B460" s="79"/>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c r="AA460" s="80"/>
    </row>
    <row r="461" spans="2:27" ht="16.5">
      <c r="B461" s="79"/>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c r="AA461" s="80"/>
    </row>
    <row r="462" spans="2:27" ht="16.5">
      <c r="B462" s="79"/>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c r="AA462" s="80"/>
    </row>
    <row r="463" spans="2:27" ht="16.5">
      <c r="B463" s="79"/>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c r="AA463" s="80"/>
    </row>
    <row r="464" spans="2:27" ht="16.5">
      <c r="B464" s="79"/>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c r="AA464" s="80"/>
    </row>
    <row r="465" spans="2:27" ht="16.5">
      <c r="B465" s="79"/>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c r="AA465" s="80"/>
    </row>
    <row r="466" spans="2:27" ht="16.5">
      <c r="B466" s="79"/>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c r="AA466" s="80"/>
    </row>
    <row r="467" spans="2:27" ht="16.5">
      <c r="B467" s="79"/>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c r="AA467" s="80"/>
    </row>
    <row r="468" spans="2:27" ht="16.5">
      <c r="B468" s="79"/>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c r="AA468" s="80"/>
    </row>
    <row r="469" spans="2:27" ht="16.5">
      <c r="B469" s="79"/>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c r="AA469" s="80"/>
    </row>
    <row r="470" spans="2:27" ht="16.5">
      <c r="B470" s="79"/>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c r="AA470" s="80"/>
    </row>
    <row r="471" spans="2:27" ht="16.5">
      <c r="B471" s="79"/>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c r="AA471" s="80"/>
    </row>
    <row r="472" spans="2:27" ht="16.5">
      <c r="B472" s="79"/>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c r="AA472" s="80"/>
    </row>
    <row r="473" spans="2:27" ht="16.5">
      <c r="B473" s="79"/>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c r="AA473" s="80"/>
    </row>
    <row r="474" spans="2:27" ht="16.5">
      <c r="B474" s="79"/>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c r="AA474" s="80"/>
    </row>
    <row r="475" spans="2:27" ht="16.5">
      <c r="B475" s="79"/>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c r="AA475" s="80"/>
    </row>
    <row r="476" spans="2:27" ht="16.5">
      <c r="B476" s="79"/>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c r="AA476" s="80"/>
    </row>
    <row r="477" spans="2:27" ht="16.5">
      <c r="B477" s="79"/>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c r="AA477" s="80"/>
    </row>
    <row r="478" spans="2:27" ht="16.5">
      <c r="B478" s="79"/>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c r="AA478" s="80"/>
    </row>
    <row r="479" spans="2:27" ht="16.5">
      <c r="B479" s="79"/>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c r="AA479" s="80"/>
    </row>
    <row r="480" spans="2:27" ht="16.5">
      <c r="B480" s="79"/>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c r="AA480" s="80"/>
    </row>
    <row r="481" spans="2:27" ht="16.5">
      <c r="B481" s="79"/>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c r="AA481" s="80"/>
    </row>
    <row r="482" spans="2:27" ht="16.5">
      <c r="B482" s="79"/>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c r="AA482" s="80"/>
    </row>
    <row r="483" spans="2:27" ht="16.5">
      <c r="B483" s="79"/>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c r="AA483" s="80"/>
    </row>
    <row r="484" spans="2:27" ht="16.5">
      <c r="B484" s="79"/>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c r="AA484" s="80"/>
    </row>
    <row r="485" spans="2:27" ht="16.5">
      <c r="B485" s="79"/>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c r="AA485" s="80"/>
    </row>
    <row r="486" spans="2:27" ht="16.5">
      <c r="B486" s="79"/>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c r="AA486" s="80"/>
    </row>
    <row r="487" spans="2:27" ht="16.5">
      <c r="B487" s="79"/>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c r="AA487" s="80"/>
    </row>
    <row r="488" spans="2:27" ht="16.5">
      <c r="B488" s="79"/>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c r="AA488" s="80"/>
    </row>
    <row r="489" spans="2:27" ht="16.5">
      <c r="B489" s="79"/>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c r="AA489" s="80"/>
    </row>
    <row r="490" spans="2:27" ht="16.5">
      <c r="B490" s="79"/>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c r="AA490" s="80"/>
    </row>
    <row r="491" spans="2:27" ht="16.5">
      <c r="B491" s="79"/>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c r="AA491" s="80"/>
    </row>
    <row r="492" spans="2:27" ht="16.5">
      <c r="B492" s="79"/>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c r="AA492" s="80"/>
    </row>
    <row r="493" spans="2:27" ht="16.5">
      <c r="B493" s="79"/>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c r="AA493" s="80"/>
    </row>
    <row r="494" spans="2:27" ht="16.5">
      <c r="B494" s="79"/>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c r="AA494" s="80"/>
    </row>
    <row r="495" spans="2:27" ht="16.5">
      <c r="B495" s="79"/>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c r="AA495" s="80"/>
    </row>
    <row r="496" spans="2:27" ht="16.5">
      <c r="B496" s="79"/>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c r="AA496" s="80"/>
    </row>
    <row r="497" spans="2:27" ht="16.5">
      <c r="B497" s="79"/>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c r="AA497" s="80"/>
    </row>
    <row r="498" spans="2:27" ht="16.5">
      <c r="B498" s="79"/>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c r="AA498" s="80"/>
    </row>
    <row r="499" spans="2:27" ht="16.5">
      <c r="B499" s="79"/>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c r="AA499" s="80"/>
    </row>
    <row r="500" spans="2:27" ht="16.5">
      <c r="B500" s="79"/>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c r="AA500" s="80"/>
    </row>
    <row r="501" spans="2:27" ht="16.5">
      <c r="B501" s="79"/>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c r="AA501" s="80"/>
    </row>
    <row r="502" spans="2:27" ht="16.5">
      <c r="B502" s="79"/>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c r="AA502" s="80"/>
    </row>
    <row r="503" spans="2:27" ht="16.5">
      <c r="B503" s="79"/>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c r="AA503" s="80"/>
    </row>
    <row r="504" spans="2:27" ht="16.5">
      <c r="B504" s="79"/>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c r="AA504" s="80"/>
    </row>
    <row r="505" spans="2:27" ht="16.5">
      <c r="B505" s="79"/>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c r="AA505" s="80"/>
    </row>
    <row r="506" spans="2:27" ht="16.5">
      <c r="B506" s="79"/>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c r="AA506" s="80"/>
    </row>
    <row r="507" spans="2:27" ht="16.5">
      <c r="B507" s="79"/>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c r="AA507" s="80"/>
    </row>
    <row r="508" spans="2:27" ht="16.5">
      <c r="B508" s="79"/>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c r="AA508" s="80"/>
    </row>
    <row r="509" spans="2:27" ht="16.5">
      <c r="B509" s="79"/>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c r="AA509" s="80"/>
    </row>
    <row r="510" spans="2:27" ht="16.5">
      <c r="B510" s="79"/>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c r="AA510" s="80"/>
    </row>
    <row r="511" spans="2:27" ht="16.5">
      <c r="B511" s="79"/>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c r="AA511" s="80"/>
    </row>
    <row r="512" spans="2:27" ht="16.5">
      <c r="B512" s="79"/>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c r="AA512" s="80"/>
    </row>
    <row r="513" spans="2:27" ht="16.5">
      <c r="B513" s="79"/>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c r="AA513" s="80"/>
    </row>
    <row r="514" spans="2:27" ht="16.5">
      <c r="B514" s="79"/>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c r="AA514" s="80"/>
    </row>
    <row r="515" spans="2:27" ht="16.5">
      <c r="B515" s="79"/>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c r="AA515" s="80"/>
    </row>
    <row r="516" spans="2:27" ht="16.5">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row>
    <row r="517" spans="2:27" ht="16.5">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row>
    <row r="518" spans="2:27" ht="16.5">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row>
    <row r="519" spans="2:27" ht="16.5">
      <c r="B519" s="79"/>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row>
    <row r="520" spans="2:27" ht="16.5">
      <c r="B520" s="79"/>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row>
    <row r="521" spans="2:27" ht="16.5">
      <c r="B521" s="79"/>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row>
    <row r="522" spans="2:27" ht="16.5">
      <c r="B522" s="79"/>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row>
    <row r="523" spans="2:27" ht="16.5">
      <c r="B523" s="79"/>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row>
    <row r="524" spans="2:27" ht="16.5">
      <c r="B524" s="79"/>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row>
    <row r="525" spans="2:27" ht="16.5">
      <c r="B525" s="79"/>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row>
    <row r="526" spans="2:27" ht="16.5">
      <c r="B526" s="79"/>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row>
    <row r="527" spans="2:27" ht="16.5">
      <c r="B527" s="79"/>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row>
    <row r="528" spans="2:27" ht="16.5">
      <c r="B528" s="79"/>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row>
    <row r="529" spans="2:27" ht="16.5">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row>
    <row r="530" spans="2:27" ht="16.5">
      <c r="B530" s="79"/>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row>
    <row r="531" spans="2:27" ht="16.5">
      <c r="B531" s="79"/>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row>
    <row r="532" spans="2:27" ht="16.5">
      <c r="B532" s="79"/>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c r="AA532" s="80"/>
    </row>
    <row r="533" spans="2:27" ht="16.5">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row>
    <row r="534" spans="2:27" ht="16.5">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row>
    <row r="535" spans="2:27" ht="16.5">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row>
    <row r="536" spans="2:27" ht="16.5">
      <c r="B536" s="79"/>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row>
    <row r="537" spans="2:27" ht="16.5">
      <c r="B537" s="79"/>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c r="AA537" s="80"/>
    </row>
    <row r="538" spans="2:27" ht="16.5">
      <c r="B538" s="79"/>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c r="AA538" s="80"/>
    </row>
    <row r="539" spans="2:27" ht="16.5">
      <c r="B539" s="79"/>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c r="AA539" s="80"/>
    </row>
    <row r="540" spans="2:27" ht="16.5">
      <c r="B540" s="79"/>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c r="AA540" s="80"/>
    </row>
    <row r="541" spans="2:27" ht="16.5">
      <c r="B541" s="79"/>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c r="AA541" s="80"/>
    </row>
    <row r="542" spans="2:27" ht="16.5">
      <c r="B542" s="79"/>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c r="AA542" s="80"/>
    </row>
    <row r="543" spans="2:27" ht="16.5">
      <c r="B543" s="79"/>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c r="AA543" s="80"/>
    </row>
    <row r="544" spans="2:27" ht="16.5">
      <c r="B544" s="79"/>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c r="AA544" s="80"/>
    </row>
    <row r="545" spans="2:27" ht="16.5">
      <c r="B545" s="79"/>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c r="AA545" s="80"/>
    </row>
    <row r="546" spans="2:27" ht="16.5">
      <c r="B546" s="79"/>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row>
    <row r="547" spans="2:27" ht="16.5">
      <c r="B547" s="79"/>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row>
    <row r="548" spans="2:27" ht="16.5">
      <c r="B548" s="79"/>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row>
    <row r="549" spans="2:27" ht="16.5">
      <c r="B549" s="79"/>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c r="AA549" s="80"/>
    </row>
    <row r="550" spans="2:27" ht="16.5">
      <c r="B550" s="79"/>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c r="AA550" s="80"/>
    </row>
    <row r="551" spans="2:27" ht="16.5">
      <c r="B551" s="79"/>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c r="AA551" s="80"/>
    </row>
    <row r="552" spans="2:27" ht="16.5">
      <c r="B552" s="79"/>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row>
    <row r="553" spans="2:27" ht="16.5">
      <c r="B553" s="79"/>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row>
    <row r="554" spans="2:27" ht="16.5">
      <c r="B554" s="79"/>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row>
    <row r="555" spans="2:27" ht="16.5">
      <c r="B555" s="79"/>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c r="AA555" s="80"/>
    </row>
    <row r="556" spans="2:27" ht="16.5">
      <c r="B556" s="79"/>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row>
    <row r="557" spans="2:27" ht="16.5">
      <c r="B557" s="79"/>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row>
    <row r="558" spans="2:27" ht="16.5">
      <c r="B558" s="79"/>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row>
    <row r="559" spans="2:27" ht="16.5">
      <c r="B559" s="79"/>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row>
    <row r="560" spans="2:27" ht="16.5">
      <c r="B560" s="79"/>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row>
    <row r="561" spans="2:27" ht="16.5">
      <c r="B561" s="79"/>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row>
    <row r="562" spans="2:27" ht="16.5">
      <c r="B562" s="79"/>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row>
    <row r="563" spans="2:27" ht="16.5">
      <c r="B563" s="79"/>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row>
    <row r="564" spans="2:27" ht="16.5">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row>
    <row r="565" spans="2:27" ht="16.5">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row>
    <row r="566" spans="2:27" ht="16.5">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row>
    <row r="567" spans="2:27" ht="16.5">
      <c r="B567" s="79"/>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row>
    <row r="568" spans="2:27" ht="16.5">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row>
    <row r="569" spans="2:27" ht="16.5">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row>
    <row r="570" spans="2:27" ht="16.5">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row>
    <row r="571" spans="2:27" ht="16.5">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row>
    <row r="572" spans="2:27" ht="16.5">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row>
    <row r="573" spans="2:27" ht="16.5">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row>
    <row r="574" spans="2:27" ht="16.5">
      <c r="B574" s="79"/>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row>
    <row r="575" spans="2:27" ht="16.5">
      <c r="B575" s="79"/>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c r="AA575" s="80"/>
    </row>
    <row r="576" spans="2:27" ht="16.5">
      <c r="B576" s="79"/>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c r="AA576" s="80"/>
    </row>
    <row r="577" spans="2:27" ht="16.5">
      <c r="B577" s="79"/>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row>
    <row r="578" spans="2:27" ht="16.5">
      <c r="B578" s="79"/>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row>
    <row r="579" spans="2:27" ht="16.5">
      <c r="B579" s="79"/>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row>
    <row r="580" spans="2:27" ht="16.5">
      <c r="B580" s="79"/>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c r="AA580" s="80"/>
    </row>
    <row r="581" spans="2:27" ht="16.5">
      <c r="B581" s="79"/>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c r="AA581" s="80"/>
    </row>
    <row r="582" spans="2:27" ht="16.5">
      <c r="B582" s="79"/>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c r="AA582" s="80"/>
    </row>
    <row r="583" spans="2:27" ht="16.5">
      <c r="B583" s="79"/>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c r="AA583" s="80"/>
    </row>
    <row r="584" spans="2:27" ht="16.5">
      <c r="B584" s="79"/>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c r="AA584" s="80"/>
    </row>
    <row r="585" spans="2:27" ht="16.5">
      <c r="B585" s="79"/>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row>
    <row r="586" spans="2:27" ht="16.5">
      <c r="B586" s="79"/>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row>
    <row r="587" spans="2:27" ht="16.5">
      <c r="B587" s="79"/>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row>
    <row r="588" spans="2:27" ht="16.5">
      <c r="B588" s="79"/>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row>
    <row r="589" spans="2:27" ht="16.5">
      <c r="B589" s="79"/>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row>
    <row r="590" spans="2:27" ht="16.5">
      <c r="B590" s="79"/>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row>
    <row r="591" spans="2:27" ht="16.5">
      <c r="B591" s="79"/>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row>
    <row r="592" spans="2:27" ht="16.5">
      <c r="B592" s="79"/>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row>
    <row r="593" spans="2:27" ht="16.5">
      <c r="B593" s="79"/>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row>
    <row r="594" spans="2:27" ht="16.5">
      <c r="B594" s="79"/>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row>
    <row r="595" spans="2:27" ht="16.5">
      <c r="B595" s="79"/>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row>
    <row r="596" spans="2:27" ht="16.5">
      <c r="B596" s="79"/>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row>
    <row r="597" spans="2:27" ht="16.5">
      <c r="B597" s="79"/>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row>
    <row r="598" spans="2:27" ht="16.5">
      <c r="B598" s="79"/>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row>
    <row r="599" spans="2:27" ht="16.5">
      <c r="B599" s="79"/>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row>
    <row r="600" spans="2:27" ht="16.5">
      <c r="B600" s="79"/>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row>
    <row r="601" spans="2:27" ht="16.5">
      <c r="B601" s="79"/>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row>
    <row r="602" spans="2:27" ht="16.5">
      <c r="B602" s="79"/>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row>
    <row r="603" spans="2:27" ht="16.5">
      <c r="B603" s="79"/>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row>
    <row r="604" spans="2:27" ht="16.5">
      <c r="B604" s="79"/>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row>
    <row r="605" spans="2:27" ht="16.5">
      <c r="B605" s="79"/>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row>
    <row r="606" spans="2:27" ht="16.5">
      <c r="B606" s="79"/>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row>
    <row r="607" spans="2:27" ht="16.5">
      <c r="B607" s="79"/>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row>
    <row r="608" spans="2:27" ht="16.5">
      <c r="B608" s="79"/>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row>
    <row r="609" spans="2:27" ht="16.5">
      <c r="B609" s="79"/>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row>
    <row r="610" spans="2:27" ht="16.5">
      <c r="B610" s="79"/>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row>
    <row r="611" spans="2:27" ht="16.5">
      <c r="B611" s="79"/>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row>
    <row r="612" spans="2:27" ht="16.5">
      <c r="B612" s="79"/>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row>
    <row r="613" spans="2:27" ht="16.5">
      <c r="B613" s="79"/>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row>
    <row r="614" spans="2:27" ht="16.5">
      <c r="B614" s="79"/>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row>
    <row r="615" spans="2:27" ht="16.5">
      <c r="B615" s="79"/>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row>
    <row r="616" spans="2:27" ht="16.5">
      <c r="B616" s="79"/>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row>
    <row r="617" spans="2:27" ht="16.5">
      <c r="B617" s="79"/>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row>
    <row r="618" spans="2:27" ht="16.5">
      <c r="B618" s="79"/>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row>
    <row r="619" spans="2:27" ht="16.5">
      <c r="B619" s="79"/>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row>
    <row r="620" spans="2:27" ht="16.5">
      <c r="B620" s="79"/>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row>
    <row r="621" spans="2:27" ht="16.5">
      <c r="B621" s="79"/>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row>
    <row r="622" spans="2:27" ht="16.5">
      <c r="B622" s="79"/>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row>
    <row r="623" spans="2:27" ht="16.5">
      <c r="B623" s="79"/>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row>
    <row r="624" spans="2:27" ht="16.5">
      <c r="B624" s="79"/>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row>
    <row r="625" spans="2:27" ht="16.5">
      <c r="B625" s="79"/>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row>
    <row r="626" spans="2:27" ht="16.5">
      <c r="B626" s="79"/>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row>
    <row r="627" spans="2:27" ht="16.5">
      <c r="B627" s="79"/>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row>
    <row r="628" spans="2:27" ht="16.5">
      <c r="B628" s="79"/>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row>
    <row r="629" spans="2:27" ht="16.5">
      <c r="B629" s="79"/>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row>
    <row r="630" spans="2:27" ht="16.5">
      <c r="B630" s="79"/>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row>
    <row r="631" spans="2:27" ht="16.5">
      <c r="B631" s="79"/>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row>
    <row r="632" spans="2:27" ht="16.5">
      <c r="B632" s="79"/>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row>
    <row r="633" spans="2:27" ht="16.5">
      <c r="B633" s="79"/>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row>
    <row r="634" spans="2:27" ht="16.5">
      <c r="B634" s="79"/>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row>
    <row r="635" spans="2:27" ht="16.5">
      <c r="B635" s="79"/>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row>
  </sheetData>
  <mergeCells count="4">
    <mergeCell ref="B28:I28"/>
    <mergeCell ref="B29:I31"/>
    <mergeCell ref="D2:I2"/>
    <mergeCell ref="D3:I3"/>
  </mergeCells>
  <pageMargins left="0.59055118110236227" right="0.59055118110236227" top="0.59055118110236227" bottom="0.59055118110236227"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F3688A-ECFA-4308-B5C3-CB4F5C40FB84}"/>
</file>

<file path=customXml/itemProps2.xml><?xml version="1.0" encoding="utf-8"?>
<ds:datastoreItem xmlns:ds="http://schemas.openxmlformats.org/officeDocument/2006/customXml" ds:itemID="{23B03D38-E863-43E2-A8A6-D00758F3D249}"/>
</file>

<file path=customXml/itemProps3.xml><?xml version="1.0" encoding="utf-8"?>
<ds:datastoreItem xmlns:ds="http://schemas.openxmlformats.org/officeDocument/2006/customXml" ds:itemID="{10FA844D-90CB-41A3-8D76-07D9C507BC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Biblioteca</dc:creator>
  <cp:keywords/>
  <dc:description/>
  <cp:lastModifiedBy>CAIMAN URQUIJO CAMILO ANDRES</cp:lastModifiedBy>
  <cp:revision/>
  <dcterms:created xsi:type="dcterms:W3CDTF">2023-03-15T21:28:30Z</dcterms:created>
  <dcterms:modified xsi:type="dcterms:W3CDTF">2025-07-01T15:49:00Z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