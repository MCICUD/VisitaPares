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9CDCBA23-76EE-4963-B8DC-F4E87366431A}" xr6:coauthVersionLast="47" xr6:coauthVersionMax="47" xr10:uidLastSave="{00000000-0000-0000-0000-000000000000}"/>
  <bookViews>
    <workbookView xWindow="0" yWindow="0" windowWidth="20490" windowHeight="6945" tabRatio="972" xr2:uid="{00000000-000D-0000-FFFF-FFFF00000000}"/>
  </bookViews>
  <sheets>
    <sheet name="MAESTRIA EN CIC" sheetId="8" r:id="rId1"/>
  </sheets>
  <definedNames>
    <definedName name="_xlnm.Print_Titles" localSheetId="0">'MAESTRIA EN CIC'!$1:$8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8" l="1"/>
  <c r="O9" i="8"/>
  <c r="J10" i="8"/>
  <c r="O10" i="8"/>
  <c r="O11" i="8"/>
  <c r="J11" i="8"/>
  <c r="O12" i="8"/>
  <c r="J12" i="8"/>
  <c r="O13" i="8"/>
  <c r="J13" i="8"/>
  <c r="O16" i="8"/>
  <c r="J16" i="8"/>
  <c r="C19" i="8"/>
  <c r="J19" i="8" s="1"/>
  <c r="O19" i="8" l="1"/>
</calcChain>
</file>

<file path=xl/sharedStrings.xml><?xml version="1.0" encoding="utf-8"?>
<sst xmlns="http://schemas.openxmlformats.org/spreadsheetml/2006/main" count="46" uniqueCount="46">
  <si>
    <t>UNIVERSIDAD DISTRITAL FRANCISCO JOSÉ DE CALDAS</t>
  </si>
  <si>
    <t>CUADRO MAESTRO ESTUDIANTES</t>
  </si>
  <si>
    <t>MAESTRIA EN CIENCIAS DE LA INFORMACION Y LAS COMUNICACIONES</t>
  </si>
  <si>
    <t>Año y Período (1)</t>
  </si>
  <si>
    <t>Estudiantes inscritos</t>
  </si>
  <si>
    <t>Estudiantes matriculados</t>
  </si>
  <si>
    <t>Primíparos</t>
  </si>
  <si>
    <t>Egresados</t>
  </si>
  <si>
    <t>Graduados(2)</t>
  </si>
  <si>
    <t>Admitidos</t>
  </si>
  <si>
    <t>Retirados</t>
  </si>
  <si>
    <t>(%) Tasa deserción SPADIES (3)</t>
  </si>
  <si>
    <t>(%) Culminan carrera (4)</t>
  </si>
  <si>
    <t>No. de estudiantes en otras IES nacionales(5)</t>
  </si>
  <si>
    <t>No. de estudiantes en otras IES internacionales(5)</t>
  </si>
  <si>
    <t>No. de estudiantes visitantes nacionales</t>
  </si>
  <si>
    <t>No. de estudiantes visitantes internacionales</t>
  </si>
  <si>
    <t>(%) Tasa deserción (6)</t>
  </si>
  <si>
    <t>2025-1</t>
  </si>
  <si>
    <t>2024-3</t>
  </si>
  <si>
    <t>2024-1</t>
  </si>
  <si>
    <t>2023-3</t>
  </si>
  <si>
    <t>2023-1</t>
  </si>
  <si>
    <t>2022-3</t>
  </si>
  <si>
    <t>2022-1</t>
  </si>
  <si>
    <t>2021-3</t>
  </si>
  <si>
    <t>2021-1</t>
  </si>
  <si>
    <t>2020-3</t>
  </si>
  <si>
    <t>2020-1</t>
  </si>
  <si>
    <t>2019-3</t>
  </si>
  <si>
    <t>2019-1</t>
  </si>
  <si>
    <t>2018-3</t>
  </si>
  <si>
    <t>2018-1</t>
  </si>
  <si>
    <t>2017-3</t>
  </si>
  <si>
    <t>2017-1</t>
  </si>
  <si>
    <t>2016-3</t>
  </si>
  <si>
    <t>2016-1</t>
  </si>
  <si>
    <t>2015-3</t>
  </si>
  <si>
    <t>2015-1</t>
  </si>
  <si>
    <t>1. Últimos cinco (5) años.</t>
  </si>
  <si>
    <t>2. Graduados: Persona que obtiene el título de grado. Son los estudiantes que han cursado y aprobado en su totalidad el plan de estudios de un programa académico y pasan a cumplir con otros requisitos exigidos por la institución para otorgar el título. (SNIES).</t>
  </si>
  <si>
    <t>3. Tasa de deserción: Indica el número de estudiantes que abandona la universidad en dos o mas periodos académicos consecutivos, del programa académico en que se matriculó. Este abandono por parte del estudiante puede ser de la institución de educación superior e inclusive del sistema educativo.</t>
  </si>
  <si>
    <t>4. Se refiere a: estudiantes  graduados/matriculados, o en su defecto, explique la forma que la universidad utiliza para determinarlo.</t>
  </si>
  <si>
    <t>5. En programas formales de intercambio.</t>
  </si>
  <si>
    <t>6. Otra forma de calcular la deserción sin hacerlo por cohorte es: (No. Estudiantes retirados en el periodo /No. Total de estudiantes matriculados en el periodo)*100</t>
  </si>
  <si>
    <t>Fuente:Sistema de Inteligencia Institucional, Oficina Asesora de Tecnologías 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</si>
</sst>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rgb="FF000000"/>
      <name val="Calibri"/>
      <family val="2"/>
      <charset val="1"/>
    </font>
    <font>
      <sz val="10"/>
      <color rgb="FF000000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4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22" fontId="1" fillId="0" borderId="3" xfId="0" applyNumberFormat="1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top" wrapText="1"/>
    </xf>
    <xf numFmtId="9" fontId="1" fillId="0" borderId="0" xfId="2" applyFont="1"/>
    <xf numFmtId="164" fontId="1" fillId="0" borderId="1" xfId="2" applyNumberFormat="1" applyFont="1" applyBorder="1" applyAlignment="1">
      <alignment horizontal="center" vertical="top" wrapText="1"/>
    </xf>
    <xf numFmtId="0" fontId="3" fillId="0" borderId="0" xfId="1" applyFont="1"/>
    <xf numFmtId="14" fontId="3" fillId="0" borderId="0" xfId="1" applyNumberFormat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9" xfId="3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40"/>
  <sheetViews>
    <sheetView tabSelected="1" topLeftCell="B1" zoomScale="75" zoomScaleNormal="75" workbookViewId="0">
      <selection activeCell="A39" sqref="A39:O39"/>
    </sheetView>
  </sheetViews>
  <sheetFormatPr defaultColWidth="11.42578125" defaultRowHeight="12.75"/>
  <cols>
    <col min="1" max="15" width="10.7109375" style="6" customWidth="1"/>
    <col min="16" max="16384" width="11.42578125" style="6"/>
  </cols>
  <sheetData>
    <row r="2" spans="1:1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5">
      <c r="A6" s="17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8" spans="1:15" ht="63.75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</row>
    <row r="9" spans="1:15">
      <c r="A9" s="5" t="s">
        <v>18</v>
      </c>
      <c r="B9" s="5">
        <v>16</v>
      </c>
      <c r="C9" s="5">
        <v>177</v>
      </c>
      <c r="D9" s="5">
        <v>16</v>
      </c>
      <c r="E9" s="5"/>
      <c r="F9" s="5">
        <v>14</v>
      </c>
      <c r="G9" s="5">
        <v>16</v>
      </c>
      <c r="H9" s="5"/>
      <c r="I9" s="5"/>
      <c r="J9" s="10">
        <f t="shared" ref="J9:J10" si="0">F9/C9</f>
        <v>7.909604519774012E-2</v>
      </c>
      <c r="K9" s="10"/>
      <c r="L9" s="10"/>
      <c r="M9" s="10"/>
      <c r="N9" s="10"/>
      <c r="O9" s="10">
        <f t="shared" ref="O9:O10" si="1">H9/C9</f>
        <v>0</v>
      </c>
    </row>
    <row r="10" spans="1:15">
      <c r="A10" s="5" t="s">
        <v>19</v>
      </c>
      <c r="B10" s="5">
        <v>8</v>
      </c>
      <c r="C10" s="5">
        <v>150</v>
      </c>
      <c r="D10" s="5">
        <v>8</v>
      </c>
      <c r="E10" s="5"/>
      <c r="F10" s="5">
        <v>15</v>
      </c>
      <c r="G10" s="5">
        <v>8</v>
      </c>
      <c r="H10" s="5"/>
      <c r="I10" s="5"/>
      <c r="J10" s="10">
        <f t="shared" si="0"/>
        <v>0.1</v>
      </c>
      <c r="K10" s="10"/>
      <c r="L10" s="10"/>
      <c r="M10" s="10"/>
      <c r="N10" s="10"/>
      <c r="O10" s="10">
        <f t="shared" si="1"/>
        <v>0</v>
      </c>
    </row>
    <row r="11" spans="1:15">
      <c r="A11" s="5" t="s">
        <v>20</v>
      </c>
      <c r="B11" s="5"/>
      <c r="C11" s="5">
        <v>172</v>
      </c>
      <c r="D11" s="5">
        <v>27</v>
      </c>
      <c r="E11" s="5"/>
      <c r="F11" s="5">
        <v>13</v>
      </c>
      <c r="G11" s="5"/>
      <c r="H11" s="5"/>
      <c r="I11" s="5"/>
      <c r="J11" s="10">
        <f t="shared" ref="J11" si="2">F11/C11</f>
        <v>7.5581395348837205E-2</v>
      </c>
      <c r="K11" s="10"/>
      <c r="L11" s="10"/>
      <c r="M11" s="10"/>
      <c r="N11" s="10"/>
      <c r="O11" s="10">
        <f t="shared" ref="O11" si="3">H11/C11</f>
        <v>0</v>
      </c>
    </row>
    <row r="12" spans="1:15">
      <c r="A12" s="5" t="s">
        <v>21</v>
      </c>
      <c r="B12" s="5"/>
      <c r="C12" s="5">
        <v>161</v>
      </c>
      <c r="D12" s="5">
        <v>0</v>
      </c>
      <c r="E12" s="5"/>
      <c r="F12" s="5">
        <v>15</v>
      </c>
      <c r="G12" s="5"/>
      <c r="H12" s="5">
        <v>1</v>
      </c>
      <c r="I12" s="5"/>
      <c r="J12" s="10">
        <f>F12/C12</f>
        <v>9.3167701863354033E-2</v>
      </c>
      <c r="K12" s="10"/>
      <c r="L12" s="10"/>
      <c r="M12" s="10"/>
      <c r="N12" s="10"/>
      <c r="O12" s="10">
        <f>H12/C12</f>
        <v>6.2111801242236021E-3</v>
      </c>
    </row>
    <row r="13" spans="1:15">
      <c r="A13" s="5" t="s">
        <v>22</v>
      </c>
      <c r="B13" s="5"/>
      <c r="C13" s="5">
        <v>213</v>
      </c>
      <c r="D13" s="5"/>
      <c r="E13" s="5"/>
      <c r="F13" s="5">
        <v>24</v>
      </c>
      <c r="G13" s="5"/>
      <c r="H13" s="5"/>
      <c r="I13" s="5">
        <v>2</v>
      </c>
      <c r="J13" s="10">
        <f t="shared" ref="J13" si="4">F13/C13</f>
        <v>0.11267605633802817</v>
      </c>
      <c r="K13" s="10"/>
      <c r="L13" s="10"/>
      <c r="M13" s="10"/>
      <c r="N13" s="10"/>
      <c r="O13" s="10">
        <f t="shared" ref="O13" si="5">H13/C13</f>
        <v>0</v>
      </c>
    </row>
    <row r="14" spans="1:15">
      <c r="A14" s="5" t="s">
        <v>23</v>
      </c>
      <c r="B14" s="5"/>
      <c r="C14" s="5">
        <v>257</v>
      </c>
      <c r="D14" s="5"/>
      <c r="E14" s="5"/>
      <c r="F14" s="5">
        <v>16</v>
      </c>
      <c r="G14" s="5"/>
      <c r="H14" s="5"/>
      <c r="I14" s="5"/>
      <c r="J14" s="10">
        <v>6.2256809338521402E-2</v>
      </c>
      <c r="K14" s="10"/>
      <c r="L14" s="10"/>
      <c r="M14" s="10"/>
      <c r="N14" s="10"/>
      <c r="O14" s="10">
        <v>0</v>
      </c>
    </row>
    <row r="15" spans="1:15">
      <c r="A15" s="5" t="s">
        <v>24</v>
      </c>
      <c r="B15" s="5">
        <v>18</v>
      </c>
      <c r="C15" s="5">
        <v>280</v>
      </c>
      <c r="D15" s="5">
        <v>18</v>
      </c>
      <c r="E15" s="5">
        <v>6</v>
      </c>
      <c r="F15" s="5">
        <v>19</v>
      </c>
      <c r="G15" s="5">
        <v>18</v>
      </c>
      <c r="H15" s="5">
        <v>1</v>
      </c>
      <c r="I15" s="5">
        <v>0</v>
      </c>
      <c r="J15" s="10">
        <v>0.37801632179622613</v>
      </c>
      <c r="K15" s="10"/>
      <c r="L15" s="10"/>
      <c r="M15" s="10"/>
      <c r="N15" s="10"/>
      <c r="O15" s="10">
        <v>1.3157894736842105E-2</v>
      </c>
    </row>
    <row r="16" spans="1:15">
      <c r="A16" s="5" t="s">
        <v>25</v>
      </c>
      <c r="B16" s="5"/>
      <c r="C16" s="5">
        <v>275</v>
      </c>
      <c r="D16" s="5">
        <v>19</v>
      </c>
      <c r="E16" s="5">
        <v>5</v>
      </c>
      <c r="F16" s="5">
        <v>23</v>
      </c>
      <c r="G16" s="5">
        <v>19</v>
      </c>
      <c r="H16" s="5">
        <v>3</v>
      </c>
      <c r="I16" s="5"/>
      <c r="J16" s="10">
        <f>F16/C16</f>
        <v>8.3636363636363634E-2</v>
      </c>
      <c r="K16" s="10"/>
      <c r="L16" s="10"/>
      <c r="M16" s="10"/>
      <c r="N16" s="10"/>
      <c r="O16" s="10">
        <f>H16/C16</f>
        <v>1.090909090909091E-2</v>
      </c>
    </row>
    <row r="17" spans="1:17">
      <c r="A17" s="5" t="s">
        <v>26</v>
      </c>
      <c r="B17" s="5"/>
      <c r="C17" s="5">
        <v>305</v>
      </c>
      <c r="D17" s="5">
        <v>20</v>
      </c>
      <c r="E17" s="5">
        <v>8</v>
      </c>
      <c r="F17" s="5">
        <v>14</v>
      </c>
      <c r="G17" s="5">
        <v>20</v>
      </c>
      <c r="H17" s="5"/>
      <c r="I17" s="5"/>
      <c r="J17" s="10">
        <v>4.5901639344262293E-2</v>
      </c>
      <c r="K17" s="5"/>
      <c r="L17" s="5"/>
      <c r="M17" s="5"/>
      <c r="N17" s="5"/>
      <c r="O17" s="5">
        <v>0</v>
      </c>
      <c r="Q17" s="9"/>
    </row>
    <row r="18" spans="1:17">
      <c r="A18" s="5" t="s">
        <v>27</v>
      </c>
      <c r="B18" s="5"/>
      <c r="C18" s="5">
        <v>329</v>
      </c>
      <c r="D18" s="5">
        <v>42</v>
      </c>
      <c r="E18" s="5"/>
      <c r="F18" s="5">
        <v>16</v>
      </c>
      <c r="G18" s="5">
        <v>64</v>
      </c>
      <c r="H18" s="5">
        <v>3</v>
      </c>
      <c r="I18" s="5"/>
      <c r="J18" s="5">
        <v>4.8</v>
      </c>
      <c r="K18" s="5"/>
      <c r="L18" s="5"/>
      <c r="M18" s="5"/>
      <c r="N18" s="5"/>
      <c r="O18" s="5">
        <v>0.91</v>
      </c>
    </row>
    <row r="19" spans="1:17">
      <c r="A19" s="5" t="s">
        <v>28</v>
      </c>
      <c r="B19" s="5"/>
      <c r="C19" s="5">
        <f>550/2</f>
        <v>275</v>
      </c>
      <c r="D19" s="5">
        <v>29</v>
      </c>
      <c r="E19" s="5"/>
      <c r="F19" s="5">
        <v>5</v>
      </c>
      <c r="G19" s="5">
        <v>25</v>
      </c>
      <c r="H19" s="5">
        <v>4</v>
      </c>
      <c r="I19" s="5"/>
      <c r="J19" s="8">
        <f>(F19/C19)*100</f>
        <v>1.8181818181818181</v>
      </c>
      <c r="K19" s="5"/>
      <c r="L19" s="5"/>
      <c r="M19" s="5"/>
      <c r="N19" s="5"/>
      <c r="O19" s="8">
        <f>(H19/C19)*100</f>
        <v>1.4545454545454546</v>
      </c>
    </row>
    <row r="20" spans="1:17">
      <c r="A20" s="5" t="s">
        <v>29</v>
      </c>
      <c r="B20" s="5"/>
      <c r="C20" s="5">
        <v>265</v>
      </c>
      <c r="D20" s="5">
        <v>31</v>
      </c>
      <c r="E20" s="5"/>
      <c r="F20" s="5">
        <v>5</v>
      </c>
      <c r="G20" s="5">
        <v>60</v>
      </c>
      <c r="H20" s="5">
        <v>2</v>
      </c>
      <c r="I20" s="5"/>
      <c r="J20" s="5">
        <v>1.89</v>
      </c>
      <c r="K20" s="5"/>
      <c r="L20" s="5"/>
      <c r="M20" s="5"/>
      <c r="N20" s="5"/>
      <c r="O20" s="5">
        <v>0.75</v>
      </c>
    </row>
    <row r="21" spans="1:17">
      <c r="A21" s="5" t="s">
        <v>30</v>
      </c>
      <c r="B21" s="5"/>
      <c r="C21" s="5">
        <v>266</v>
      </c>
      <c r="D21" s="5">
        <v>44</v>
      </c>
      <c r="E21" s="5"/>
      <c r="F21" s="5">
        <v>7</v>
      </c>
      <c r="G21" s="5">
        <v>42</v>
      </c>
      <c r="H21" s="5">
        <v>2</v>
      </c>
      <c r="I21" s="5"/>
      <c r="J21" s="5">
        <v>2.63</v>
      </c>
      <c r="K21" s="5"/>
      <c r="L21" s="5"/>
      <c r="M21" s="5"/>
      <c r="N21" s="5"/>
      <c r="O21" s="5">
        <v>0.75</v>
      </c>
    </row>
    <row r="22" spans="1:17">
      <c r="A22" s="5" t="s">
        <v>31</v>
      </c>
      <c r="B22" s="5"/>
      <c r="C22" s="5">
        <v>232</v>
      </c>
      <c r="D22" s="5">
        <v>35</v>
      </c>
      <c r="E22" s="5"/>
      <c r="F22" s="5">
        <v>5</v>
      </c>
      <c r="G22" s="5">
        <v>67</v>
      </c>
      <c r="H22" s="5"/>
      <c r="I22" s="5"/>
      <c r="J22" s="5">
        <v>2.16</v>
      </c>
      <c r="K22" s="5"/>
      <c r="L22" s="5"/>
      <c r="M22" s="5"/>
      <c r="N22" s="5"/>
      <c r="O22" s="5">
        <v>0</v>
      </c>
    </row>
    <row r="23" spans="1:17">
      <c r="A23" s="5" t="s">
        <v>32</v>
      </c>
      <c r="B23" s="5"/>
      <c r="C23" s="5">
        <v>212</v>
      </c>
      <c r="D23" s="5">
        <v>36</v>
      </c>
      <c r="E23" s="5"/>
      <c r="F23" s="5">
        <v>19</v>
      </c>
      <c r="G23" s="5">
        <v>35</v>
      </c>
      <c r="H23" s="5">
        <v>1</v>
      </c>
      <c r="I23" s="5"/>
      <c r="J23" s="5">
        <v>8.9600000000000009</v>
      </c>
      <c r="K23" s="5"/>
      <c r="L23" s="5"/>
      <c r="M23" s="5"/>
      <c r="N23" s="5"/>
      <c r="O23" s="5">
        <v>0.47</v>
      </c>
    </row>
    <row r="24" spans="1:17">
      <c r="A24" s="5" t="s">
        <v>33</v>
      </c>
      <c r="B24" s="5"/>
      <c r="C24" s="5">
        <v>222</v>
      </c>
      <c r="D24" s="5">
        <v>44</v>
      </c>
      <c r="E24" s="5"/>
      <c r="F24" s="5">
        <v>9</v>
      </c>
      <c r="G24" s="5">
        <v>82</v>
      </c>
      <c r="H24" s="5">
        <v>1</v>
      </c>
      <c r="I24" s="5"/>
      <c r="J24" s="5">
        <v>4.05</v>
      </c>
      <c r="K24" s="5"/>
      <c r="L24" s="5"/>
      <c r="M24" s="5"/>
      <c r="N24" s="5"/>
      <c r="O24" s="5">
        <v>0.45</v>
      </c>
    </row>
    <row r="25" spans="1:17">
      <c r="A25" s="5" t="s">
        <v>34</v>
      </c>
      <c r="B25" s="5"/>
      <c r="C25" s="5">
        <v>201</v>
      </c>
      <c r="D25" s="5">
        <v>40</v>
      </c>
      <c r="E25" s="5"/>
      <c r="F25" s="5">
        <v>8</v>
      </c>
      <c r="G25" s="5">
        <v>39</v>
      </c>
      <c r="H25" s="5">
        <v>1</v>
      </c>
      <c r="I25" s="5"/>
      <c r="J25" s="5">
        <v>3.98</v>
      </c>
      <c r="K25" s="5"/>
      <c r="L25" s="5"/>
      <c r="M25" s="5"/>
      <c r="N25" s="5"/>
      <c r="O25" s="5">
        <v>0.5</v>
      </c>
    </row>
    <row r="26" spans="1:17">
      <c r="A26" s="5" t="s">
        <v>35</v>
      </c>
      <c r="B26" s="5"/>
      <c r="C26" s="5">
        <v>161</v>
      </c>
      <c r="D26" s="5">
        <v>40</v>
      </c>
      <c r="E26" s="5"/>
      <c r="F26" s="5">
        <v>20</v>
      </c>
      <c r="G26" s="5">
        <v>78</v>
      </c>
      <c r="H26" s="5">
        <v>1</v>
      </c>
      <c r="I26" s="5"/>
      <c r="J26" s="5">
        <v>12.42</v>
      </c>
      <c r="K26" s="5"/>
      <c r="L26" s="5"/>
      <c r="M26" s="5"/>
      <c r="N26" s="5"/>
      <c r="O26" s="5">
        <v>0.62</v>
      </c>
    </row>
    <row r="27" spans="1:17">
      <c r="A27" s="5" t="s">
        <v>36</v>
      </c>
      <c r="B27" s="5"/>
      <c r="C27" s="5">
        <v>168</v>
      </c>
      <c r="D27" s="5">
        <v>51</v>
      </c>
      <c r="E27" s="5"/>
      <c r="F27" s="5">
        <v>6</v>
      </c>
      <c r="G27" s="5">
        <v>46</v>
      </c>
      <c r="H27" s="5">
        <v>3</v>
      </c>
      <c r="I27" s="5"/>
      <c r="J27" s="5">
        <v>3.57</v>
      </c>
      <c r="K27" s="5"/>
      <c r="L27" s="5"/>
      <c r="M27" s="5"/>
      <c r="N27" s="5"/>
      <c r="O27" s="5">
        <v>1.79</v>
      </c>
    </row>
    <row r="28" spans="1:17">
      <c r="A28" s="5" t="s">
        <v>37</v>
      </c>
      <c r="B28" s="5"/>
      <c r="C28" s="5">
        <v>111</v>
      </c>
      <c r="D28" s="5">
        <v>42</v>
      </c>
      <c r="E28" s="5">
        <v>3</v>
      </c>
      <c r="F28" s="5">
        <v>9</v>
      </c>
      <c r="G28" s="5">
        <v>47</v>
      </c>
      <c r="H28" s="5">
        <v>1</v>
      </c>
      <c r="I28" s="5"/>
      <c r="J28" s="5">
        <v>8.11</v>
      </c>
      <c r="K28" s="5"/>
      <c r="L28" s="5"/>
      <c r="M28" s="5"/>
      <c r="N28" s="5"/>
      <c r="O28" s="5">
        <v>0.9</v>
      </c>
    </row>
    <row r="29" spans="1:17">
      <c r="A29" s="5" t="s">
        <v>38</v>
      </c>
      <c r="B29" s="5"/>
      <c r="C29" s="5">
        <v>90</v>
      </c>
      <c r="D29" s="5">
        <v>16</v>
      </c>
      <c r="E29" s="5">
        <v>1</v>
      </c>
      <c r="F29" s="5">
        <v>24</v>
      </c>
      <c r="G29" s="5">
        <v>10</v>
      </c>
      <c r="H29" s="5">
        <v>2</v>
      </c>
      <c r="I29" s="5"/>
      <c r="J29" s="5">
        <v>26.67</v>
      </c>
      <c r="K29" s="5"/>
      <c r="L29" s="5"/>
      <c r="M29" s="5"/>
      <c r="N29" s="5"/>
      <c r="O29" s="5">
        <v>2.2200000000000002</v>
      </c>
    </row>
    <row r="30" spans="1:17" ht="15" customHeight="1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</row>
    <row r="31" spans="1:17" ht="30" customHeight="1">
      <c r="A31" s="21" t="s">
        <v>39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spans="1:17" ht="30" customHeight="1">
      <c r="A32" s="21" t="s">
        <v>40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spans="1:15" ht="15" customHeight="1">
      <c r="A33" s="21" t="s">
        <v>41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15" ht="15" customHeight="1">
      <c r="A34" s="21" t="s">
        <v>42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spans="1:15" ht="15" customHeight="1">
      <c r="A35" s="21" t="s">
        <v>43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</row>
    <row r="36" spans="1:15" ht="15" customHeight="1">
      <c r="A36" s="14" t="s">
        <v>44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/>
    </row>
    <row r="37" spans="1:15" ht="12.75" customHeight="1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4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</row>
    <row r="39" spans="1:15" ht="12.75" customHeight="1">
      <c r="A39" s="12">
        <v>45909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12.75" customHeight="1">
      <c r="A40" s="13" t="s">
        <v>45</v>
      </c>
      <c r="B40" s="13"/>
      <c r="C40" s="13"/>
      <c r="D40" s="13"/>
      <c r="E40" s="13"/>
      <c r="F40" s="13"/>
      <c r="G40" s="13"/>
      <c r="H40" s="13"/>
      <c r="I40" s="11"/>
      <c r="J40" s="11"/>
      <c r="K40" s="11"/>
      <c r="L40" s="11"/>
      <c r="M40" s="11"/>
      <c r="N40" s="11"/>
      <c r="O40" s="11"/>
    </row>
  </sheetData>
  <mergeCells count="12">
    <mergeCell ref="A39:O39"/>
    <mergeCell ref="A40:H40"/>
    <mergeCell ref="A36:O36"/>
    <mergeCell ref="A2:O2"/>
    <mergeCell ref="A4:O4"/>
    <mergeCell ref="A6:O6"/>
    <mergeCell ref="A30:O30"/>
    <mergeCell ref="A31:O31"/>
    <mergeCell ref="A32:O32"/>
    <mergeCell ref="A33:O33"/>
    <mergeCell ref="A34:O34"/>
    <mergeCell ref="A35:O35"/>
  </mergeCells>
  <printOptions horizontalCentered="1" verticalCentered="1"/>
  <pageMargins left="0.19685039370078741" right="0.19685039370078741" top="0.74803149606299213" bottom="0.74803149606299213" header="0" footer="0"/>
  <pageSetup scale="3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COMITE DE CURRICULO Y CALIDAD POSGRADOS</cp:lastModifiedBy>
  <cp:revision/>
  <dcterms:created xsi:type="dcterms:W3CDTF">2018-06-07T14:17:09Z</dcterms:created>
  <dcterms:modified xsi:type="dcterms:W3CDTF">2025-09-25T19:01:30Z</dcterms:modified>
  <cp:category/>
  <cp:contentStatus/>
</cp:coreProperties>
</file>