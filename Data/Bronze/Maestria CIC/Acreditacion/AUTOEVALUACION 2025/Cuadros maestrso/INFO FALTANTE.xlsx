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Cuadros maestrso/"/>
    </mc:Choice>
  </mc:AlternateContent>
  <xr:revisionPtr revIDLastSave="0" documentId="14_{7060C498-03A3-4B09-A52E-86C69B0F77D3}" xr6:coauthVersionLast="47" xr6:coauthVersionMax="47" xr10:uidLastSave="{00000000-0000-0000-0000-000000000000}"/>
  <bookViews>
    <workbookView xWindow="-120" yWindow="-120" windowWidth="29040" windowHeight="15720" xr2:uid="{F1BE4239-B45D-4423-9AF8-34B7889DA6DD}"/>
  </bookViews>
  <sheets>
    <sheet name="info 1" sheetId="1" r:id="rId1"/>
    <sheet name="DOC X SEMESTRE" sheetId="3" r:id="rId2"/>
    <sheet name="DECANATURA  movilida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</calcChain>
</file>

<file path=xl/sharedStrings.xml><?xml version="1.0" encoding="utf-8"?>
<sst xmlns="http://schemas.openxmlformats.org/spreadsheetml/2006/main" count="612" uniqueCount="127">
  <si>
    <t>DECANATURA</t>
  </si>
  <si>
    <t>OFICINA DE INVESTIGACIONES</t>
  </si>
  <si>
    <t>N°</t>
  </si>
  <si>
    <t>Cedula / identificación</t>
  </si>
  <si>
    <t>Nombres y Apellidos del Profesor</t>
  </si>
  <si>
    <t>Categoría en el Escalafón de la institución (vigente)</t>
  </si>
  <si>
    <t>Capacitaciones docentes</t>
  </si>
  <si>
    <t>Grupo de investigación  principal al que pertenece (incluir enlace)</t>
  </si>
  <si>
    <t>Categoría de investigador Minciencias (vigente) 1.Junior            2.Asociado 3. Senior</t>
  </si>
  <si>
    <t>NOMBRE CAPACITACION</t>
  </si>
  <si>
    <t>AÑO (2022 - 2025)</t>
  </si>
  <si>
    <t>79312869</t>
  </si>
  <si>
    <t>ALZATE MONROY MARCO AURELIO</t>
  </si>
  <si>
    <t>IDEAS</t>
  </si>
  <si>
    <t>SIN CATEGORÍA</t>
  </si>
  <si>
    <t>APARICIO PICO LILIA EDITH</t>
  </si>
  <si>
    <t>GITEM ++</t>
  </si>
  <si>
    <t>AVILA ANGULO MIGUEL ANTONIO</t>
  </si>
  <si>
    <t>BARRETO SANDOVAL MARIA LUISA</t>
  </si>
  <si>
    <t>SIN GRUPO DE LA FACULTAD DE INGENIERÍA</t>
  </si>
  <si>
    <t>12237136</t>
  </si>
  <si>
    <t>BOLAÑOS CASTRO SANDRO JAVIER</t>
  </si>
  <si>
    <t>GICOGE, INTECSE  y MIS</t>
  </si>
  <si>
    <t>CALVO LONDOÑO JORGE MARIO</t>
  </si>
  <si>
    <t>GICOECOL</t>
  </si>
  <si>
    <t>CARDENAS CASTIBLANCO JOSE ROBERTO</t>
  </si>
  <si>
    <t>REDES ABIERTAS DE CONTROL</t>
  </si>
  <si>
    <t>CARDENAS CONTRERAS ANDRES</t>
  </si>
  <si>
    <t>NIDE</t>
  </si>
  <si>
    <t>CASTILLO MENDEZ LUIS EDUARDO</t>
  </si>
  <si>
    <t>GEFEM</t>
  </si>
  <si>
    <t>CHAVARRIAGA LOZANO JAIME ALBERTO</t>
  </si>
  <si>
    <t>CORONADO SANCHEZ PAULO CESAR</t>
  </si>
  <si>
    <t>GIGA y GITEM</t>
  </si>
  <si>
    <t>DAZA CORREDOR ALEJANDRO PAOLO</t>
  </si>
  <si>
    <t>INTECSE</t>
  </si>
  <si>
    <t>DIOSA HENRY ALBERTO</t>
  </si>
  <si>
    <t>ARQUISOFT</t>
  </si>
  <si>
    <t>19483708</t>
  </si>
  <si>
    <t>ESPINEL ORTEGA ALVARO</t>
  </si>
  <si>
    <t>GESETIC</t>
  </si>
  <si>
    <t>FIGUEROA GARCIA JUAN CARLOS</t>
  </si>
  <si>
    <t>LAMIC</t>
  </si>
  <si>
    <t>FLOREZ FERNANDEZ HECTOR ARTURO</t>
  </si>
  <si>
    <t>REGISTRA AL GRUPO ITI DE LA TECNOLÓGICA</t>
  </si>
  <si>
    <t>GAONA BARRERA ANDRES EDUARDO</t>
  </si>
  <si>
    <t>GAONA GARCIA ELVIS EDUARDO</t>
  </si>
  <si>
    <t>GITUD</t>
  </si>
  <si>
    <t>GOMEZ VARGAS ERNESTO</t>
  </si>
  <si>
    <t>LASER</t>
  </si>
  <si>
    <t>HERNANDEZ BARRAGAN ESTEBAN DE JESUS</t>
  </si>
  <si>
    <t>GIIRA</t>
  </si>
  <si>
    <t>JACINTO GOMEZ EDWARD</t>
  </si>
  <si>
    <t>REGISTRA AL GRUPO ARMOS Y SIE DE LA TECNOLÓGICA</t>
  </si>
  <si>
    <t>JUTINICO ALARCON ANDRES LEONARDO</t>
  </si>
  <si>
    <t>LOPEZ CHAVEZ HANS IGOR</t>
  </si>
  <si>
    <t>MEDINA DAZA RUBEN JAVIER</t>
  </si>
  <si>
    <t>GEFEM Y NIDE</t>
  </si>
  <si>
    <t>MENDOZA PRIESSENG CARLOS LEONARDO</t>
  </si>
  <si>
    <t>79553193</t>
  </si>
  <si>
    <t>MUÑOZ QUIÑONES GERARDO ALCIDES</t>
  </si>
  <si>
    <t>ORTIZ DAVILA ALVARO ENRIQUE</t>
  </si>
  <si>
    <t>7724669</t>
  </si>
  <si>
    <t>PERDOMO CHARRY CESAR ANDREY</t>
  </si>
  <si>
    <t>PEREZ CASTILLO JOSE NELSON</t>
  </si>
  <si>
    <t>PLAZAS NOSSA LEONARDO</t>
  </si>
  <si>
    <t>GITEM</t>
  </si>
  <si>
    <t>POVEDA CHAVES ROBERTO MANUEL</t>
  </si>
  <si>
    <t>GCEM</t>
  </si>
  <si>
    <t>ROCHA SALAMANCA LUZ ANGELA</t>
  </si>
  <si>
    <t>RODRIGUEZ RODRIGUEZ JORGE ENRIQUE</t>
  </si>
  <si>
    <t>ROJAS GALEANO SERGIO ANDRES</t>
  </si>
  <si>
    <t>79508767</t>
  </si>
  <si>
    <t>SALCEDO PARRA OCTAVIO JOSE</t>
  </si>
  <si>
    <t>INTERNET INTELIGENTE</t>
  </si>
  <si>
    <t>TORRIJOS CADENA GERMAN</t>
  </si>
  <si>
    <t>REGISTRA AL GRUPO INVESTIGACIÓN DIDÁCTICA EN LAS CIENCIAS DE LA MACARENA</t>
  </si>
  <si>
    <t>VALERO MEDINA JOSE ANTONIO</t>
  </si>
  <si>
    <t>93414671</t>
  </si>
  <si>
    <t>VERA PARRA NELSON ENRIQUE</t>
  </si>
  <si>
    <t>GICOGE</t>
  </si>
  <si>
    <t>PERÍODO</t>
  </si>
  <si>
    <t>2025-1</t>
  </si>
  <si>
    <t>COD. PROYECTO</t>
  </si>
  <si>
    <t>PROYECTO CURRICULAR</t>
  </si>
  <si>
    <t>MAESTRÍA EN CIENCIAS DE LA INFORMACIÓN Y LAS COMUNICACIONES</t>
  </si>
  <si>
    <t>IDENTIFICACIÓN</t>
  </si>
  <si>
    <t>NOMBRE DOCENTE</t>
  </si>
  <si>
    <t>NIVEL DE FORMACIÓN</t>
  </si>
  <si>
    <t>TIPO VINCULACIÓN</t>
  </si>
  <si>
    <t>FECHA INGRESO</t>
  </si>
  <si>
    <t>maestria</t>
  </si>
  <si>
    <t>DOCENTE DE HORA CÁTEDRA POR HONORARIOS</t>
  </si>
  <si>
    <t>DOCENTE DE CARRERA TIEMPO COMPLETO</t>
  </si>
  <si>
    <t>especializacion</t>
  </si>
  <si>
    <t>ORDUÑA DIAZ JOHN ALEXANDER</t>
  </si>
  <si>
    <t>NA</t>
  </si>
  <si>
    <t>2024-3</t>
  </si>
  <si>
    <t>2024-1</t>
  </si>
  <si>
    <t>pregrado</t>
  </si>
  <si>
    <t>MAE. EN CIENCIAS DE LA INF. Y LAS COMUNICACIONES ENFASIS EN ING. SOFT</t>
  </si>
  <si>
    <t>2023-3</t>
  </si>
  <si>
    <t>2023-1</t>
  </si>
  <si>
    <t>2022-3</t>
  </si>
  <si>
    <t>DOCENTE DE VINCULACIÓN ESPECIAL - HORA CÁTEDRA</t>
  </si>
  <si>
    <t>2022-1</t>
  </si>
  <si>
    <t>doctorado</t>
  </si>
  <si>
    <t>MAE. EN CIENCIAS DE LA INF. Y LAS COMUNICACIONES ENFASIS EN GEOMATICA</t>
  </si>
  <si>
    <t>2021-3</t>
  </si>
  <si>
    <t>2021-1</t>
  </si>
  <si>
    <t>MAE. EN CIENCIAS DE LA INF. Y LAS COMUNICACIONES ENFASIS EN TELEINF.</t>
  </si>
  <si>
    <t xml:space="preserve">No. </t>
  </si>
  <si>
    <t>ID (documento)</t>
  </si>
  <si>
    <t>Nombre completo</t>
  </si>
  <si>
    <t xml:space="preserve">Entidad de origen </t>
  </si>
  <si>
    <t>País</t>
  </si>
  <si>
    <t>Objeto</t>
  </si>
  <si>
    <t>Resultados</t>
  </si>
  <si>
    <t>Tipo - Presencial / Virtual</t>
  </si>
  <si>
    <t xml:space="preserve">MOVILIDAD ENTRANTE </t>
  </si>
  <si>
    <t xml:space="preserve">MOVILIDAD SALIENTE </t>
  </si>
  <si>
    <t>Fecha  Inicio 
(dd/mm/aaaa)</t>
  </si>
  <si>
    <t>Fecha Final 
(dd/mm/aaaa)</t>
  </si>
  <si>
    <t>Duración Tiempo Estadía (días)</t>
  </si>
  <si>
    <t>Nacional</t>
  </si>
  <si>
    <t>Extranjero</t>
  </si>
  <si>
    <t xml:space="preserve">Nacional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</si>
</sst>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</font>
    <font>
      <b/>
      <sz val="8"/>
      <color theme="1"/>
      <name val="Century Gothic"/>
      <family val="1"/>
    </font>
    <font>
      <sz val="8"/>
      <color theme="1"/>
      <name val="Century Gothic"/>
      <family val="1"/>
    </font>
    <font>
      <b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DDDDFF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59">
    <xf numFmtId="0" fontId="0" fillId="0" borderId="0" xfId="0"/>
    <xf numFmtId="0" fontId="3" fillId="0" borderId="3" xfId="2" applyFont="1" applyBorder="1" applyAlignment="1" applyProtection="1">
      <alignment horizontal="center" vertical="center" wrapText="1"/>
      <protection locked="0"/>
    </xf>
    <xf numFmtId="49" fontId="3" fillId="0" borderId="5" xfId="2" applyNumberFormat="1" applyFont="1" applyBorder="1" applyAlignment="1">
      <alignment vertical="center" wrapText="1"/>
    </xf>
    <xf numFmtId="0" fontId="0" fillId="2" borderId="7" xfId="0" applyFill="1" applyBorder="1"/>
    <xf numFmtId="49" fontId="3" fillId="0" borderId="10" xfId="2" applyNumberFormat="1" applyFont="1" applyBorder="1" applyAlignment="1">
      <alignment vertical="center" wrapText="1"/>
    </xf>
    <xf numFmtId="0" fontId="0" fillId="0" borderId="7" xfId="0" applyBorder="1"/>
    <xf numFmtId="49" fontId="5" fillId="0" borderId="6" xfId="3" applyNumberFormat="1" applyFont="1" applyBorder="1" applyAlignment="1">
      <alignment horizontal="center" vertical="center" wrapText="1"/>
    </xf>
    <xf numFmtId="1" fontId="5" fillId="0" borderId="6" xfId="3" applyNumberFormat="1" applyFont="1" applyBorder="1" applyAlignment="1">
      <alignment horizontal="center" vertical="center" wrapText="1"/>
    </xf>
    <xf numFmtId="49" fontId="5" fillId="0" borderId="10" xfId="3" applyNumberFormat="1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2" fontId="5" fillId="0" borderId="6" xfId="3" applyNumberFormat="1" applyFont="1" applyBorder="1" applyAlignment="1">
      <alignment horizontal="center" vertical="center" wrapText="1"/>
    </xf>
    <xf numFmtId="49" fontId="6" fillId="0" borderId="6" xfId="3" applyNumberFormat="1" applyFont="1" applyBorder="1" applyAlignment="1">
      <alignment horizontal="left" vertical="center" wrapText="1"/>
    </xf>
    <xf numFmtId="164" fontId="6" fillId="0" borderId="6" xfId="3" applyNumberFormat="1" applyFont="1" applyBorder="1" applyAlignment="1">
      <alignment horizontal="left" vertical="center" wrapText="1"/>
    </xf>
    <xf numFmtId="4" fontId="6" fillId="0" borderId="6" xfId="3" applyNumberFormat="1" applyFont="1" applyBorder="1" applyAlignment="1">
      <alignment horizontal="left" vertical="center" wrapText="1"/>
    </xf>
    <xf numFmtId="14" fontId="6" fillId="0" borderId="15" xfId="3" applyNumberFormat="1" applyFont="1" applyBorder="1" applyAlignment="1">
      <alignment horizontal="left" vertical="center" wrapText="1"/>
    </xf>
    <xf numFmtId="1" fontId="6" fillId="3" borderId="15" xfId="3" applyNumberFormat="1" applyFont="1" applyFill="1" applyBorder="1" applyAlignment="1">
      <alignment horizontal="center" vertical="center" wrapText="1"/>
    </xf>
    <xf numFmtId="0" fontId="2" fillId="0" borderId="17" xfId="2" applyFont="1" applyBorder="1" applyAlignment="1" applyProtection="1">
      <alignment horizontal="center" vertical="center" wrapText="1"/>
      <protection locked="0"/>
    </xf>
    <xf numFmtId="0" fontId="0" fillId="4" borderId="7" xfId="0" applyFill="1" applyBorder="1"/>
    <xf numFmtId="0" fontId="0" fillId="5" borderId="7" xfId="0" applyFill="1" applyBorder="1"/>
    <xf numFmtId="0" fontId="0" fillId="0" borderId="7" xfId="0" applyBorder="1" applyAlignment="1">
      <alignment horizontal="center" vertical="center"/>
    </xf>
    <xf numFmtId="0" fontId="3" fillId="4" borderId="3" xfId="2" applyFont="1" applyFill="1" applyBorder="1" applyAlignment="1" applyProtection="1">
      <alignment horizontal="center" vertical="center" wrapText="1"/>
      <protection locked="0"/>
    </xf>
    <xf numFmtId="49" fontId="3" fillId="4" borderId="5" xfId="2" applyNumberFormat="1" applyFont="1" applyFill="1" applyBorder="1" applyAlignment="1">
      <alignment vertical="center" wrapText="1"/>
    </xf>
    <xf numFmtId="49" fontId="3" fillId="4" borderId="10" xfId="2" applyNumberFormat="1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/>
    </xf>
    <xf numFmtId="49" fontId="3" fillId="2" borderId="10" xfId="2" applyNumberFormat="1" applyFont="1" applyFill="1" applyBorder="1" applyAlignment="1">
      <alignment vertical="center" wrapText="1"/>
    </xf>
    <xf numFmtId="0" fontId="7" fillId="6" borderId="0" xfId="0" applyFont="1" applyFill="1" applyAlignment="1">
      <alignment horizontal="left" vertical="center" wrapText="1" indent="2"/>
    </xf>
    <xf numFmtId="0" fontId="7" fillId="6" borderId="0" xfId="0" applyFont="1" applyFill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 indent="2"/>
    </xf>
    <xf numFmtId="0" fontId="7" fillId="6" borderId="20" xfId="0" applyFont="1" applyFill="1" applyBorder="1" applyAlignment="1">
      <alignment horizontal="left" vertical="center" wrapText="1"/>
    </xf>
    <xf numFmtId="0" fontId="8" fillId="8" borderId="21" xfId="0" applyFont="1" applyFill="1" applyBorder="1" applyAlignment="1">
      <alignment horizontal="left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center" vertical="center" wrapText="1"/>
    </xf>
    <xf numFmtId="14" fontId="9" fillId="6" borderId="0" xfId="0" applyNumberFormat="1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center" vertical="center" wrapText="1"/>
    </xf>
    <xf numFmtId="14" fontId="9" fillId="9" borderId="0" xfId="0" applyNumberFormat="1" applyFont="1" applyFill="1" applyAlignment="1">
      <alignment horizontal="left" vertical="center" wrapText="1"/>
    </xf>
    <xf numFmtId="0" fontId="9" fillId="7" borderId="22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2" fillId="0" borderId="9" xfId="2" applyFont="1" applyBorder="1" applyAlignment="1" applyProtection="1">
      <alignment horizontal="center" vertical="center" wrapText="1"/>
      <protection locked="0"/>
    </xf>
    <xf numFmtId="0" fontId="2" fillId="0" borderId="19" xfId="2" applyFont="1" applyBorder="1" applyAlignment="1" applyProtection="1">
      <alignment horizontal="center" vertical="center" wrapText="1"/>
      <protection locked="0"/>
    </xf>
    <xf numFmtId="9" fontId="2" fillId="0" borderId="7" xfId="1" applyNumberFormat="1" applyFont="1" applyBorder="1" applyAlignment="1" applyProtection="1">
      <alignment horizontal="center" vertical="center" wrapText="1"/>
      <protection locked="0"/>
    </xf>
    <xf numFmtId="49" fontId="2" fillId="0" borderId="1" xfId="1" applyNumberFormat="1" applyFont="1" applyBorder="1" applyAlignment="1" applyProtection="1">
      <alignment horizontal="center" vertical="center" wrapText="1"/>
      <protection locked="0"/>
    </xf>
    <xf numFmtId="49" fontId="2" fillId="0" borderId="3" xfId="1" applyNumberFormat="1" applyFont="1" applyBorder="1" applyAlignment="1" applyProtection="1">
      <alignment horizontal="center" vertical="center" wrapText="1"/>
      <protection locked="0"/>
    </xf>
    <xf numFmtId="49" fontId="2" fillId="0" borderId="2" xfId="1" applyNumberFormat="1" applyFont="1" applyBorder="1" applyAlignment="1" applyProtection="1">
      <alignment horizontal="center" vertical="center" wrapText="1"/>
      <protection locked="0"/>
    </xf>
    <xf numFmtId="49" fontId="2" fillId="0" borderId="4" xfId="1" applyNumberFormat="1" applyFont="1" applyBorder="1" applyAlignment="1" applyProtection="1">
      <alignment horizontal="center" vertical="center" wrapText="1"/>
      <protection locked="0"/>
    </xf>
    <xf numFmtId="49" fontId="2" fillId="0" borderId="8" xfId="1" applyNumberFormat="1" applyFont="1" applyBorder="1" applyAlignment="1" applyProtection="1">
      <alignment horizontal="center" vertical="center" wrapText="1"/>
      <protection locked="0"/>
    </xf>
    <xf numFmtId="49" fontId="2" fillId="0" borderId="9" xfId="1" applyNumberFormat="1" applyFont="1" applyBorder="1" applyAlignment="1" applyProtection="1">
      <alignment horizontal="center" vertical="center" wrapText="1"/>
      <protection locked="0"/>
    </xf>
    <xf numFmtId="0" fontId="2" fillId="0" borderId="7" xfId="2" applyFont="1" applyBorder="1" applyAlignment="1" applyProtection="1">
      <alignment horizontal="center" vertical="center" wrapText="1"/>
      <protection locked="0"/>
    </xf>
    <xf numFmtId="49" fontId="5" fillId="3" borderId="7" xfId="3" applyNumberFormat="1" applyFont="1" applyFill="1" applyBorder="1" applyAlignment="1">
      <alignment horizontal="center" vertical="center" wrapText="1"/>
    </xf>
    <xf numFmtId="49" fontId="5" fillId="0" borderId="11" xfId="3" applyNumberFormat="1" applyFont="1" applyBorder="1" applyAlignment="1">
      <alignment horizontal="center" vertical="center" wrapText="1"/>
    </xf>
    <xf numFmtId="49" fontId="5" fillId="0" borderId="12" xfId="3" applyNumberFormat="1" applyFont="1" applyBorder="1" applyAlignment="1">
      <alignment horizontal="center" vertical="center" wrapText="1"/>
    </xf>
    <xf numFmtId="49" fontId="5" fillId="0" borderId="7" xfId="3" applyNumberFormat="1" applyFont="1" applyBorder="1" applyAlignment="1">
      <alignment horizontal="center" vertical="center" wrapText="1"/>
    </xf>
    <xf numFmtId="49" fontId="5" fillId="0" borderId="15" xfId="3" applyNumberFormat="1" applyFont="1" applyBorder="1" applyAlignment="1">
      <alignment horizontal="center" vertical="center" wrapText="1"/>
    </xf>
    <xf numFmtId="0" fontId="6" fillId="0" borderId="13" xfId="3" applyFont="1" applyBorder="1" applyAlignment="1"/>
    <xf numFmtId="0" fontId="6" fillId="0" borderId="14" xfId="3" applyFont="1" applyBorder="1" applyAlignment="1"/>
    <xf numFmtId="0" fontId="6" fillId="0" borderId="15" xfId="3" applyFont="1" applyBorder="1" applyAlignment="1"/>
    <xf numFmtId="0" fontId="6" fillId="0" borderId="7" xfId="3" applyFont="1" applyBorder="1" applyAlignment="1"/>
  </cellXfs>
  <cellStyles count="4">
    <cellStyle name="Normal" xfId="0" builtinId="0"/>
    <cellStyle name="Normal 2" xfId="2" xr:uid="{80B61A05-8DFD-4348-AF63-E8FACE22CB88}"/>
    <cellStyle name="Normal 3" xfId="1" xr:uid="{97325A76-108F-49F4-8CF7-B4B87EEE15DB}"/>
    <cellStyle name="Normal 5" xfId="3" xr:uid="{0D4A2B14-64B6-4149-AEA1-6FFCA7C78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1094-8E0A-48B8-A010-485D4A03BA3D}">
  <dimension ref="A2:H48"/>
  <sheetViews>
    <sheetView tabSelected="1" topLeftCell="A22" workbookViewId="0">
      <selection activeCell="C57" sqref="C57"/>
    </sheetView>
  </sheetViews>
  <sheetFormatPr defaultColWidth="38.28515625" defaultRowHeight="15"/>
  <cols>
    <col min="1" max="1" width="3.140625" bestFit="1" customWidth="1"/>
    <col min="2" max="2" width="23" bestFit="1" customWidth="1"/>
    <col min="3" max="3" width="51.42578125" customWidth="1"/>
    <col min="4" max="6" width="0" hidden="1" customWidth="1"/>
    <col min="7" max="7" width="40.85546875" customWidth="1"/>
  </cols>
  <sheetData>
    <row r="2" spans="1:8" ht="15.75" thickBot="1">
      <c r="D2" s="38" t="s">
        <v>0</v>
      </c>
      <c r="E2" s="39"/>
      <c r="F2" s="39"/>
      <c r="G2" s="3" t="s">
        <v>1</v>
      </c>
      <c r="H2" s="3" t="s">
        <v>1</v>
      </c>
    </row>
    <row r="3" spans="1:8">
      <c r="A3" s="43" t="s">
        <v>2</v>
      </c>
      <c r="B3" s="45" t="s">
        <v>3</v>
      </c>
      <c r="C3" s="47" t="s">
        <v>4</v>
      </c>
      <c r="D3" s="49" t="s">
        <v>5</v>
      </c>
      <c r="E3" s="40" t="s">
        <v>6</v>
      </c>
      <c r="F3" s="41"/>
      <c r="G3" s="49" t="s">
        <v>7</v>
      </c>
      <c r="H3" s="42" t="s">
        <v>8</v>
      </c>
    </row>
    <row r="4" spans="1:8">
      <c r="A4" s="44"/>
      <c r="B4" s="46"/>
      <c r="C4" s="48"/>
      <c r="D4" s="49"/>
      <c r="E4" s="16" t="s">
        <v>9</v>
      </c>
      <c r="F4" s="16" t="s">
        <v>10</v>
      </c>
      <c r="G4" s="49"/>
      <c r="H4" s="42"/>
    </row>
    <row r="5" spans="1:8">
      <c r="A5" s="1">
        <v>1</v>
      </c>
      <c r="B5" s="2" t="s">
        <v>11</v>
      </c>
      <c r="C5" s="4" t="s">
        <v>12</v>
      </c>
      <c r="D5" s="5"/>
      <c r="E5" s="5"/>
      <c r="F5" s="5"/>
      <c r="G5" s="5" t="s">
        <v>13</v>
      </c>
      <c r="H5" s="19" t="s">
        <v>14</v>
      </c>
    </row>
    <row r="6" spans="1:8">
      <c r="A6" s="1">
        <v>2</v>
      </c>
      <c r="B6" s="2">
        <v>51703985</v>
      </c>
      <c r="C6" s="4" t="s">
        <v>15</v>
      </c>
      <c r="D6" s="5"/>
      <c r="E6" s="5"/>
      <c r="F6" s="5"/>
      <c r="G6" s="5" t="s">
        <v>16</v>
      </c>
      <c r="H6" s="19">
        <v>3</v>
      </c>
    </row>
    <row r="7" spans="1:8">
      <c r="A7" s="1">
        <v>3</v>
      </c>
      <c r="B7" s="2">
        <v>79397454</v>
      </c>
      <c r="C7" s="4" t="s">
        <v>17</v>
      </c>
      <c r="D7" s="5"/>
      <c r="E7" s="5"/>
      <c r="F7" s="5"/>
      <c r="G7" s="5" t="s">
        <v>16</v>
      </c>
      <c r="H7" s="19" t="s">
        <v>14</v>
      </c>
    </row>
    <row r="8" spans="1:8">
      <c r="A8" s="1">
        <v>4</v>
      </c>
      <c r="B8" s="2">
        <v>52426307</v>
      </c>
      <c r="C8" s="4" t="s">
        <v>18</v>
      </c>
      <c r="D8" s="5"/>
      <c r="E8" s="5"/>
      <c r="F8" s="5"/>
      <c r="G8" s="17" t="s">
        <v>19</v>
      </c>
      <c r="H8" s="19" t="s">
        <v>14</v>
      </c>
    </row>
    <row r="9" spans="1:8">
      <c r="A9" s="1">
        <v>5</v>
      </c>
      <c r="B9" s="2" t="s">
        <v>20</v>
      </c>
      <c r="C9" s="24" t="s">
        <v>21</v>
      </c>
      <c r="D9" s="5"/>
      <c r="E9" s="5"/>
      <c r="F9" s="5"/>
      <c r="G9" s="18" t="s">
        <v>22</v>
      </c>
      <c r="H9" s="19">
        <v>2</v>
      </c>
    </row>
    <row r="10" spans="1:8">
      <c r="A10" s="1">
        <v>6</v>
      </c>
      <c r="B10" s="2">
        <v>79378140</v>
      </c>
      <c r="C10" s="4" t="s">
        <v>23</v>
      </c>
      <c r="D10" s="5"/>
      <c r="E10" s="5"/>
      <c r="F10" s="5"/>
      <c r="G10" s="5" t="s">
        <v>24</v>
      </c>
      <c r="H10" s="19" t="s">
        <v>14</v>
      </c>
    </row>
    <row r="11" spans="1:8">
      <c r="A11" s="1">
        <v>7</v>
      </c>
      <c r="B11" s="2">
        <v>19289020</v>
      </c>
      <c r="C11" s="4" t="s">
        <v>25</v>
      </c>
      <c r="D11" s="5"/>
      <c r="E11" s="5"/>
      <c r="F11" s="5"/>
      <c r="G11" s="5" t="s">
        <v>26</v>
      </c>
      <c r="H11" s="19" t="s">
        <v>14</v>
      </c>
    </row>
    <row r="12" spans="1:8">
      <c r="A12" s="1">
        <v>8</v>
      </c>
      <c r="B12" s="2">
        <v>79752717</v>
      </c>
      <c r="C12" s="4" t="s">
        <v>27</v>
      </c>
      <c r="D12" s="5"/>
      <c r="E12" s="5"/>
      <c r="F12" s="5"/>
      <c r="G12" s="5" t="s">
        <v>28</v>
      </c>
      <c r="H12" s="19" t="s">
        <v>14</v>
      </c>
    </row>
    <row r="13" spans="1:8">
      <c r="A13" s="1">
        <v>9</v>
      </c>
      <c r="B13" s="2">
        <v>93401117</v>
      </c>
      <c r="C13" s="24" t="s">
        <v>29</v>
      </c>
      <c r="D13" s="5"/>
      <c r="E13" s="5"/>
      <c r="F13" s="5"/>
      <c r="G13" s="5" t="s">
        <v>30</v>
      </c>
      <c r="H13" s="19" t="s">
        <v>14</v>
      </c>
    </row>
    <row r="14" spans="1:8">
      <c r="A14" s="1">
        <v>10</v>
      </c>
      <c r="B14" s="2">
        <v>94411259</v>
      </c>
      <c r="C14" s="4" t="s">
        <v>31</v>
      </c>
      <c r="D14" s="5"/>
      <c r="E14" s="5"/>
      <c r="F14" s="5"/>
      <c r="G14" s="17" t="s">
        <v>19</v>
      </c>
      <c r="H14" s="19">
        <v>1</v>
      </c>
    </row>
    <row r="15" spans="1:8">
      <c r="A15" s="1">
        <v>11</v>
      </c>
      <c r="B15" s="2">
        <v>79708124</v>
      </c>
      <c r="C15" s="4" t="s">
        <v>32</v>
      </c>
      <c r="D15" s="5"/>
      <c r="E15" s="5"/>
      <c r="F15" s="5"/>
      <c r="G15" s="5" t="s">
        <v>33</v>
      </c>
      <c r="H15" s="19" t="s">
        <v>14</v>
      </c>
    </row>
    <row r="16" spans="1:8">
      <c r="A16" s="1">
        <v>12</v>
      </c>
      <c r="B16" s="2">
        <v>79777053</v>
      </c>
      <c r="C16" s="4" t="s">
        <v>34</v>
      </c>
      <c r="D16" s="5"/>
      <c r="E16" s="5"/>
      <c r="F16" s="5"/>
      <c r="G16" s="5" t="s">
        <v>35</v>
      </c>
      <c r="H16" s="19" t="s">
        <v>14</v>
      </c>
    </row>
    <row r="17" spans="1:8">
      <c r="A17" s="1">
        <v>13</v>
      </c>
      <c r="B17" s="2">
        <v>80264735</v>
      </c>
      <c r="C17" s="4" t="s">
        <v>36</v>
      </c>
      <c r="D17" s="5"/>
      <c r="E17" s="5"/>
      <c r="F17" s="5"/>
      <c r="G17" s="5" t="s">
        <v>37</v>
      </c>
      <c r="H17" s="19">
        <v>1</v>
      </c>
    </row>
    <row r="18" spans="1:8">
      <c r="A18" s="1">
        <v>14</v>
      </c>
      <c r="B18" s="2" t="s">
        <v>38</v>
      </c>
      <c r="C18" s="24" t="s">
        <v>39</v>
      </c>
      <c r="D18" s="5"/>
      <c r="E18" s="5"/>
      <c r="F18" s="5"/>
      <c r="G18" s="5" t="s">
        <v>40</v>
      </c>
      <c r="H18" s="19">
        <v>2</v>
      </c>
    </row>
    <row r="19" spans="1:8">
      <c r="A19" s="1">
        <v>15</v>
      </c>
      <c r="B19" s="2">
        <v>79973967</v>
      </c>
      <c r="C19" s="4" t="s">
        <v>41</v>
      </c>
      <c r="D19" s="5"/>
      <c r="E19" s="5"/>
      <c r="F19" s="5"/>
      <c r="G19" s="5" t="s">
        <v>42</v>
      </c>
      <c r="H19" s="19">
        <v>1</v>
      </c>
    </row>
    <row r="20" spans="1:8">
      <c r="A20" s="1">
        <v>16</v>
      </c>
      <c r="B20" s="2">
        <v>80180279</v>
      </c>
      <c r="C20" s="4" t="s">
        <v>43</v>
      </c>
      <c r="D20" s="5"/>
      <c r="E20" s="5"/>
      <c r="F20" s="5"/>
      <c r="G20" s="17" t="s">
        <v>44</v>
      </c>
      <c r="H20" s="19">
        <v>3</v>
      </c>
    </row>
    <row r="21" spans="1:8">
      <c r="A21" s="1">
        <v>17</v>
      </c>
      <c r="B21" s="2">
        <v>7181718</v>
      </c>
      <c r="C21" s="4" t="s">
        <v>45</v>
      </c>
      <c r="D21" s="5"/>
      <c r="E21" s="5"/>
      <c r="F21" s="5"/>
      <c r="G21" s="5" t="s">
        <v>42</v>
      </c>
      <c r="H21" s="19" t="s">
        <v>14</v>
      </c>
    </row>
    <row r="22" spans="1:8">
      <c r="A22" s="1">
        <v>18</v>
      </c>
      <c r="B22" s="2">
        <v>79950025</v>
      </c>
      <c r="C22" s="4" t="s">
        <v>46</v>
      </c>
      <c r="D22" s="5"/>
      <c r="E22" s="5"/>
      <c r="F22" s="5"/>
      <c r="G22" s="5" t="s">
        <v>47</v>
      </c>
      <c r="H22" s="19"/>
    </row>
    <row r="23" spans="1:8">
      <c r="A23" s="1">
        <v>19</v>
      </c>
      <c r="B23" s="2">
        <v>74373175</v>
      </c>
      <c r="C23" s="4" t="s">
        <v>48</v>
      </c>
      <c r="D23" s="5"/>
      <c r="E23" s="5"/>
      <c r="F23" s="5"/>
      <c r="G23" s="5" t="s">
        <v>49</v>
      </c>
      <c r="H23" s="19">
        <v>2</v>
      </c>
    </row>
    <row r="24" spans="1:8">
      <c r="A24" s="1">
        <v>20</v>
      </c>
      <c r="B24" s="2">
        <v>79893316</v>
      </c>
      <c r="C24" s="4" t="s">
        <v>50</v>
      </c>
      <c r="D24" s="5"/>
      <c r="E24" s="5"/>
      <c r="F24" s="5"/>
      <c r="G24" s="5" t="s">
        <v>51</v>
      </c>
      <c r="H24" s="19" t="s">
        <v>14</v>
      </c>
    </row>
    <row r="25" spans="1:8">
      <c r="A25" s="1">
        <v>21</v>
      </c>
      <c r="B25" s="2">
        <v>79974667</v>
      </c>
      <c r="C25" s="4" t="s">
        <v>52</v>
      </c>
      <c r="D25" s="5"/>
      <c r="E25" s="5"/>
      <c r="F25" s="5"/>
      <c r="G25" s="17" t="s">
        <v>53</v>
      </c>
      <c r="H25" s="19">
        <v>2</v>
      </c>
    </row>
    <row r="26" spans="1:8">
      <c r="A26" s="1">
        <v>22</v>
      </c>
      <c r="B26" s="2">
        <v>79956820</v>
      </c>
      <c r="C26" s="4" t="s">
        <v>54</v>
      </c>
      <c r="D26" s="5"/>
      <c r="E26" s="5"/>
      <c r="F26" s="5"/>
      <c r="G26" s="5" t="s">
        <v>49</v>
      </c>
      <c r="H26" s="19">
        <v>1</v>
      </c>
    </row>
    <row r="27" spans="1:8">
      <c r="A27" s="1">
        <v>23</v>
      </c>
      <c r="B27" s="2">
        <v>80033827</v>
      </c>
      <c r="C27" s="4" t="s">
        <v>55</v>
      </c>
      <c r="D27" s="5"/>
      <c r="E27" s="5"/>
      <c r="F27" s="5"/>
      <c r="G27" s="5" t="s">
        <v>13</v>
      </c>
      <c r="H27" s="19">
        <v>1</v>
      </c>
    </row>
    <row r="28" spans="1:8">
      <c r="A28" s="1">
        <v>24</v>
      </c>
      <c r="B28" s="2">
        <v>79572003</v>
      </c>
      <c r="C28" s="4" t="s">
        <v>56</v>
      </c>
      <c r="D28" s="5"/>
      <c r="E28" s="5"/>
      <c r="F28" s="5"/>
      <c r="G28" s="5" t="s">
        <v>57</v>
      </c>
      <c r="H28" s="19">
        <v>3</v>
      </c>
    </row>
    <row r="29" spans="1:8">
      <c r="A29" s="1">
        <v>25</v>
      </c>
      <c r="B29" s="2">
        <v>3228052</v>
      </c>
      <c r="C29" s="4" t="s">
        <v>58</v>
      </c>
      <c r="D29" s="5"/>
      <c r="E29" s="5"/>
      <c r="F29" s="5"/>
      <c r="G29" s="17" t="s">
        <v>19</v>
      </c>
      <c r="H29" s="19" t="s">
        <v>14</v>
      </c>
    </row>
    <row r="30" spans="1:8">
      <c r="A30" s="1">
        <v>26</v>
      </c>
      <c r="B30" s="2" t="s">
        <v>59</v>
      </c>
      <c r="C30" s="24" t="s">
        <v>60</v>
      </c>
      <c r="D30" s="5"/>
      <c r="E30" s="5"/>
      <c r="F30" s="5"/>
      <c r="G30" s="5" t="s">
        <v>42</v>
      </c>
      <c r="H30" s="19" t="s">
        <v>14</v>
      </c>
    </row>
    <row r="31" spans="1:8">
      <c r="A31" s="1">
        <v>27</v>
      </c>
      <c r="B31" s="2">
        <v>79367935</v>
      </c>
      <c r="C31" s="4" t="s">
        <v>61</v>
      </c>
      <c r="D31" s="5"/>
      <c r="E31" s="5"/>
      <c r="F31" s="5"/>
      <c r="G31" s="5" t="s">
        <v>28</v>
      </c>
      <c r="H31" s="19">
        <v>2</v>
      </c>
    </row>
    <row r="32" spans="1:8">
      <c r="A32" s="1">
        <v>28</v>
      </c>
      <c r="B32" s="2" t="s">
        <v>62</v>
      </c>
      <c r="C32" s="4" t="s">
        <v>63</v>
      </c>
      <c r="D32" s="5"/>
      <c r="E32" s="5"/>
      <c r="F32" s="5"/>
      <c r="G32" s="5" t="s">
        <v>49</v>
      </c>
      <c r="H32" s="19">
        <v>3</v>
      </c>
    </row>
    <row r="33" spans="1:8">
      <c r="A33" s="20">
        <v>29</v>
      </c>
      <c r="B33" s="21">
        <v>197019</v>
      </c>
      <c r="C33" s="22" t="s">
        <v>64</v>
      </c>
      <c r="D33" s="17"/>
      <c r="E33" s="17"/>
      <c r="F33" s="17"/>
      <c r="G33" s="17"/>
      <c r="H33" s="23"/>
    </row>
    <row r="34" spans="1:8">
      <c r="A34" s="1">
        <v>30</v>
      </c>
      <c r="B34" s="2">
        <v>9395122</v>
      </c>
      <c r="C34" s="4" t="s">
        <v>65</v>
      </c>
      <c r="D34" s="5"/>
      <c r="E34" s="5"/>
      <c r="F34" s="5"/>
      <c r="G34" s="5" t="s">
        <v>66</v>
      </c>
      <c r="H34" s="19">
        <v>1</v>
      </c>
    </row>
    <row r="35" spans="1:8">
      <c r="A35" s="1">
        <v>31</v>
      </c>
      <c r="B35" s="2">
        <v>79563205</v>
      </c>
      <c r="C35" s="4" t="s">
        <v>67</v>
      </c>
      <c r="D35" s="5"/>
      <c r="E35" s="5"/>
      <c r="F35" s="5"/>
      <c r="G35" s="5" t="s">
        <v>68</v>
      </c>
      <c r="H35" s="19">
        <v>1</v>
      </c>
    </row>
    <row r="36" spans="1:8">
      <c r="A36" s="1">
        <v>32</v>
      </c>
      <c r="B36" s="2">
        <v>51610577</v>
      </c>
      <c r="C36" s="4" t="s">
        <v>69</v>
      </c>
      <c r="D36" s="5"/>
      <c r="E36" s="5"/>
      <c r="F36" s="5"/>
      <c r="G36" s="5" t="s">
        <v>28</v>
      </c>
      <c r="H36" s="19" t="s">
        <v>14</v>
      </c>
    </row>
    <row r="37" spans="1:8">
      <c r="A37" s="1">
        <v>33</v>
      </c>
      <c r="B37" s="2">
        <v>7165116</v>
      </c>
      <c r="C37" s="4" t="s">
        <v>70</v>
      </c>
      <c r="D37" s="5"/>
      <c r="E37" s="5"/>
      <c r="F37" s="5"/>
      <c r="G37" s="17" t="s">
        <v>19</v>
      </c>
      <c r="H37" s="19">
        <v>1</v>
      </c>
    </row>
    <row r="38" spans="1:8">
      <c r="A38" s="1">
        <v>34</v>
      </c>
      <c r="B38" s="2">
        <v>79757342</v>
      </c>
      <c r="C38" s="4" t="s">
        <v>71</v>
      </c>
      <c r="D38" s="5"/>
      <c r="E38" s="5"/>
      <c r="F38" s="5"/>
      <c r="G38" s="5" t="s">
        <v>42</v>
      </c>
      <c r="H38" s="19">
        <v>1</v>
      </c>
    </row>
    <row r="39" spans="1:8">
      <c r="A39" s="1">
        <v>35</v>
      </c>
      <c r="B39" s="2" t="s">
        <v>72</v>
      </c>
      <c r="C39" s="4" t="s">
        <v>73</v>
      </c>
      <c r="D39" s="5"/>
      <c r="E39" s="5"/>
      <c r="F39" s="5"/>
      <c r="G39" s="5" t="s">
        <v>74</v>
      </c>
      <c r="H39" s="19">
        <v>3</v>
      </c>
    </row>
    <row r="40" spans="1:8">
      <c r="A40" s="1">
        <v>36</v>
      </c>
      <c r="B40" s="2">
        <v>19440276</v>
      </c>
      <c r="C40" s="4" t="s">
        <v>75</v>
      </c>
      <c r="D40" s="5"/>
      <c r="E40" s="5"/>
      <c r="F40" s="5"/>
      <c r="G40" s="17" t="s">
        <v>76</v>
      </c>
      <c r="H40" s="19" t="s">
        <v>14</v>
      </c>
    </row>
    <row r="41" spans="1:8">
      <c r="A41" s="1">
        <v>37</v>
      </c>
      <c r="B41" s="2">
        <v>79390069</v>
      </c>
      <c r="C41" s="4" t="s">
        <v>77</v>
      </c>
      <c r="D41" s="5"/>
      <c r="E41" s="5"/>
      <c r="F41" s="5"/>
      <c r="G41" s="5" t="s">
        <v>28</v>
      </c>
      <c r="H41" s="19">
        <v>1</v>
      </c>
    </row>
    <row r="42" spans="1:8">
      <c r="A42" s="1">
        <v>38</v>
      </c>
      <c r="B42" s="2" t="s">
        <v>78</v>
      </c>
      <c r="C42" s="4" t="s">
        <v>79</v>
      </c>
      <c r="D42" s="5"/>
      <c r="E42" s="5"/>
      <c r="F42" s="5"/>
      <c r="G42" s="5" t="s">
        <v>80</v>
      </c>
      <c r="H42" s="19">
        <v>1</v>
      </c>
    </row>
    <row r="43" spans="1:8">
      <c r="A43" s="1">
        <v>39</v>
      </c>
      <c r="B43" s="2"/>
      <c r="C43" s="4"/>
      <c r="D43" s="5"/>
      <c r="E43" s="5"/>
      <c r="F43" s="5"/>
      <c r="G43" s="5"/>
      <c r="H43" s="19"/>
    </row>
    <row r="44" spans="1:8">
      <c r="A44" s="1">
        <v>40</v>
      </c>
      <c r="B44" s="2"/>
      <c r="C44" s="4"/>
      <c r="D44" s="5"/>
      <c r="E44" s="5"/>
      <c r="F44" s="5"/>
      <c r="G44" s="5"/>
      <c r="H44" s="19"/>
    </row>
    <row r="45" spans="1:8">
      <c r="A45" s="1">
        <v>41</v>
      </c>
      <c r="B45" s="2"/>
      <c r="C45" s="4"/>
      <c r="D45" s="5"/>
      <c r="E45" s="5"/>
      <c r="F45" s="5"/>
      <c r="G45" s="5"/>
      <c r="H45" s="19"/>
    </row>
    <row r="46" spans="1:8">
      <c r="A46" s="1">
        <v>42</v>
      </c>
      <c r="B46" s="2"/>
      <c r="C46" s="4"/>
      <c r="D46" s="5"/>
      <c r="E46" s="5"/>
      <c r="F46" s="5"/>
      <c r="G46" s="5"/>
      <c r="H46" s="19"/>
    </row>
    <row r="47" spans="1:8">
      <c r="A47" s="1">
        <v>43</v>
      </c>
      <c r="B47" s="2"/>
      <c r="C47" s="4"/>
      <c r="D47" s="5"/>
      <c r="E47" s="5"/>
      <c r="F47" s="5"/>
      <c r="G47" s="5"/>
      <c r="H47" s="19"/>
    </row>
    <row r="48" spans="1:8">
      <c r="A48" s="1">
        <v>44</v>
      </c>
      <c r="B48" s="2"/>
      <c r="C48" s="4"/>
      <c r="D48" s="5"/>
      <c r="E48" s="5"/>
      <c r="F48" s="5"/>
      <c r="G48" s="5"/>
      <c r="H48" s="5"/>
    </row>
  </sheetData>
  <sortState xmlns:xlrd2="http://schemas.microsoft.com/office/spreadsheetml/2017/richdata2" ref="B5:C48">
    <sortCondition ref="C48"/>
  </sortState>
  <mergeCells count="8">
    <mergeCell ref="D2:F2"/>
    <mergeCell ref="E3:F3"/>
    <mergeCell ref="H3:H4"/>
    <mergeCell ref="A3:A4"/>
    <mergeCell ref="B3:B4"/>
    <mergeCell ref="C3:C4"/>
    <mergeCell ref="D3:D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DF18-9B30-476D-B85F-384DFAB54C1A}">
  <dimension ref="A1:F144"/>
  <sheetViews>
    <sheetView topLeftCell="A61" workbookViewId="0">
      <selection activeCell="A118" sqref="A118:F144"/>
    </sheetView>
  </sheetViews>
  <sheetFormatPr defaultColWidth="73.140625" defaultRowHeight="15"/>
  <cols>
    <col min="1" max="1" width="26.7109375" bestFit="1" customWidth="1"/>
    <col min="2" max="2" width="67.7109375" bestFit="1" customWidth="1"/>
    <col min="3" max="3" width="39.42578125" bestFit="1" customWidth="1"/>
    <col min="4" max="4" width="22.42578125" bestFit="1" customWidth="1"/>
    <col min="5" max="5" width="46.5703125" bestFit="1" customWidth="1"/>
    <col min="6" max="6" width="17.140625" bestFit="1" customWidth="1"/>
  </cols>
  <sheetData>
    <row r="1" spans="1:6" ht="15.75" thickBot="1">
      <c r="A1" s="27" t="s">
        <v>81</v>
      </c>
      <c r="B1" s="28" t="s">
        <v>82</v>
      </c>
    </row>
    <row r="2" spans="1:6">
      <c r="A2" s="27" t="s">
        <v>83</v>
      </c>
      <c r="B2" s="28">
        <v>695</v>
      </c>
    </row>
    <row r="3" spans="1:6">
      <c r="A3" s="25" t="s">
        <v>84</v>
      </c>
      <c r="B3" s="26" t="s">
        <v>85</v>
      </c>
    </row>
    <row r="4" spans="1:6" ht="15.75" thickBot="1">
      <c r="A4" s="29" t="s">
        <v>81</v>
      </c>
      <c r="B4" s="30" t="s">
        <v>86</v>
      </c>
      <c r="C4" s="29" t="s">
        <v>87</v>
      </c>
      <c r="D4" s="30" t="s">
        <v>88</v>
      </c>
      <c r="E4" s="29" t="s">
        <v>89</v>
      </c>
      <c r="F4" s="29" t="s">
        <v>90</v>
      </c>
    </row>
    <row r="5" spans="1:6">
      <c r="A5" s="31" t="s">
        <v>82</v>
      </c>
      <c r="B5" s="32">
        <v>7165116</v>
      </c>
      <c r="C5" s="31" t="s">
        <v>70</v>
      </c>
      <c r="D5" s="32" t="s">
        <v>91</v>
      </c>
      <c r="E5" s="31" t="s">
        <v>92</v>
      </c>
      <c r="F5" s="33">
        <v>36553</v>
      </c>
    </row>
    <row r="6" spans="1:6">
      <c r="A6" s="34" t="s">
        <v>82</v>
      </c>
      <c r="B6" s="35">
        <v>79367935</v>
      </c>
      <c r="C6" s="34" t="s">
        <v>61</v>
      </c>
      <c r="D6" s="35" t="s">
        <v>91</v>
      </c>
      <c r="E6" s="34" t="s">
        <v>93</v>
      </c>
      <c r="F6" s="36">
        <v>39975</v>
      </c>
    </row>
    <row r="7" spans="1:6">
      <c r="A7" s="31" t="s">
        <v>82</v>
      </c>
      <c r="B7" s="32">
        <v>79508767</v>
      </c>
      <c r="C7" s="31" t="s">
        <v>73</v>
      </c>
      <c r="D7" s="32" t="s">
        <v>91</v>
      </c>
      <c r="E7" s="31" t="s">
        <v>93</v>
      </c>
      <c r="F7" s="33">
        <v>37278</v>
      </c>
    </row>
    <row r="8" spans="1:6">
      <c r="A8" s="34" t="s">
        <v>82</v>
      </c>
      <c r="B8" s="35">
        <v>80033827</v>
      </c>
      <c r="C8" s="34" t="s">
        <v>55</v>
      </c>
      <c r="D8" s="35" t="s">
        <v>94</v>
      </c>
      <c r="E8" s="34" t="s">
        <v>92</v>
      </c>
      <c r="F8" s="36">
        <v>41334</v>
      </c>
    </row>
    <row r="9" spans="1:6">
      <c r="A9" s="31" t="s">
        <v>82</v>
      </c>
      <c r="B9" s="32">
        <v>80778345</v>
      </c>
      <c r="C9" s="31" t="s">
        <v>95</v>
      </c>
      <c r="D9" s="32"/>
      <c r="E9" s="31" t="s">
        <v>92</v>
      </c>
      <c r="F9" s="31"/>
    </row>
    <row r="10" spans="1:6">
      <c r="A10" s="34" t="s">
        <v>82</v>
      </c>
      <c r="B10" s="35">
        <v>93401117</v>
      </c>
      <c r="C10" s="34" t="s">
        <v>29</v>
      </c>
      <c r="D10" s="35" t="s">
        <v>96</v>
      </c>
      <c r="E10" s="34" t="s">
        <v>93</v>
      </c>
      <c r="F10" s="36">
        <v>39506</v>
      </c>
    </row>
    <row r="11" spans="1:6" ht="15.75" thickBot="1">
      <c r="A11" s="37"/>
      <c r="B11" s="37"/>
      <c r="C11" s="37"/>
      <c r="D11" s="37"/>
      <c r="E11" s="37"/>
      <c r="F11" s="37"/>
    </row>
    <row r="12" spans="1:6">
      <c r="A12" s="27" t="s">
        <v>81</v>
      </c>
      <c r="B12" s="28" t="s">
        <v>97</v>
      </c>
    </row>
    <row r="13" spans="1:6" ht="15.75" thickBot="1">
      <c r="A13" s="29" t="s">
        <v>81</v>
      </c>
      <c r="B13" s="30" t="s">
        <v>86</v>
      </c>
      <c r="C13" s="29" t="s">
        <v>87</v>
      </c>
      <c r="D13" s="30" t="s">
        <v>88</v>
      </c>
      <c r="E13" s="29" t="s">
        <v>89</v>
      </c>
      <c r="F13" s="29" t="s">
        <v>90</v>
      </c>
    </row>
    <row r="14" spans="1:6">
      <c r="A14" s="31" t="s">
        <v>97</v>
      </c>
      <c r="B14" s="32">
        <v>79312869</v>
      </c>
      <c r="C14" s="31" t="s">
        <v>12</v>
      </c>
      <c r="D14" s="32" t="s">
        <v>91</v>
      </c>
      <c r="E14" s="31" t="s">
        <v>93</v>
      </c>
      <c r="F14" s="33">
        <v>33850</v>
      </c>
    </row>
    <row r="15" spans="1:6">
      <c r="A15" s="34" t="s">
        <v>97</v>
      </c>
      <c r="B15" s="35">
        <v>79367935</v>
      </c>
      <c r="C15" s="34" t="s">
        <v>61</v>
      </c>
      <c r="D15" s="35" t="s">
        <v>91</v>
      </c>
      <c r="E15" s="34" t="s">
        <v>93</v>
      </c>
      <c r="F15" s="36">
        <v>39975</v>
      </c>
    </row>
    <row r="16" spans="1:6">
      <c r="A16" s="31" t="s">
        <v>97</v>
      </c>
      <c r="B16" s="32">
        <v>79390069</v>
      </c>
      <c r="C16" s="31" t="s">
        <v>77</v>
      </c>
      <c r="D16" s="32" t="s">
        <v>91</v>
      </c>
      <c r="E16" s="31" t="s">
        <v>93</v>
      </c>
      <c r="F16" s="33">
        <v>38391</v>
      </c>
    </row>
    <row r="17" spans="1:6">
      <c r="A17" s="34" t="s">
        <v>97</v>
      </c>
      <c r="B17" s="35">
        <v>80033827</v>
      </c>
      <c r="C17" s="34" t="s">
        <v>55</v>
      </c>
      <c r="D17" s="35" t="s">
        <v>94</v>
      </c>
      <c r="E17" s="34" t="s">
        <v>92</v>
      </c>
      <c r="F17" s="36">
        <v>41334</v>
      </c>
    </row>
    <row r="18" spans="1:6">
      <c r="A18" s="31" t="s">
        <v>97</v>
      </c>
      <c r="B18" s="32">
        <v>93401117</v>
      </c>
      <c r="C18" s="31" t="s">
        <v>29</v>
      </c>
      <c r="D18" s="32" t="s">
        <v>96</v>
      </c>
      <c r="E18" s="31" t="s">
        <v>92</v>
      </c>
      <c r="F18" s="33">
        <v>39506</v>
      </c>
    </row>
    <row r="19" spans="1:6" ht="15.75" thickBot="1">
      <c r="A19" s="37"/>
      <c r="B19" s="37"/>
      <c r="C19" s="37"/>
      <c r="D19" s="37"/>
      <c r="E19" s="37"/>
      <c r="F19" s="37"/>
    </row>
    <row r="20" spans="1:6">
      <c r="A20" s="27" t="s">
        <v>81</v>
      </c>
      <c r="B20" s="28" t="s">
        <v>98</v>
      </c>
    </row>
    <row r="21" spans="1:6" ht="15.75" thickBot="1">
      <c r="A21" s="29" t="s">
        <v>81</v>
      </c>
      <c r="B21" s="30" t="s">
        <v>86</v>
      </c>
      <c r="C21" s="29" t="s">
        <v>87</v>
      </c>
      <c r="D21" s="30" t="s">
        <v>88</v>
      </c>
      <c r="E21" s="29" t="s">
        <v>89</v>
      </c>
      <c r="F21" s="29" t="s">
        <v>90</v>
      </c>
    </row>
    <row r="22" spans="1:6">
      <c r="A22" s="31" t="s">
        <v>98</v>
      </c>
      <c r="B22" s="32">
        <v>74373175</v>
      </c>
      <c r="C22" s="31" t="s">
        <v>48</v>
      </c>
      <c r="D22" s="32" t="s">
        <v>91</v>
      </c>
      <c r="E22" s="31" t="s">
        <v>92</v>
      </c>
      <c r="F22" s="33">
        <v>38727</v>
      </c>
    </row>
    <row r="23" spans="1:6">
      <c r="A23" s="34" t="s">
        <v>98</v>
      </c>
      <c r="B23" s="35">
        <v>79367935</v>
      </c>
      <c r="C23" s="34" t="s">
        <v>61</v>
      </c>
      <c r="D23" s="35" t="s">
        <v>91</v>
      </c>
      <c r="E23" s="34" t="s">
        <v>93</v>
      </c>
      <c r="F23" s="36">
        <v>39975</v>
      </c>
    </row>
    <row r="24" spans="1:6">
      <c r="A24" s="31" t="s">
        <v>98</v>
      </c>
      <c r="B24" s="32">
        <v>79390069</v>
      </c>
      <c r="C24" s="31" t="s">
        <v>77</v>
      </c>
      <c r="D24" s="32" t="s">
        <v>91</v>
      </c>
      <c r="E24" s="31" t="s">
        <v>93</v>
      </c>
      <c r="F24" s="33">
        <v>38391</v>
      </c>
    </row>
    <row r="25" spans="1:6" ht="15.75" thickBot="1">
      <c r="A25" s="34" t="s">
        <v>98</v>
      </c>
      <c r="B25" s="35">
        <v>80033827</v>
      </c>
      <c r="C25" s="34" t="s">
        <v>55</v>
      </c>
      <c r="D25" s="35" t="s">
        <v>94</v>
      </c>
      <c r="E25" s="34" t="s">
        <v>92</v>
      </c>
      <c r="F25" s="36">
        <v>41334</v>
      </c>
    </row>
    <row r="26" spans="1:6" ht="15.75" thickBot="1">
      <c r="A26" s="27" t="s">
        <v>81</v>
      </c>
      <c r="B26" s="28" t="s">
        <v>82</v>
      </c>
    </row>
    <row r="27" spans="1:6">
      <c r="A27" s="27" t="s">
        <v>83</v>
      </c>
      <c r="B27" s="28">
        <v>595</v>
      </c>
    </row>
    <row r="28" spans="1:6">
      <c r="A28" s="25" t="s">
        <v>84</v>
      </c>
      <c r="B28" s="26" t="s">
        <v>85</v>
      </c>
    </row>
    <row r="29" spans="1:6" ht="15.75" thickBot="1">
      <c r="A29" s="29" t="s">
        <v>81</v>
      </c>
      <c r="B29" s="30" t="s">
        <v>86</v>
      </c>
      <c r="C29" s="29" t="s">
        <v>87</v>
      </c>
      <c r="D29" s="30" t="s">
        <v>88</v>
      </c>
      <c r="E29" s="29" t="s">
        <v>89</v>
      </c>
      <c r="F29" s="29" t="s">
        <v>90</v>
      </c>
    </row>
    <row r="30" spans="1:6">
      <c r="A30" s="31" t="s">
        <v>82</v>
      </c>
      <c r="B30" s="32">
        <v>7724669</v>
      </c>
      <c r="C30" s="31" t="s">
        <v>63</v>
      </c>
      <c r="D30" s="32" t="s">
        <v>94</v>
      </c>
      <c r="E30" s="31" t="s">
        <v>92</v>
      </c>
      <c r="F30" s="33">
        <v>40087</v>
      </c>
    </row>
    <row r="31" spans="1:6">
      <c r="A31" s="34" t="s">
        <v>82</v>
      </c>
      <c r="B31" s="35">
        <v>74373175</v>
      </c>
      <c r="C31" s="34" t="s">
        <v>48</v>
      </c>
      <c r="D31" s="35" t="s">
        <v>91</v>
      </c>
      <c r="E31" s="34" t="s">
        <v>92</v>
      </c>
      <c r="F31" s="36">
        <v>38727</v>
      </c>
    </row>
    <row r="32" spans="1:6">
      <c r="A32" s="31" t="s">
        <v>82</v>
      </c>
      <c r="B32" s="32">
        <v>79312869</v>
      </c>
      <c r="C32" s="31" t="s">
        <v>12</v>
      </c>
      <c r="D32" s="32" t="s">
        <v>91</v>
      </c>
      <c r="E32" s="31" t="s">
        <v>93</v>
      </c>
      <c r="F32" s="33">
        <v>33850</v>
      </c>
    </row>
    <row r="33" spans="1:6">
      <c r="A33" s="34" t="s">
        <v>82</v>
      </c>
      <c r="B33" s="35">
        <v>79367935</v>
      </c>
      <c r="C33" s="34" t="s">
        <v>61</v>
      </c>
      <c r="D33" s="35" t="s">
        <v>91</v>
      </c>
      <c r="E33" s="34" t="s">
        <v>93</v>
      </c>
      <c r="F33" s="36">
        <v>39975</v>
      </c>
    </row>
    <row r="34" spans="1:6">
      <c r="A34" s="31" t="s">
        <v>82</v>
      </c>
      <c r="B34" s="32">
        <v>79390069</v>
      </c>
      <c r="C34" s="31" t="s">
        <v>77</v>
      </c>
      <c r="D34" s="32" t="s">
        <v>91</v>
      </c>
      <c r="E34" s="31" t="s">
        <v>93</v>
      </c>
      <c r="F34" s="33">
        <v>38391</v>
      </c>
    </row>
    <row r="35" spans="1:6">
      <c r="A35" s="34" t="s">
        <v>82</v>
      </c>
      <c r="B35" s="35">
        <v>79956820</v>
      </c>
      <c r="C35" s="34" t="s">
        <v>54</v>
      </c>
      <c r="D35" s="35" t="s">
        <v>94</v>
      </c>
      <c r="E35" s="34" t="s">
        <v>92</v>
      </c>
      <c r="F35" s="36">
        <v>43899</v>
      </c>
    </row>
    <row r="36" spans="1:6">
      <c r="A36" s="31" t="s">
        <v>82</v>
      </c>
      <c r="B36" s="32">
        <v>80264735</v>
      </c>
      <c r="C36" s="31" t="s">
        <v>36</v>
      </c>
      <c r="D36" s="32" t="s">
        <v>91</v>
      </c>
      <c r="E36" s="31" t="s">
        <v>93</v>
      </c>
      <c r="F36" s="33">
        <v>36553</v>
      </c>
    </row>
    <row r="37" spans="1:6">
      <c r="A37" s="34" t="s">
        <v>82</v>
      </c>
      <c r="B37" s="35">
        <v>93401117</v>
      </c>
      <c r="C37" s="34" t="s">
        <v>29</v>
      </c>
      <c r="D37" s="35" t="s">
        <v>96</v>
      </c>
      <c r="E37" s="34" t="s">
        <v>92</v>
      </c>
      <c r="F37" s="36">
        <v>39506</v>
      </c>
    </row>
    <row r="38" spans="1:6" ht="15.75" thickBot="1">
      <c r="A38" s="37"/>
      <c r="B38" s="37"/>
      <c r="C38" s="37"/>
      <c r="D38" s="37"/>
      <c r="E38" s="37"/>
      <c r="F38" s="37"/>
    </row>
    <row r="39" spans="1:6">
      <c r="A39" s="27" t="s">
        <v>81</v>
      </c>
      <c r="B39" s="28" t="s">
        <v>97</v>
      </c>
    </row>
    <row r="40" spans="1:6" ht="15.75" thickBot="1">
      <c r="A40" s="29" t="s">
        <v>81</v>
      </c>
      <c r="B40" s="30" t="s">
        <v>86</v>
      </c>
      <c r="C40" s="29" t="s">
        <v>87</v>
      </c>
      <c r="D40" s="30" t="s">
        <v>88</v>
      </c>
      <c r="E40" s="29" t="s">
        <v>89</v>
      </c>
      <c r="F40" s="29" t="s">
        <v>90</v>
      </c>
    </row>
    <row r="41" spans="1:6">
      <c r="A41" s="31" t="s">
        <v>97</v>
      </c>
      <c r="B41" s="32">
        <v>7181718</v>
      </c>
      <c r="C41" s="31" t="s">
        <v>45</v>
      </c>
      <c r="D41" s="32" t="s">
        <v>99</v>
      </c>
      <c r="E41" s="31" t="s">
        <v>92</v>
      </c>
      <c r="F41" s="33">
        <v>38985</v>
      </c>
    </row>
    <row r="42" spans="1:6">
      <c r="A42" s="34" t="s">
        <v>97</v>
      </c>
      <c r="B42" s="35">
        <v>7724669</v>
      </c>
      <c r="C42" s="34" t="s">
        <v>63</v>
      </c>
      <c r="D42" s="35" t="s">
        <v>94</v>
      </c>
      <c r="E42" s="34" t="s">
        <v>92</v>
      </c>
      <c r="F42" s="36">
        <v>40087</v>
      </c>
    </row>
    <row r="43" spans="1:6">
      <c r="A43" s="31" t="s">
        <v>97</v>
      </c>
      <c r="B43" s="32">
        <v>19483708</v>
      </c>
      <c r="C43" s="31" t="s">
        <v>39</v>
      </c>
      <c r="D43" s="32" t="s">
        <v>91</v>
      </c>
      <c r="E43" s="31" t="s">
        <v>93</v>
      </c>
      <c r="F43" s="33">
        <v>38005</v>
      </c>
    </row>
    <row r="44" spans="1:6">
      <c r="A44" s="34" t="s">
        <v>97</v>
      </c>
      <c r="B44" s="35">
        <v>74373175</v>
      </c>
      <c r="C44" s="34" t="s">
        <v>48</v>
      </c>
      <c r="D44" s="35" t="s">
        <v>91</v>
      </c>
      <c r="E44" s="34" t="s">
        <v>92</v>
      </c>
      <c r="F44" s="36">
        <v>38727</v>
      </c>
    </row>
    <row r="45" spans="1:6">
      <c r="A45" s="31" t="s">
        <v>97</v>
      </c>
      <c r="B45" s="32">
        <v>79312869</v>
      </c>
      <c r="C45" s="31" t="s">
        <v>12</v>
      </c>
      <c r="D45" s="32" t="s">
        <v>91</v>
      </c>
      <c r="E45" s="31" t="s">
        <v>93</v>
      </c>
      <c r="F45" s="33">
        <v>33850</v>
      </c>
    </row>
    <row r="46" spans="1:6">
      <c r="A46" s="34" t="s">
        <v>97</v>
      </c>
      <c r="B46" s="35">
        <v>79367935</v>
      </c>
      <c r="C46" s="34" t="s">
        <v>61</v>
      </c>
      <c r="D46" s="35" t="s">
        <v>91</v>
      </c>
      <c r="E46" s="34" t="s">
        <v>93</v>
      </c>
      <c r="F46" s="36">
        <v>39975</v>
      </c>
    </row>
    <row r="47" spans="1:6">
      <c r="A47" s="31" t="s">
        <v>97</v>
      </c>
      <c r="B47" s="32">
        <v>79508767</v>
      </c>
      <c r="C47" s="31" t="s">
        <v>73</v>
      </c>
      <c r="D47" s="32" t="s">
        <v>91</v>
      </c>
      <c r="E47" s="31" t="s">
        <v>93</v>
      </c>
      <c r="F47" s="33">
        <v>37278</v>
      </c>
    </row>
    <row r="48" spans="1:6">
      <c r="A48" s="34" t="s">
        <v>97</v>
      </c>
      <c r="B48" s="35">
        <v>79553193</v>
      </c>
      <c r="C48" s="34" t="s">
        <v>60</v>
      </c>
      <c r="D48" s="35" t="s">
        <v>91</v>
      </c>
      <c r="E48" s="34" t="s">
        <v>93</v>
      </c>
      <c r="F48" s="36">
        <v>36199</v>
      </c>
    </row>
    <row r="49" spans="1:6">
      <c r="A49" s="31" t="s">
        <v>97</v>
      </c>
      <c r="B49" s="32">
        <v>79572003</v>
      </c>
      <c r="C49" s="31" t="s">
        <v>56</v>
      </c>
      <c r="D49" s="32" t="s">
        <v>91</v>
      </c>
      <c r="E49" s="31" t="s">
        <v>92</v>
      </c>
      <c r="F49" s="33">
        <v>36199</v>
      </c>
    </row>
    <row r="50" spans="1:6">
      <c r="A50" s="34" t="s">
        <v>97</v>
      </c>
      <c r="B50" s="35">
        <v>79757342</v>
      </c>
      <c r="C50" s="34" t="s">
        <v>71</v>
      </c>
      <c r="D50" s="35" t="s">
        <v>94</v>
      </c>
      <c r="E50" s="34" t="s">
        <v>92</v>
      </c>
      <c r="F50" s="36">
        <v>36553</v>
      </c>
    </row>
    <row r="51" spans="1:6">
      <c r="A51" s="31" t="s">
        <v>97</v>
      </c>
      <c r="B51" s="32">
        <v>79973967</v>
      </c>
      <c r="C51" s="31" t="s">
        <v>41</v>
      </c>
      <c r="D51" s="32" t="s">
        <v>99</v>
      </c>
      <c r="E51" s="31" t="s">
        <v>92</v>
      </c>
      <c r="F51" s="33">
        <v>38971</v>
      </c>
    </row>
    <row r="52" spans="1:6" ht="15.75" thickBot="1">
      <c r="A52" s="37"/>
      <c r="B52" s="37"/>
      <c r="C52" s="37"/>
      <c r="D52" s="37"/>
      <c r="E52" s="37"/>
      <c r="F52" s="37"/>
    </row>
    <row r="53" spans="1:6">
      <c r="A53" s="27" t="s">
        <v>81</v>
      </c>
      <c r="B53" s="28" t="s">
        <v>98</v>
      </c>
    </row>
    <row r="54" spans="1:6" ht="15.75" thickBot="1">
      <c r="A54" s="29" t="s">
        <v>81</v>
      </c>
      <c r="B54" s="30" t="s">
        <v>86</v>
      </c>
      <c r="C54" s="29" t="s">
        <v>87</v>
      </c>
      <c r="D54" s="30" t="s">
        <v>88</v>
      </c>
      <c r="E54" s="29" t="s">
        <v>89</v>
      </c>
      <c r="F54" s="29" t="s">
        <v>90</v>
      </c>
    </row>
    <row r="55" spans="1:6">
      <c r="A55" s="31" t="s">
        <v>98</v>
      </c>
      <c r="B55" s="32">
        <v>19483708</v>
      </c>
      <c r="C55" s="31" t="s">
        <v>39</v>
      </c>
      <c r="D55" s="32" t="s">
        <v>91</v>
      </c>
      <c r="E55" s="31" t="s">
        <v>93</v>
      </c>
      <c r="F55" s="33">
        <v>38005</v>
      </c>
    </row>
    <row r="56" spans="1:6">
      <c r="A56" s="34" t="s">
        <v>98</v>
      </c>
      <c r="B56" s="35">
        <v>79312869</v>
      </c>
      <c r="C56" s="34" t="s">
        <v>12</v>
      </c>
      <c r="D56" s="35" t="s">
        <v>91</v>
      </c>
      <c r="E56" s="34" t="s">
        <v>93</v>
      </c>
      <c r="F56" s="36">
        <v>33850</v>
      </c>
    </row>
    <row r="57" spans="1:6">
      <c r="A57" s="31" t="s">
        <v>98</v>
      </c>
      <c r="B57" s="32">
        <v>79367935</v>
      </c>
      <c r="C57" s="31" t="s">
        <v>61</v>
      </c>
      <c r="D57" s="32" t="s">
        <v>91</v>
      </c>
      <c r="E57" s="31" t="s">
        <v>93</v>
      </c>
      <c r="F57" s="33">
        <v>39975</v>
      </c>
    </row>
    <row r="58" spans="1:6">
      <c r="A58" s="34" t="s">
        <v>98</v>
      </c>
      <c r="B58" s="35">
        <v>93401117</v>
      </c>
      <c r="C58" s="34" t="s">
        <v>29</v>
      </c>
      <c r="D58" s="35" t="s">
        <v>96</v>
      </c>
      <c r="E58" s="34" t="s">
        <v>92</v>
      </c>
      <c r="F58" s="36">
        <v>39506</v>
      </c>
    </row>
    <row r="59" spans="1:6" ht="15.75" thickBot="1"/>
    <row r="60" spans="1:6" ht="15.75" thickBot="1">
      <c r="A60" s="27" t="s">
        <v>81</v>
      </c>
      <c r="B60" s="28" t="s">
        <v>98</v>
      </c>
    </row>
    <row r="61" spans="1:6">
      <c r="A61" s="27" t="s">
        <v>83</v>
      </c>
      <c r="B61" s="28">
        <v>495</v>
      </c>
    </row>
    <row r="62" spans="1:6" ht="25.5">
      <c r="A62" s="25" t="s">
        <v>84</v>
      </c>
      <c r="B62" s="26" t="s">
        <v>100</v>
      </c>
    </row>
    <row r="63" spans="1:6" ht="15.75" thickBot="1">
      <c r="A63" s="29" t="s">
        <v>81</v>
      </c>
      <c r="B63" s="30" t="s">
        <v>86</v>
      </c>
      <c r="C63" s="29" t="s">
        <v>87</v>
      </c>
      <c r="D63" s="30" t="s">
        <v>88</v>
      </c>
      <c r="E63" s="29" t="s">
        <v>89</v>
      </c>
      <c r="F63" s="29" t="s">
        <v>90</v>
      </c>
    </row>
    <row r="64" spans="1:6">
      <c r="A64" s="31" t="s">
        <v>98</v>
      </c>
      <c r="B64" s="32">
        <v>12237136</v>
      </c>
      <c r="C64" s="31" t="s">
        <v>21</v>
      </c>
      <c r="D64" s="32" t="s">
        <v>91</v>
      </c>
      <c r="E64" s="31" t="s">
        <v>92</v>
      </c>
      <c r="F64" s="33">
        <v>36006</v>
      </c>
    </row>
    <row r="65" spans="1:6" ht="15.75" thickBot="1">
      <c r="A65" s="37"/>
      <c r="B65" s="37"/>
      <c r="C65" s="37"/>
      <c r="D65" s="37"/>
      <c r="E65" s="37"/>
      <c r="F65" s="37"/>
    </row>
    <row r="66" spans="1:6">
      <c r="A66" s="27" t="s">
        <v>81</v>
      </c>
      <c r="B66" s="28" t="s">
        <v>101</v>
      </c>
    </row>
    <row r="67" spans="1:6" ht="15.75" thickBot="1">
      <c r="A67" s="29" t="s">
        <v>81</v>
      </c>
      <c r="B67" s="30" t="s">
        <v>86</v>
      </c>
      <c r="C67" s="29" t="s">
        <v>87</v>
      </c>
      <c r="D67" s="30" t="s">
        <v>88</v>
      </c>
      <c r="E67" s="29" t="s">
        <v>89</v>
      </c>
      <c r="F67" s="29" t="s">
        <v>90</v>
      </c>
    </row>
    <row r="68" spans="1:6">
      <c r="A68" s="31" t="s">
        <v>101</v>
      </c>
      <c r="B68" s="32">
        <v>79367935</v>
      </c>
      <c r="C68" s="31" t="s">
        <v>61</v>
      </c>
      <c r="D68" s="32" t="s">
        <v>91</v>
      </c>
      <c r="E68" s="31" t="s">
        <v>93</v>
      </c>
      <c r="F68" s="33">
        <v>39975</v>
      </c>
    </row>
    <row r="69" spans="1:6">
      <c r="A69" s="34" t="s">
        <v>101</v>
      </c>
      <c r="B69" s="35">
        <v>80264735</v>
      </c>
      <c r="C69" s="34" t="s">
        <v>36</v>
      </c>
      <c r="D69" s="35" t="s">
        <v>91</v>
      </c>
      <c r="E69" s="34" t="s">
        <v>93</v>
      </c>
      <c r="F69" s="36">
        <v>36553</v>
      </c>
    </row>
    <row r="70" spans="1:6" ht="15.75" thickBot="1">
      <c r="A70" s="37"/>
      <c r="B70" s="37"/>
      <c r="C70" s="37"/>
      <c r="D70" s="37"/>
      <c r="E70" s="37"/>
      <c r="F70" s="37"/>
    </row>
    <row r="71" spans="1:6">
      <c r="A71" s="27" t="s">
        <v>81</v>
      </c>
      <c r="B71" s="28" t="s">
        <v>102</v>
      </c>
    </row>
    <row r="72" spans="1:6" ht="15.75" thickBot="1">
      <c r="A72" s="29" t="s">
        <v>81</v>
      </c>
      <c r="B72" s="30" t="s">
        <v>86</v>
      </c>
      <c r="C72" s="29" t="s">
        <v>87</v>
      </c>
      <c r="D72" s="30" t="s">
        <v>88</v>
      </c>
      <c r="E72" s="29" t="s">
        <v>89</v>
      </c>
      <c r="F72" s="29" t="s">
        <v>90</v>
      </c>
    </row>
    <row r="73" spans="1:6">
      <c r="A73" s="31" t="s">
        <v>102</v>
      </c>
      <c r="B73" s="32">
        <v>19483708</v>
      </c>
      <c r="C73" s="31" t="s">
        <v>39</v>
      </c>
      <c r="D73" s="32" t="s">
        <v>91</v>
      </c>
      <c r="E73" s="31" t="s">
        <v>93</v>
      </c>
      <c r="F73" s="33">
        <v>38005</v>
      </c>
    </row>
    <row r="74" spans="1:6">
      <c r="A74" s="34" t="s">
        <v>102</v>
      </c>
      <c r="B74" s="35">
        <v>79367935</v>
      </c>
      <c r="C74" s="34" t="s">
        <v>61</v>
      </c>
      <c r="D74" s="35" t="s">
        <v>91</v>
      </c>
      <c r="E74" s="34" t="s">
        <v>93</v>
      </c>
      <c r="F74" s="36">
        <v>39975</v>
      </c>
    </row>
    <row r="75" spans="1:6">
      <c r="A75" s="31" t="s">
        <v>102</v>
      </c>
      <c r="B75" s="32">
        <v>80264735</v>
      </c>
      <c r="C75" s="31" t="s">
        <v>36</v>
      </c>
      <c r="D75" s="32" t="s">
        <v>91</v>
      </c>
      <c r="E75" s="31" t="s">
        <v>93</v>
      </c>
      <c r="F75" s="33">
        <v>36553</v>
      </c>
    </row>
    <row r="76" spans="1:6" ht="15.75" thickBot="1">
      <c r="A76" s="37"/>
      <c r="B76" s="37"/>
      <c r="C76" s="37"/>
      <c r="D76" s="37"/>
      <c r="E76" s="37"/>
      <c r="F76" s="37"/>
    </row>
    <row r="77" spans="1:6">
      <c r="A77" s="27" t="s">
        <v>81</v>
      </c>
      <c r="B77" s="28" t="s">
        <v>103</v>
      </c>
    </row>
    <row r="78" spans="1:6" ht="15.75" thickBot="1">
      <c r="A78" s="29" t="s">
        <v>81</v>
      </c>
      <c r="B78" s="30" t="s">
        <v>86</v>
      </c>
      <c r="C78" s="29" t="s">
        <v>87</v>
      </c>
      <c r="D78" s="30" t="s">
        <v>88</v>
      </c>
      <c r="E78" s="29" t="s">
        <v>89</v>
      </c>
      <c r="F78" s="29" t="s">
        <v>90</v>
      </c>
    </row>
    <row r="79" spans="1:6">
      <c r="A79" s="31" t="s">
        <v>103</v>
      </c>
      <c r="B79" s="32">
        <v>19483708</v>
      </c>
      <c r="C79" s="31" t="s">
        <v>39</v>
      </c>
      <c r="D79" s="32" t="s">
        <v>91</v>
      </c>
      <c r="E79" s="31" t="s">
        <v>93</v>
      </c>
      <c r="F79" s="33">
        <v>38005</v>
      </c>
    </row>
    <row r="80" spans="1:6">
      <c r="A80" s="34" t="s">
        <v>103</v>
      </c>
      <c r="B80" s="35">
        <v>80264735</v>
      </c>
      <c r="C80" s="34" t="s">
        <v>36</v>
      </c>
      <c r="D80" s="35" t="s">
        <v>91</v>
      </c>
      <c r="E80" s="34" t="s">
        <v>93</v>
      </c>
      <c r="F80" s="36">
        <v>36553</v>
      </c>
    </row>
    <row r="81" spans="1:6" ht="25.5">
      <c r="A81" s="31" t="s">
        <v>103</v>
      </c>
      <c r="B81" s="32">
        <v>94411259</v>
      </c>
      <c r="C81" s="31" t="s">
        <v>31</v>
      </c>
      <c r="D81" s="32"/>
      <c r="E81" s="31" t="s">
        <v>104</v>
      </c>
      <c r="F81" s="31"/>
    </row>
    <row r="82" spans="1:6" ht="15.75" thickBot="1">
      <c r="A82" s="37"/>
      <c r="B82" s="37"/>
      <c r="C82" s="37"/>
      <c r="D82" s="37"/>
      <c r="E82" s="37"/>
      <c r="F82" s="37"/>
    </row>
    <row r="83" spans="1:6">
      <c r="A83" s="27" t="s">
        <v>81</v>
      </c>
      <c r="B83" s="28" t="s">
        <v>105</v>
      </c>
    </row>
    <row r="84" spans="1:6" ht="15.75" thickBot="1">
      <c r="A84" s="29" t="s">
        <v>81</v>
      </c>
      <c r="B84" s="30" t="s">
        <v>86</v>
      </c>
      <c r="C84" s="29" t="s">
        <v>87</v>
      </c>
      <c r="D84" s="30" t="s">
        <v>88</v>
      </c>
      <c r="E84" s="29" t="s">
        <v>89</v>
      </c>
      <c r="F84" s="29" t="s">
        <v>90</v>
      </c>
    </row>
    <row r="85" spans="1:6">
      <c r="A85" s="31" t="s">
        <v>105</v>
      </c>
      <c r="B85" s="32">
        <v>7165116</v>
      </c>
      <c r="C85" s="31" t="s">
        <v>70</v>
      </c>
      <c r="D85" s="32" t="s">
        <v>91</v>
      </c>
      <c r="E85" s="31" t="s">
        <v>92</v>
      </c>
      <c r="F85" s="33">
        <v>36553</v>
      </c>
    </row>
    <row r="86" spans="1:6">
      <c r="A86" s="34" t="s">
        <v>105</v>
      </c>
      <c r="B86" s="35">
        <v>79367935</v>
      </c>
      <c r="C86" s="34" t="s">
        <v>61</v>
      </c>
      <c r="D86" s="35" t="s">
        <v>91</v>
      </c>
      <c r="E86" s="34" t="s">
        <v>93</v>
      </c>
      <c r="F86" s="36">
        <v>39975</v>
      </c>
    </row>
    <row r="87" spans="1:6" ht="25.5">
      <c r="A87" s="31" t="s">
        <v>105</v>
      </c>
      <c r="B87" s="32">
        <v>79378140</v>
      </c>
      <c r="C87" s="31" t="s">
        <v>23</v>
      </c>
      <c r="D87" s="32" t="s">
        <v>106</v>
      </c>
      <c r="E87" s="31" t="s">
        <v>104</v>
      </c>
      <c r="F87" s="31"/>
    </row>
    <row r="88" spans="1:6">
      <c r="A88" s="34" t="s">
        <v>105</v>
      </c>
      <c r="B88" s="35">
        <v>79777053</v>
      </c>
      <c r="C88" s="34" t="s">
        <v>34</v>
      </c>
      <c r="D88" s="35" t="s">
        <v>94</v>
      </c>
      <c r="E88" s="34" t="s">
        <v>92</v>
      </c>
      <c r="F88" s="36">
        <v>43899</v>
      </c>
    </row>
    <row r="89" spans="1:6">
      <c r="A89" s="31" t="s">
        <v>105</v>
      </c>
      <c r="B89" s="32">
        <v>80264735</v>
      </c>
      <c r="C89" s="31" t="s">
        <v>36</v>
      </c>
      <c r="D89" s="32" t="s">
        <v>91</v>
      </c>
      <c r="E89" s="31" t="s">
        <v>93</v>
      </c>
      <c r="F89" s="33">
        <v>36553</v>
      </c>
    </row>
    <row r="90" spans="1:6" ht="26.25" thickBot="1">
      <c r="A90" s="34" t="s">
        <v>105</v>
      </c>
      <c r="B90" s="35">
        <v>94411259</v>
      </c>
      <c r="C90" s="34" t="s">
        <v>31</v>
      </c>
      <c r="D90" s="35"/>
      <c r="E90" s="34" t="s">
        <v>104</v>
      </c>
      <c r="F90" s="34"/>
    </row>
    <row r="91" spans="1:6" ht="15.75" thickBot="1">
      <c r="A91" s="27" t="s">
        <v>81</v>
      </c>
      <c r="B91" s="28" t="s">
        <v>103</v>
      </c>
    </row>
    <row r="92" spans="1:6">
      <c r="A92" s="27" t="s">
        <v>83</v>
      </c>
      <c r="B92" s="28">
        <v>395</v>
      </c>
    </row>
    <row r="93" spans="1:6" ht="25.5">
      <c r="A93" s="25" t="s">
        <v>84</v>
      </c>
      <c r="B93" s="26" t="s">
        <v>107</v>
      </c>
    </row>
    <row r="94" spans="1:6" ht="15.75" thickBot="1">
      <c r="A94" s="29" t="s">
        <v>81</v>
      </c>
      <c r="B94" s="30" t="s">
        <v>86</v>
      </c>
      <c r="C94" s="29" t="s">
        <v>87</v>
      </c>
      <c r="D94" s="30" t="s">
        <v>88</v>
      </c>
      <c r="E94" s="29" t="s">
        <v>89</v>
      </c>
      <c r="F94" s="29" t="s">
        <v>90</v>
      </c>
    </row>
    <row r="95" spans="1:6">
      <c r="A95" s="31" t="s">
        <v>103</v>
      </c>
      <c r="B95" s="32">
        <v>79367935</v>
      </c>
      <c r="C95" s="31" t="s">
        <v>61</v>
      </c>
      <c r="D95" s="32" t="s">
        <v>91</v>
      </c>
      <c r="E95" s="31" t="s">
        <v>93</v>
      </c>
      <c r="F95" s="33">
        <v>39975</v>
      </c>
    </row>
    <row r="96" spans="1:6">
      <c r="A96" s="34" t="s">
        <v>103</v>
      </c>
      <c r="B96" s="35">
        <v>79390069</v>
      </c>
      <c r="C96" s="34" t="s">
        <v>77</v>
      </c>
      <c r="D96" s="35" t="s">
        <v>91</v>
      </c>
      <c r="E96" s="34" t="s">
        <v>93</v>
      </c>
      <c r="F96" s="36">
        <v>38391</v>
      </c>
    </row>
    <row r="97" spans="1:6">
      <c r="A97" s="31" t="s">
        <v>103</v>
      </c>
      <c r="B97" s="32">
        <v>79397454</v>
      </c>
      <c r="C97" s="31" t="s">
        <v>17</v>
      </c>
      <c r="D97" s="32" t="s">
        <v>94</v>
      </c>
      <c r="E97" s="31" t="s">
        <v>92</v>
      </c>
      <c r="F97" s="33">
        <v>39001</v>
      </c>
    </row>
    <row r="98" spans="1:6" ht="15.75" thickBot="1">
      <c r="A98" s="37"/>
      <c r="B98" s="37"/>
      <c r="C98" s="37"/>
      <c r="D98" s="37"/>
      <c r="E98" s="37"/>
      <c r="F98" s="37"/>
    </row>
    <row r="99" spans="1:6">
      <c r="A99" s="27" t="s">
        <v>81</v>
      </c>
      <c r="B99" s="28" t="s">
        <v>105</v>
      </c>
    </row>
    <row r="100" spans="1:6" ht="15.75" thickBot="1">
      <c r="A100" s="29" t="s">
        <v>81</v>
      </c>
      <c r="B100" s="30" t="s">
        <v>86</v>
      </c>
      <c r="C100" s="29" t="s">
        <v>87</v>
      </c>
      <c r="D100" s="30" t="s">
        <v>88</v>
      </c>
      <c r="E100" s="29" t="s">
        <v>89</v>
      </c>
      <c r="F100" s="29" t="s">
        <v>90</v>
      </c>
    </row>
    <row r="101" spans="1:6">
      <c r="A101" s="31" t="s">
        <v>105</v>
      </c>
      <c r="B101" s="32">
        <v>19440276</v>
      </c>
      <c r="C101" s="31" t="s">
        <v>75</v>
      </c>
      <c r="D101" s="32" t="s">
        <v>94</v>
      </c>
      <c r="E101" s="31" t="s">
        <v>92</v>
      </c>
      <c r="F101" s="33">
        <v>38967</v>
      </c>
    </row>
    <row r="102" spans="1:6">
      <c r="A102" s="34" t="s">
        <v>105</v>
      </c>
      <c r="B102" s="35">
        <v>79367935</v>
      </c>
      <c r="C102" s="34" t="s">
        <v>61</v>
      </c>
      <c r="D102" s="35" t="s">
        <v>91</v>
      </c>
      <c r="E102" s="34" t="s">
        <v>93</v>
      </c>
      <c r="F102" s="36">
        <v>39975</v>
      </c>
    </row>
    <row r="103" spans="1:6">
      <c r="A103" s="31" t="s">
        <v>105</v>
      </c>
      <c r="B103" s="32">
        <v>79390069</v>
      </c>
      <c r="C103" s="31" t="s">
        <v>77</v>
      </c>
      <c r="D103" s="32" t="s">
        <v>91</v>
      </c>
      <c r="E103" s="31" t="s">
        <v>93</v>
      </c>
      <c r="F103" s="33">
        <v>38391</v>
      </c>
    </row>
    <row r="104" spans="1:6">
      <c r="A104" s="34" t="s">
        <v>105</v>
      </c>
      <c r="B104" s="35">
        <v>79752717</v>
      </c>
      <c r="C104" s="34" t="s">
        <v>27</v>
      </c>
      <c r="D104" s="35" t="s">
        <v>91</v>
      </c>
      <c r="E104" s="34" t="s">
        <v>92</v>
      </c>
      <c r="F104" s="36">
        <v>37172</v>
      </c>
    </row>
    <row r="105" spans="1:6" ht="15.75" thickBot="1">
      <c r="A105" s="37"/>
      <c r="B105" s="37"/>
      <c r="C105" s="37"/>
      <c r="D105" s="37"/>
      <c r="E105" s="37"/>
      <c r="F105" s="37"/>
    </row>
    <row r="106" spans="1:6">
      <c r="A106" s="27" t="s">
        <v>81</v>
      </c>
      <c r="B106" s="28" t="s">
        <v>108</v>
      </c>
    </row>
    <row r="107" spans="1:6" ht="15.75" thickBot="1">
      <c r="A107" s="29" t="s">
        <v>81</v>
      </c>
      <c r="B107" s="30" t="s">
        <v>86</v>
      </c>
      <c r="C107" s="29" t="s">
        <v>87</v>
      </c>
      <c r="D107" s="30" t="s">
        <v>88</v>
      </c>
      <c r="E107" s="29" t="s">
        <v>89</v>
      </c>
      <c r="F107" s="29" t="s">
        <v>90</v>
      </c>
    </row>
    <row r="108" spans="1:6">
      <c r="A108" s="31" t="s">
        <v>108</v>
      </c>
      <c r="B108" s="32">
        <v>79367935</v>
      </c>
      <c r="C108" s="31" t="s">
        <v>61</v>
      </c>
      <c r="D108" s="32" t="s">
        <v>91</v>
      </c>
      <c r="E108" s="31" t="s">
        <v>93</v>
      </c>
      <c r="F108" s="33">
        <v>39975</v>
      </c>
    </row>
    <row r="109" spans="1:6">
      <c r="A109" s="34" t="s">
        <v>108</v>
      </c>
      <c r="B109" s="35">
        <v>79572003</v>
      </c>
      <c r="C109" s="34" t="s">
        <v>56</v>
      </c>
      <c r="D109" s="35" t="s">
        <v>91</v>
      </c>
      <c r="E109" s="34" t="s">
        <v>92</v>
      </c>
      <c r="F109" s="36">
        <v>36199</v>
      </c>
    </row>
    <row r="110" spans="1:6" ht="15.75" thickBot="1">
      <c r="A110" s="37"/>
      <c r="B110" s="37"/>
      <c r="C110" s="37"/>
      <c r="D110" s="37"/>
      <c r="E110" s="37"/>
      <c r="F110" s="37"/>
    </row>
    <row r="111" spans="1:6">
      <c r="A111" s="27" t="s">
        <v>81</v>
      </c>
      <c r="B111" s="28" t="s">
        <v>109</v>
      </c>
    </row>
    <row r="112" spans="1:6" ht="15.75" thickBot="1">
      <c r="A112" s="29" t="s">
        <v>81</v>
      </c>
      <c r="B112" s="30" t="s">
        <v>86</v>
      </c>
      <c r="C112" s="29" t="s">
        <v>87</v>
      </c>
      <c r="D112" s="30" t="s">
        <v>88</v>
      </c>
      <c r="E112" s="29" t="s">
        <v>89</v>
      </c>
      <c r="F112" s="29" t="s">
        <v>90</v>
      </c>
    </row>
    <row r="113" spans="1:6" ht="25.5">
      <c r="A113" s="31" t="s">
        <v>109</v>
      </c>
      <c r="B113" s="32">
        <v>3228052</v>
      </c>
      <c r="C113" s="31" t="s">
        <v>58</v>
      </c>
      <c r="D113" s="32" t="s">
        <v>91</v>
      </c>
      <c r="E113" s="31" t="s">
        <v>92</v>
      </c>
      <c r="F113" s="33">
        <v>38971</v>
      </c>
    </row>
    <row r="114" spans="1:6">
      <c r="A114" s="34" t="s">
        <v>109</v>
      </c>
      <c r="B114" s="35">
        <v>79367935</v>
      </c>
      <c r="C114" s="34" t="s">
        <v>61</v>
      </c>
      <c r="D114" s="35" t="s">
        <v>91</v>
      </c>
      <c r="E114" s="34" t="s">
        <v>93</v>
      </c>
      <c r="F114" s="36">
        <v>39975</v>
      </c>
    </row>
    <row r="115" spans="1:6">
      <c r="A115" s="31" t="s">
        <v>109</v>
      </c>
      <c r="B115" s="32">
        <v>79390069</v>
      </c>
      <c r="C115" s="31" t="s">
        <v>77</v>
      </c>
      <c r="D115" s="32" t="s">
        <v>91</v>
      </c>
      <c r="E115" s="31" t="s">
        <v>93</v>
      </c>
      <c r="F115" s="33">
        <v>38391</v>
      </c>
    </row>
    <row r="116" spans="1:6">
      <c r="A116" s="34" t="s">
        <v>109</v>
      </c>
      <c r="B116" s="35">
        <v>79572003</v>
      </c>
      <c r="C116" s="34" t="s">
        <v>56</v>
      </c>
      <c r="D116" s="35" t="s">
        <v>91</v>
      </c>
      <c r="E116" s="34" t="s">
        <v>92</v>
      </c>
      <c r="F116" s="36">
        <v>36199</v>
      </c>
    </row>
    <row r="117" spans="1:6" ht="15.75" thickBot="1">
      <c r="A117" s="31" t="s">
        <v>109</v>
      </c>
      <c r="B117" s="32">
        <v>79752717</v>
      </c>
      <c r="C117" s="31" t="s">
        <v>27</v>
      </c>
      <c r="D117" s="32" t="s">
        <v>91</v>
      </c>
      <c r="E117" s="31" t="s">
        <v>92</v>
      </c>
      <c r="F117" s="33">
        <v>37172</v>
      </c>
    </row>
    <row r="118" spans="1:6" ht="15.75" thickBot="1">
      <c r="A118" s="27" t="s">
        <v>81</v>
      </c>
      <c r="B118" s="28" t="s">
        <v>97</v>
      </c>
    </row>
    <row r="119" spans="1:6">
      <c r="A119" s="27" t="s">
        <v>83</v>
      </c>
      <c r="B119" s="28">
        <v>195</v>
      </c>
    </row>
    <row r="120" spans="1:6" ht="25.5">
      <c r="A120" s="25" t="s">
        <v>84</v>
      </c>
      <c r="B120" s="26" t="s">
        <v>110</v>
      </c>
    </row>
    <row r="121" spans="1:6" ht="15.75" thickBot="1">
      <c r="A121" s="29" t="s">
        <v>81</v>
      </c>
      <c r="B121" s="30" t="s">
        <v>86</v>
      </c>
      <c r="C121" s="29" t="s">
        <v>87</v>
      </c>
      <c r="D121" s="30" t="s">
        <v>88</v>
      </c>
      <c r="E121" s="29" t="s">
        <v>89</v>
      </c>
      <c r="F121" s="29" t="s">
        <v>90</v>
      </c>
    </row>
    <row r="122" spans="1:6">
      <c r="A122" s="31" t="s">
        <v>97</v>
      </c>
      <c r="B122" s="32">
        <v>9395122</v>
      </c>
      <c r="C122" s="31" t="s">
        <v>65</v>
      </c>
      <c r="D122" s="32" t="s">
        <v>94</v>
      </c>
      <c r="E122" s="31" t="s">
        <v>93</v>
      </c>
      <c r="F122" s="33">
        <v>39679</v>
      </c>
    </row>
    <row r="123" spans="1:6" ht="15.75" thickBot="1">
      <c r="A123" s="37"/>
      <c r="B123" s="37"/>
      <c r="C123" s="37"/>
      <c r="D123" s="37"/>
      <c r="E123" s="37"/>
      <c r="F123" s="37"/>
    </row>
    <row r="124" spans="1:6">
      <c r="A124" s="27" t="s">
        <v>81</v>
      </c>
      <c r="B124" s="28" t="s">
        <v>102</v>
      </c>
    </row>
    <row r="125" spans="1:6" ht="15.75" thickBot="1">
      <c r="A125" s="29" t="s">
        <v>81</v>
      </c>
      <c r="B125" s="30" t="s">
        <v>86</v>
      </c>
      <c r="C125" s="29" t="s">
        <v>87</v>
      </c>
      <c r="D125" s="30" t="s">
        <v>88</v>
      </c>
      <c r="E125" s="29" t="s">
        <v>89</v>
      </c>
      <c r="F125" s="29" t="s">
        <v>90</v>
      </c>
    </row>
    <row r="126" spans="1:6">
      <c r="A126" s="31" t="s">
        <v>102</v>
      </c>
      <c r="B126" s="32">
        <v>7165116</v>
      </c>
      <c r="C126" s="31" t="s">
        <v>70</v>
      </c>
      <c r="D126" s="32" t="s">
        <v>91</v>
      </c>
      <c r="E126" s="31" t="s">
        <v>92</v>
      </c>
      <c r="F126" s="33">
        <v>36553</v>
      </c>
    </row>
    <row r="127" spans="1:6" ht="15.75" thickBot="1">
      <c r="A127" s="37"/>
      <c r="B127" s="37"/>
      <c r="C127" s="37"/>
      <c r="D127" s="37"/>
      <c r="E127" s="37"/>
      <c r="F127" s="37"/>
    </row>
    <row r="128" spans="1:6">
      <c r="A128" s="27" t="s">
        <v>81</v>
      </c>
      <c r="B128" s="28" t="s">
        <v>103</v>
      </c>
    </row>
    <row r="129" spans="1:6" ht="15.75" thickBot="1">
      <c r="A129" s="29" t="s">
        <v>81</v>
      </c>
      <c r="B129" s="30" t="s">
        <v>86</v>
      </c>
      <c r="C129" s="29" t="s">
        <v>87</v>
      </c>
      <c r="D129" s="30" t="s">
        <v>88</v>
      </c>
      <c r="E129" s="29" t="s">
        <v>89</v>
      </c>
      <c r="F129" s="29" t="s">
        <v>90</v>
      </c>
    </row>
    <row r="130" spans="1:6">
      <c r="A130" s="31" t="s">
        <v>103</v>
      </c>
      <c r="B130" s="32">
        <v>7724669</v>
      </c>
      <c r="C130" s="31" t="s">
        <v>63</v>
      </c>
      <c r="D130" s="32" t="s">
        <v>94</v>
      </c>
      <c r="E130" s="31" t="s">
        <v>92</v>
      </c>
      <c r="F130" s="33">
        <v>40087</v>
      </c>
    </row>
    <row r="131" spans="1:6">
      <c r="A131" s="34" t="s">
        <v>103</v>
      </c>
      <c r="B131" s="35">
        <v>9395122</v>
      </c>
      <c r="C131" s="34" t="s">
        <v>65</v>
      </c>
      <c r="D131" s="35" t="s">
        <v>94</v>
      </c>
      <c r="E131" s="34" t="s">
        <v>93</v>
      </c>
      <c r="F131" s="36">
        <v>39679</v>
      </c>
    </row>
    <row r="132" spans="1:6">
      <c r="A132" s="31" t="s">
        <v>103</v>
      </c>
      <c r="B132" s="32">
        <v>79312869</v>
      </c>
      <c r="C132" s="31" t="s">
        <v>12</v>
      </c>
      <c r="D132" s="32" t="s">
        <v>91</v>
      </c>
      <c r="E132" s="31" t="s">
        <v>93</v>
      </c>
      <c r="F132" s="33">
        <v>33850</v>
      </c>
    </row>
    <row r="133" spans="1:6" ht="15.75" thickBot="1">
      <c r="A133" s="37"/>
      <c r="B133" s="37"/>
      <c r="C133" s="37"/>
      <c r="D133" s="37"/>
      <c r="E133" s="37"/>
      <c r="F133" s="37"/>
    </row>
    <row r="134" spans="1:6">
      <c r="A134" s="27" t="s">
        <v>81</v>
      </c>
      <c r="B134" s="28" t="s">
        <v>105</v>
      </c>
    </row>
    <row r="135" spans="1:6" ht="15.75" thickBot="1">
      <c r="A135" s="29" t="s">
        <v>81</v>
      </c>
      <c r="B135" s="30" t="s">
        <v>86</v>
      </c>
      <c r="C135" s="29" t="s">
        <v>87</v>
      </c>
      <c r="D135" s="30" t="s">
        <v>88</v>
      </c>
      <c r="E135" s="29" t="s">
        <v>89</v>
      </c>
      <c r="F135" s="29" t="s">
        <v>90</v>
      </c>
    </row>
    <row r="136" spans="1:6">
      <c r="A136" s="31" t="s">
        <v>105</v>
      </c>
      <c r="B136" s="32">
        <v>7724669</v>
      </c>
      <c r="C136" s="31" t="s">
        <v>63</v>
      </c>
      <c r="D136" s="32" t="s">
        <v>94</v>
      </c>
      <c r="E136" s="31" t="s">
        <v>92</v>
      </c>
      <c r="F136" s="33">
        <v>40087</v>
      </c>
    </row>
    <row r="137" spans="1:6" ht="25.5">
      <c r="A137" s="34" t="s">
        <v>105</v>
      </c>
      <c r="B137" s="35">
        <v>19289020</v>
      </c>
      <c r="C137" s="34" t="s">
        <v>25</v>
      </c>
      <c r="D137" s="35" t="s">
        <v>91</v>
      </c>
      <c r="E137" s="34" t="s">
        <v>93</v>
      </c>
      <c r="F137" s="36">
        <v>37125</v>
      </c>
    </row>
    <row r="138" spans="1:6">
      <c r="A138" s="31" t="s">
        <v>105</v>
      </c>
      <c r="B138" s="32">
        <v>52426307</v>
      </c>
      <c r="C138" s="31" t="s">
        <v>18</v>
      </c>
      <c r="D138" s="32"/>
      <c r="E138" s="31" t="s">
        <v>92</v>
      </c>
      <c r="F138" s="31"/>
    </row>
    <row r="139" spans="1:6">
      <c r="A139" s="34" t="s">
        <v>105</v>
      </c>
      <c r="B139" s="35">
        <v>79312869</v>
      </c>
      <c r="C139" s="34" t="s">
        <v>12</v>
      </c>
      <c r="D139" s="35" t="s">
        <v>91</v>
      </c>
      <c r="E139" s="34" t="s">
        <v>92</v>
      </c>
      <c r="F139" s="36">
        <v>33850</v>
      </c>
    </row>
    <row r="140" spans="1:6">
      <c r="A140" s="31" t="s">
        <v>105</v>
      </c>
      <c r="B140" s="32">
        <v>79390069</v>
      </c>
      <c r="C140" s="31" t="s">
        <v>77</v>
      </c>
      <c r="D140" s="32" t="s">
        <v>91</v>
      </c>
      <c r="E140" s="31" t="s">
        <v>93</v>
      </c>
      <c r="F140" s="33">
        <v>38391</v>
      </c>
    </row>
    <row r="141" spans="1:6">
      <c r="A141" s="34" t="s">
        <v>105</v>
      </c>
      <c r="B141" s="35">
        <v>79508767</v>
      </c>
      <c r="C141" s="34" t="s">
        <v>73</v>
      </c>
      <c r="D141" s="35" t="s">
        <v>91</v>
      </c>
      <c r="E141" s="34" t="s">
        <v>92</v>
      </c>
      <c r="F141" s="36">
        <v>37278</v>
      </c>
    </row>
    <row r="142" spans="1:6">
      <c r="A142" s="31" t="s">
        <v>105</v>
      </c>
      <c r="B142" s="32">
        <v>79563205</v>
      </c>
      <c r="C142" s="31" t="s">
        <v>67</v>
      </c>
      <c r="D142" s="32"/>
      <c r="E142" s="31" t="s">
        <v>92</v>
      </c>
      <c r="F142" s="33">
        <v>39692</v>
      </c>
    </row>
    <row r="143" spans="1:6">
      <c r="A143" s="34" t="s">
        <v>105</v>
      </c>
      <c r="B143" s="35">
        <v>79708124</v>
      </c>
      <c r="C143" s="34" t="s">
        <v>32</v>
      </c>
      <c r="D143" s="35" t="s">
        <v>94</v>
      </c>
      <c r="E143" s="34" t="s">
        <v>92</v>
      </c>
      <c r="F143" s="36">
        <v>39981</v>
      </c>
    </row>
    <row r="144" spans="1:6">
      <c r="A144" s="31" t="s">
        <v>105</v>
      </c>
      <c r="B144" s="32">
        <v>93401117</v>
      </c>
      <c r="C144" s="31" t="s">
        <v>29</v>
      </c>
      <c r="D144" s="32" t="s">
        <v>96</v>
      </c>
      <c r="E144" s="31" t="s">
        <v>92</v>
      </c>
      <c r="F144" s="33">
        <v>39506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5D6D-3F77-4AF9-B334-9D127AF3C1F2}">
  <dimension ref="A2:O4"/>
  <sheetViews>
    <sheetView workbookViewId="0">
      <selection activeCell="S19" sqref="S19"/>
    </sheetView>
  </sheetViews>
  <sheetFormatPr defaultColWidth="11.42578125" defaultRowHeight="15"/>
  <sheetData>
    <row r="2" spans="1:15" ht="15.75">
      <c r="A2" s="51" t="s">
        <v>111</v>
      </c>
      <c r="B2" s="51" t="s">
        <v>112</v>
      </c>
      <c r="C2" s="51" t="s">
        <v>113</v>
      </c>
      <c r="D2" s="51" t="s">
        <v>114</v>
      </c>
      <c r="E2" s="51" t="s">
        <v>115</v>
      </c>
      <c r="F2" s="51" t="s">
        <v>116</v>
      </c>
      <c r="G2" s="51" t="s">
        <v>117</v>
      </c>
      <c r="H2" s="51" t="s">
        <v>118</v>
      </c>
      <c r="I2" s="52" t="s">
        <v>119</v>
      </c>
      <c r="J2" s="55"/>
      <c r="K2" s="52" t="s">
        <v>120</v>
      </c>
      <c r="L2" s="56"/>
      <c r="M2" s="53" t="s">
        <v>121</v>
      </c>
      <c r="N2" s="53" t="s">
        <v>122</v>
      </c>
      <c r="O2" s="50" t="s">
        <v>123</v>
      </c>
    </row>
    <row r="3" spans="1:15">
      <c r="A3" s="57"/>
      <c r="B3" s="54"/>
      <c r="C3" s="57"/>
      <c r="D3" s="57"/>
      <c r="E3" s="57"/>
      <c r="F3" s="57"/>
      <c r="G3" s="57"/>
      <c r="H3" s="57"/>
      <c r="I3" s="6" t="s">
        <v>124</v>
      </c>
      <c r="J3" s="6" t="s">
        <v>125</v>
      </c>
      <c r="K3" s="7" t="s">
        <v>126</v>
      </c>
      <c r="L3" s="8" t="s">
        <v>125</v>
      </c>
      <c r="M3" s="58"/>
      <c r="N3" s="58"/>
      <c r="O3" s="50"/>
    </row>
    <row r="4" spans="1:15">
      <c r="A4" s="9">
        <v>1</v>
      </c>
      <c r="B4" s="10"/>
      <c r="C4" s="11"/>
      <c r="D4" s="12"/>
      <c r="E4" s="13"/>
      <c r="F4" s="11"/>
      <c r="G4" s="11"/>
      <c r="H4" s="11"/>
      <c r="I4" s="11"/>
      <c r="J4" s="11"/>
      <c r="K4" s="11"/>
      <c r="L4" s="11"/>
      <c r="M4" s="14"/>
      <c r="N4" s="14"/>
      <c r="O4" s="15">
        <f>+_xlfn.DAYS(N4,M4)</f>
        <v>0</v>
      </c>
    </row>
  </sheetData>
  <mergeCells count="13">
    <mergeCell ref="F2:F3"/>
    <mergeCell ref="A2:A3"/>
    <mergeCell ref="B2:B3"/>
    <mergeCell ref="C2:C3"/>
    <mergeCell ref="D2:D3"/>
    <mergeCell ref="E2:E3"/>
    <mergeCell ref="O2:O3"/>
    <mergeCell ref="G2:G3"/>
    <mergeCell ref="H2:H3"/>
    <mergeCell ref="I2:J2"/>
    <mergeCell ref="K2:L2"/>
    <mergeCell ref="M2:M3"/>
    <mergeCell ref="N2:N3"/>
  </mergeCells>
  <dataValidations count="2">
    <dataValidation type="date" allowBlank="1" showInputMessage="1" showErrorMessage="1" sqref="M4" xr:uid="{CCA9E0AD-4AAD-48ED-99E6-69BCDC1E8AA7}">
      <formula1>40179</formula1>
      <formula2>47848</formula2>
    </dataValidation>
    <dataValidation type="list" allowBlank="1" showInputMessage="1" showErrorMessage="1" sqref="H4" xr:uid="{C2F59112-9C78-42FD-9F1D-C5F3A0922383}">
      <formula1>"1. Presencial,2. Virtual"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7" ma:contentTypeDescription="Crear nuevo documento." ma:contentTypeScope="" ma:versionID="a052d5113f2b173e6dbc37c74ba07cf9">
  <xsd:schema xmlns:xsd="http://www.w3.org/2001/XMLSchema" xmlns:xs="http://www.w3.org/2001/XMLSchema" xmlns:p="http://schemas.microsoft.com/office/2006/metadata/properties" xmlns:ns3="1d885472-1b03-4c27-abea-e0b86428d9b9" xmlns:ns4="2d6b6581-d0cd-4f64-a2b3-c7ef1a89b301" targetNamespace="http://schemas.microsoft.com/office/2006/metadata/properties" ma:root="true" ma:fieldsID="b00ff23399ebe203d5828d70b14de3d9" ns3:_="" ns4:_="">
    <xsd:import namespace="1d885472-1b03-4c27-abea-e0b86428d9b9"/>
    <xsd:import namespace="2d6b6581-d0cd-4f64-a2b3-c7ef1a89b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6581-d0cd-4f64-a2b3-c7ef1a89b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Props1.xml><?xml version="1.0" encoding="utf-8"?>
<ds:datastoreItem xmlns:ds="http://schemas.openxmlformats.org/officeDocument/2006/customXml" ds:itemID="{B2AE36AA-D0B0-40B6-A335-CA0A566E75C9}"/>
</file>

<file path=customXml/itemProps2.xml><?xml version="1.0" encoding="utf-8"?>
<ds:datastoreItem xmlns:ds="http://schemas.openxmlformats.org/officeDocument/2006/customXml" ds:itemID="{CF34BEB5-2F40-4805-9D2F-24833C044906}"/>
</file>

<file path=customXml/itemProps3.xml><?xml version="1.0" encoding="utf-8"?>
<ds:datastoreItem xmlns:ds="http://schemas.openxmlformats.org/officeDocument/2006/customXml" ds:itemID="{110F6632-841A-4B3A-8411-8FD25B40D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Universidad Distrital Francisco José de Caldas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RUBIANO SUAREZ ALISON KATHERINE</dc:creator>
  <cp:keywords/>
  <dc:description/>
  <cp:lastModifiedBy>MAESTRIA EN CIENCIAS DE LA INFORMACION Y LAS COMUNICACIONES</cp:lastModifiedBy>
  <cp:revision/>
  <dcterms:created xsi:type="dcterms:W3CDTF">2025-08-14T15:59:12Z</dcterms:created>
  <dcterms:modified xsi:type="dcterms:W3CDTF">2025-09-23T16:26:04Z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